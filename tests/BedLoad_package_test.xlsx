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gcengineering.sharepoint.com/sites/SW/Shared Documents/SW Research and Development/bedload_r_package/bedload/tests/"/>
    </mc:Choice>
  </mc:AlternateContent>
  <xr:revisionPtr revIDLastSave="253" documentId="8_{3D9FE741-CDF4-4125-806F-35A2781BCD33}" xr6:coauthVersionLast="47" xr6:coauthVersionMax="47" xr10:uidLastSave="{3FE57A47-FC1A-4D60-A1D6-9683B8C7B658}"/>
  <bookViews>
    <workbookView xWindow="28680" yWindow="-16530" windowWidth="29040" windowHeight="15720" xr2:uid="{85A0307F-892D-4ACF-B65B-18A0A70A37D1}"/>
  </bookViews>
  <sheets>
    <sheet name="compare_fun_test " sheetId="8" r:id="rId1"/>
    <sheet name="Load_Section_function_test01" sheetId="1" r:id="rId2"/>
    <sheet name="calc_depths_test01" sheetId="3" r:id="rId3"/>
    <sheet name="Estimate_hydraulics_functio" sheetId="4" r:id="rId4"/>
    <sheet name="estimate_hydraulic_df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I2" i="8"/>
  <c r="J2" i="8"/>
  <c r="K2" i="8"/>
  <c r="L2" i="8"/>
  <c r="P2" i="8"/>
  <c r="S2" i="8" s="1"/>
  <c r="R2" i="8"/>
  <c r="T2" i="8"/>
  <c r="U2" i="8"/>
  <c r="C3" i="8"/>
  <c r="P3" i="8"/>
  <c r="R3" i="8"/>
  <c r="S3" i="8"/>
  <c r="T3" i="8"/>
  <c r="U3" i="8"/>
  <c r="AE3" i="8"/>
  <c r="C4" i="8"/>
  <c r="U4" i="8" s="1"/>
  <c r="P4" i="8"/>
  <c r="R4" i="8"/>
  <c r="X4" i="8" s="1"/>
  <c r="Z4" i="8" s="1"/>
  <c r="S4" i="8"/>
  <c r="T4" i="8"/>
  <c r="W4" i="8"/>
  <c r="AB4" i="8"/>
  <c r="AE4" i="8"/>
  <c r="C5" i="8"/>
  <c r="U5" i="8" s="1"/>
  <c r="P5" i="8"/>
  <c r="R5" i="8"/>
  <c r="S5" i="8"/>
  <c r="T5" i="8"/>
  <c r="W5" i="8"/>
  <c r="X5" i="8"/>
  <c r="Z5" i="8" s="1"/>
  <c r="AB5" i="8" s="1"/>
  <c r="AE5" i="8"/>
  <c r="C6" i="8"/>
  <c r="U6" i="8" s="1"/>
  <c r="P6" i="8"/>
  <c r="S6" i="8" s="1"/>
  <c r="T6" i="8"/>
  <c r="AE6" i="8"/>
  <c r="C7" i="8"/>
  <c r="P7" i="8"/>
  <c r="T7" i="8"/>
  <c r="U7" i="8"/>
  <c r="C8" i="8"/>
  <c r="U8" i="8" s="1"/>
  <c r="P8" i="8"/>
  <c r="R8" i="8" s="1"/>
  <c r="S8" i="8"/>
  <c r="T8" i="8"/>
  <c r="AE8" i="8"/>
  <c r="C9" i="8"/>
  <c r="U9" i="8" s="1"/>
  <c r="P9" i="8"/>
  <c r="T9" i="8"/>
  <c r="AE9" i="8"/>
  <c r="C10" i="8"/>
  <c r="U10" i="8" s="1"/>
  <c r="P10" i="8"/>
  <c r="R10" i="8" s="1"/>
  <c r="W10" i="8" s="1"/>
  <c r="S10" i="8"/>
  <c r="T10" i="8"/>
  <c r="X10" i="8"/>
  <c r="Z10" i="8" s="1"/>
  <c r="AB10" i="8" s="1"/>
  <c r="AE10" i="8"/>
  <c r="C11" i="8"/>
  <c r="U11" i="8" s="1"/>
  <c r="P11" i="8"/>
  <c r="R11" i="8"/>
  <c r="X11" i="8" s="1"/>
  <c r="Z11" i="8" s="1"/>
  <c r="AB11" i="8" s="1"/>
  <c r="S11" i="8"/>
  <c r="T11" i="8"/>
  <c r="W11" i="8"/>
  <c r="AE11" i="8"/>
  <c r="C12" i="8"/>
  <c r="U12" i="8" s="1"/>
  <c r="P12" i="8"/>
  <c r="R12" i="8"/>
  <c r="S12" i="8"/>
  <c r="T12" i="8"/>
  <c r="AE12" i="8"/>
  <c r="C13" i="8"/>
  <c r="P13" i="8"/>
  <c r="R13" i="8" s="1"/>
  <c r="T13" i="8"/>
  <c r="U13" i="8"/>
  <c r="W13" i="8"/>
  <c r="X13" i="8"/>
  <c r="Z13" i="8" s="1"/>
  <c r="AB13" i="8" s="1"/>
  <c r="AE13" i="8"/>
  <c r="C14" i="8"/>
  <c r="P14" i="8"/>
  <c r="R14" i="8" s="1"/>
  <c r="X14" i="8" s="1"/>
  <c r="Z14" i="8" s="1"/>
  <c r="S14" i="8"/>
  <c r="T14" i="8"/>
  <c r="U14" i="8"/>
  <c r="W14" i="8"/>
  <c r="AB14" i="8"/>
  <c r="AE14" i="8"/>
  <c r="C15" i="8"/>
  <c r="U15" i="8" s="1"/>
  <c r="P15" i="8"/>
  <c r="T15" i="8"/>
  <c r="AE15" i="8"/>
  <c r="C16" i="8"/>
  <c r="U16" i="8" s="1"/>
  <c r="P16" i="8"/>
  <c r="T16" i="8"/>
  <c r="AE16" i="8"/>
  <c r="C17" i="8"/>
  <c r="U17" i="8" s="1"/>
  <c r="P17" i="8"/>
  <c r="R17" i="8"/>
  <c r="S17" i="8"/>
  <c r="T17" i="8"/>
  <c r="AE17" i="8"/>
  <c r="C18" i="8"/>
  <c r="P18" i="8"/>
  <c r="R18" i="8" s="1"/>
  <c r="W18" i="8" s="1"/>
  <c r="S18" i="8"/>
  <c r="T18" i="8"/>
  <c r="U18" i="8"/>
  <c r="X18" i="8"/>
  <c r="Z18" i="8" s="1"/>
  <c r="AB18" i="8" s="1"/>
  <c r="AE18" i="8"/>
  <c r="C19" i="8"/>
  <c r="P19" i="8"/>
  <c r="T19" i="8"/>
  <c r="U19" i="8"/>
  <c r="C20" i="8"/>
  <c r="U20" i="8" s="1"/>
  <c r="P20" i="8"/>
  <c r="S20" i="8" s="1"/>
  <c r="T20" i="8"/>
  <c r="AE20" i="8"/>
  <c r="C21" i="8"/>
  <c r="P21" i="8"/>
  <c r="R21" i="8"/>
  <c r="S21" i="8"/>
  <c r="T21" i="8"/>
  <c r="U21" i="8"/>
  <c r="AE21" i="8"/>
  <c r="C22" i="8"/>
  <c r="U22" i="8" s="1"/>
  <c r="P22" i="8"/>
  <c r="T22" i="8"/>
  <c r="C23" i="8"/>
  <c r="P23" i="8"/>
  <c r="R23" i="8"/>
  <c r="X23" i="8" s="1"/>
  <c r="S23" i="8"/>
  <c r="T23" i="8"/>
  <c r="U23" i="8"/>
  <c r="AE23" i="8"/>
  <c r="C24" i="8"/>
  <c r="P24" i="8"/>
  <c r="R24" i="8"/>
  <c r="T24" i="8"/>
  <c r="U24" i="8"/>
  <c r="C25" i="8"/>
  <c r="U25" i="8" s="1"/>
  <c r="P25" i="8"/>
  <c r="T25" i="8"/>
  <c r="AE25" i="8"/>
  <c r="C26" i="8"/>
  <c r="P26" i="8"/>
  <c r="T26" i="8"/>
  <c r="U26" i="8"/>
  <c r="C27" i="8"/>
  <c r="U27" i="8" s="1"/>
  <c r="P27" i="8"/>
  <c r="R27" i="8"/>
  <c r="T27" i="8"/>
  <c r="AE27" i="8"/>
  <c r="C28" i="8"/>
  <c r="P28" i="8"/>
  <c r="T28" i="8"/>
  <c r="U28" i="8"/>
  <c r="C29" i="8"/>
  <c r="U29" i="8" s="1"/>
  <c r="P29" i="8"/>
  <c r="S29" i="8" s="1"/>
  <c r="T29" i="8"/>
  <c r="C30" i="8"/>
  <c r="P30" i="8"/>
  <c r="R30" i="8" s="1"/>
  <c r="X30" i="8" s="1"/>
  <c r="Z30" i="8" s="1"/>
  <c r="AB30" i="8" s="1"/>
  <c r="T30" i="8"/>
  <c r="U30" i="8"/>
  <c r="W30" i="8"/>
  <c r="AE30" i="8"/>
  <c r="C31" i="8"/>
  <c r="P31" i="8"/>
  <c r="T31" i="8"/>
  <c r="U31" i="8"/>
  <c r="C32" i="8"/>
  <c r="U32" i="8" s="1"/>
  <c r="P32" i="8"/>
  <c r="R32" i="8"/>
  <c r="T32" i="8"/>
  <c r="AE32" i="8"/>
  <c r="C33" i="8"/>
  <c r="P33" i="8"/>
  <c r="R33" i="8"/>
  <c r="S33" i="8"/>
  <c r="T33" i="8"/>
  <c r="U33" i="8"/>
  <c r="W33" i="8"/>
  <c r="X33" i="8"/>
  <c r="Z33" i="8"/>
  <c r="AB33" i="8" s="1"/>
  <c r="AE33" i="8"/>
  <c r="C34" i="8"/>
  <c r="U34" i="8" s="1"/>
  <c r="P34" i="8"/>
  <c r="T34" i="8"/>
  <c r="C35" i="8"/>
  <c r="P35" i="8"/>
  <c r="R35" i="8" s="1"/>
  <c r="S35" i="8"/>
  <c r="T35" i="8"/>
  <c r="U35" i="8"/>
  <c r="W35" i="8"/>
  <c r="X35" i="8"/>
  <c r="Z35" i="8" s="1"/>
  <c r="AB35" i="8" s="1"/>
  <c r="AE35" i="8"/>
  <c r="C36" i="8"/>
  <c r="P36" i="8"/>
  <c r="S36" i="8"/>
  <c r="T36" i="8"/>
  <c r="U36" i="8"/>
  <c r="C37" i="8"/>
  <c r="U37" i="8" s="1"/>
  <c r="P37" i="8"/>
  <c r="R37" i="8"/>
  <c r="T37" i="8"/>
  <c r="AP37" i="8"/>
  <c r="C38" i="8"/>
  <c r="P38" i="8"/>
  <c r="R38" i="8"/>
  <c r="W38" i="8" s="1"/>
  <c r="S38" i="8"/>
  <c r="T38" i="8"/>
  <c r="U38" i="8"/>
  <c r="X38" i="8"/>
  <c r="Z38" i="8" s="1"/>
  <c r="AB38" i="8" s="1"/>
  <c r="AE38" i="8"/>
  <c r="AP38" i="8"/>
  <c r="AS38" i="8"/>
  <c r="C39" i="8"/>
  <c r="U39" i="8" s="1"/>
  <c r="P39" i="8"/>
  <c r="T39" i="8"/>
  <c r="AP39" i="8"/>
  <c r="AS39" i="8"/>
  <c r="C40" i="8"/>
  <c r="U40" i="8" s="1"/>
  <c r="P40" i="8"/>
  <c r="AE40" i="8" s="1"/>
  <c r="R40" i="8"/>
  <c r="W40" i="8" s="1"/>
  <c r="S40" i="8"/>
  <c r="T40" i="8"/>
  <c r="X40" i="8"/>
  <c r="AP40" i="8"/>
  <c r="AS40" i="8"/>
  <c r="C41" i="8"/>
  <c r="U41" i="8" s="1"/>
  <c r="P41" i="8"/>
  <c r="R41" i="8"/>
  <c r="T41" i="8"/>
  <c r="AP41" i="8"/>
  <c r="AS41" i="8"/>
  <c r="C42" i="8"/>
  <c r="P42" i="8"/>
  <c r="R42" i="8" s="1"/>
  <c r="T42" i="8"/>
  <c r="U42" i="8"/>
  <c r="AP42" i="8"/>
  <c r="AS42" i="8"/>
  <c r="C43" i="8"/>
  <c r="U43" i="8" s="1"/>
  <c r="P43" i="8"/>
  <c r="S43" i="8"/>
  <c r="T43" i="8"/>
  <c r="AP43" i="8"/>
  <c r="AS43" i="8"/>
  <c r="C44" i="8"/>
  <c r="P44" i="8"/>
  <c r="R44" i="8" s="1"/>
  <c r="W44" i="8" s="1"/>
  <c r="S44" i="8"/>
  <c r="T44" i="8"/>
  <c r="U44" i="8"/>
  <c r="AE44" i="8"/>
  <c r="AP44" i="8"/>
  <c r="AS44" i="8"/>
  <c r="C45" i="8"/>
  <c r="P45" i="8"/>
  <c r="R45" i="8" s="1"/>
  <c r="T45" i="8"/>
  <c r="U45" i="8"/>
  <c r="AE45" i="8"/>
  <c r="AP45" i="8"/>
  <c r="AS45" i="8"/>
  <c r="C46" i="8"/>
  <c r="P46" i="8"/>
  <c r="R46" i="8"/>
  <c r="S46" i="8"/>
  <c r="T46" i="8"/>
  <c r="U46" i="8"/>
  <c r="W46" i="8"/>
  <c r="X46" i="8"/>
  <c r="Z46" i="8"/>
  <c r="AB46" i="8"/>
  <c r="AE46" i="8"/>
  <c r="AP46" i="8"/>
  <c r="AS46" i="8"/>
  <c r="C47" i="8"/>
  <c r="U47" i="8" s="1"/>
  <c r="P47" i="8"/>
  <c r="R47" i="8" s="1"/>
  <c r="W47" i="8" s="1"/>
  <c r="S47" i="8"/>
  <c r="T47" i="8"/>
  <c r="X47" i="8"/>
  <c r="AE47" i="8"/>
  <c r="AP47" i="8"/>
  <c r="AS47" i="8"/>
  <c r="C48" i="8"/>
  <c r="U48" i="8" s="1"/>
  <c r="P48" i="8"/>
  <c r="S48" i="8" s="1"/>
  <c r="R48" i="8"/>
  <c r="T48" i="8"/>
  <c r="AE48" i="8"/>
  <c r="AP48" i="8"/>
  <c r="AS48" i="8"/>
  <c r="C49" i="8"/>
  <c r="P49" i="8"/>
  <c r="T49" i="8"/>
  <c r="U49" i="8"/>
  <c r="AP49" i="8"/>
  <c r="AS49" i="8"/>
  <c r="C50" i="8"/>
  <c r="U50" i="8" s="1"/>
  <c r="P50" i="8"/>
  <c r="R50" i="8" s="1"/>
  <c r="T50" i="8"/>
  <c r="AP50" i="8"/>
  <c r="AS50" i="8"/>
  <c r="C51" i="8"/>
  <c r="P51" i="8"/>
  <c r="T51" i="8"/>
  <c r="U51" i="8"/>
  <c r="AP51" i="8"/>
  <c r="AS51" i="8"/>
  <c r="C52" i="8"/>
  <c r="U52" i="8" s="1"/>
  <c r="P52" i="8"/>
  <c r="R52" i="8"/>
  <c r="S52" i="8"/>
  <c r="T52" i="8"/>
  <c r="W52" i="8"/>
  <c r="X52" i="8"/>
  <c r="Z52" i="8" s="1"/>
  <c r="AB52" i="8"/>
  <c r="AE52" i="8"/>
  <c r="AP52" i="8"/>
  <c r="AS52" i="8"/>
  <c r="C53" i="8"/>
  <c r="P53" i="8"/>
  <c r="T53" i="8"/>
  <c r="U53" i="8"/>
  <c r="AP53" i="8"/>
  <c r="AS53" i="8"/>
  <c r="C54" i="8"/>
  <c r="P54" i="8"/>
  <c r="S54" i="8" s="1"/>
  <c r="T54" i="8"/>
  <c r="U54" i="8"/>
  <c r="AP54" i="8"/>
  <c r="AS54" i="8"/>
  <c r="C55" i="8"/>
  <c r="U55" i="8" s="1"/>
  <c r="P55" i="8"/>
  <c r="S55" i="8" s="1"/>
  <c r="T55" i="8"/>
  <c r="AE55" i="8"/>
  <c r="AP55" i="8"/>
  <c r="AS55" i="8"/>
  <c r="C56" i="8"/>
  <c r="P56" i="8"/>
  <c r="T56" i="8"/>
  <c r="U56" i="8"/>
  <c r="AP56" i="8"/>
  <c r="AS56" i="8"/>
  <c r="C57" i="8"/>
  <c r="U57" i="8" s="1"/>
  <c r="P57" i="8"/>
  <c r="R57" i="8"/>
  <c r="W57" i="8" s="1"/>
  <c r="S57" i="8"/>
  <c r="T57" i="8"/>
  <c r="X57" i="8"/>
  <c r="AE57" i="8"/>
  <c r="AP57" i="8"/>
  <c r="AS57" i="8"/>
  <c r="C58" i="8"/>
  <c r="U58" i="8" s="1"/>
  <c r="P58" i="8"/>
  <c r="R58" i="8"/>
  <c r="S58" i="8"/>
  <c r="T58" i="8"/>
  <c r="AE58" i="8"/>
  <c r="AP58" i="8"/>
  <c r="AS58" i="8"/>
  <c r="C59" i="8"/>
  <c r="P59" i="8"/>
  <c r="S59" i="8" s="1"/>
  <c r="T59" i="8"/>
  <c r="U59" i="8"/>
  <c r="AP59" i="8"/>
  <c r="AS59" i="8"/>
  <c r="C60" i="8"/>
  <c r="P60" i="8"/>
  <c r="R60" i="8"/>
  <c r="S60" i="8"/>
  <c r="T60" i="8"/>
  <c r="U60" i="8"/>
  <c r="W60" i="8"/>
  <c r="X60" i="8"/>
  <c r="Z60" i="8" s="1"/>
  <c r="AB60" i="8"/>
  <c r="AE60" i="8"/>
  <c r="AP60" i="8"/>
  <c r="AS60" i="8"/>
  <c r="C61" i="8"/>
  <c r="P61" i="8"/>
  <c r="AE61" i="8" s="1"/>
  <c r="S61" i="8"/>
  <c r="T61" i="8"/>
  <c r="U61" i="8"/>
  <c r="AP61" i="8"/>
  <c r="AS61" i="8"/>
  <c r="C62" i="8"/>
  <c r="U62" i="8" s="1"/>
  <c r="P62" i="8"/>
  <c r="T62" i="8"/>
  <c r="AP62" i="8"/>
  <c r="AS62" i="8"/>
  <c r="C63" i="8"/>
  <c r="U63" i="8" s="1"/>
  <c r="P63" i="8"/>
  <c r="T63" i="8"/>
  <c r="AP63" i="8"/>
  <c r="AS63" i="8"/>
  <c r="C64" i="8"/>
  <c r="U64" i="8" s="1"/>
  <c r="P64" i="8"/>
  <c r="R64" i="8"/>
  <c r="S64" i="8"/>
  <c r="T64" i="8"/>
  <c r="AE64" i="8"/>
  <c r="AP64" i="8"/>
  <c r="AS64" i="8"/>
  <c r="C65" i="8"/>
  <c r="P65" i="8"/>
  <c r="R65" i="8"/>
  <c r="X65" i="8" s="1"/>
  <c r="S65" i="8"/>
  <c r="T65" i="8"/>
  <c r="U65" i="8"/>
  <c r="W65" i="8"/>
  <c r="AE65" i="8"/>
  <c r="AP65" i="8"/>
  <c r="AS65" i="8"/>
  <c r="C66" i="8"/>
  <c r="P66" i="8"/>
  <c r="R66" i="8" s="1"/>
  <c r="S66" i="8"/>
  <c r="T66" i="8"/>
  <c r="U66" i="8"/>
  <c r="AE66" i="8"/>
  <c r="AP66" i="8"/>
  <c r="AS66" i="8"/>
  <c r="C67" i="8"/>
  <c r="P67" i="8"/>
  <c r="R67" i="8"/>
  <c r="S67" i="8"/>
  <c r="T67" i="8"/>
  <c r="U67" i="8"/>
  <c r="AE67" i="8"/>
  <c r="AP67" i="8"/>
  <c r="AS67" i="8"/>
  <c r="C68" i="8"/>
  <c r="P68" i="8"/>
  <c r="T68" i="8"/>
  <c r="U68" i="8"/>
  <c r="AP68" i="8"/>
  <c r="AS68" i="8"/>
  <c r="C69" i="8"/>
  <c r="U69" i="8" s="1"/>
  <c r="P69" i="8"/>
  <c r="T69" i="8"/>
  <c r="AP69" i="8"/>
  <c r="AS69" i="8"/>
  <c r="C70" i="8"/>
  <c r="U70" i="8" s="1"/>
  <c r="P70" i="8"/>
  <c r="T70" i="8"/>
  <c r="AP70" i="8"/>
  <c r="AS70" i="8"/>
  <c r="C71" i="8"/>
  <c r="U71" i="8" s="1"/>
  <c r="P71" i="8"/>
  <c r="R71" i="8" s="1"/>
  <c r="S71" i="8"/>
  <c r="T71" i="8"/>
  <c r="AE71" i="8"/>
  <c r="AP71" i="8"/>
  <c r="AS71" i="8"/>
  <c r="C72" i="8"/>
  <c r="U72" i="8" s="1"/>
  <c r="P72" i="8"/>
  <c r="R72" i="8"/>
  <c r="X72" i="8" s="1"/>
  <c r="S72" i="8"/>
  <c r="T72" i="8"/>
  <c r="W72" i="8"/>
  <c r="Z72" i="8"/>
  <c r="AB72" i="8" s="1"/>
  <c r="AE72" i="8"/>
  <c r="AP72" i="8"/>
  <c r="AS72" i="8"/>
  <c r="C73" i="8"/>
  <c r="P73" i="8"/>
  <c r="R73" i="8" s="1"/>
  <c r="W73" i="8" s="1"/>
  <c r="T73" i="8"/>
  <c r="U73" i="8"/>
  <c r="X73" i="8"/>
  <c r="Z73" i="8" s="1"/>
  <c r="AB73" i="8" s="1"/>
  <c r="AE73" i="8"/>
  <c r="AP73" i="8"/>
  <c r="AS73" i="8"/>
  <c r="C74" i="8"/>
  <c r="P74" i="8"/>
  <c r="R74" i="8"/>
  <c r="S74" i="8"/>
  <c r="T74" i="8"/>
  <c r="U74" i="8"/>
  <c r="AE74" i="8"/>
  <c r="AP74" i="8"/>
  <c r="AS74" i="8"/>
  <c r="C75" i="8"/>
  <c r="U75" i="8" s="1"/>
  <c r="P75" i="8"/>
  <c r="T75" i="8"/>
  <c r="AP75" i="8"/>
  <c r="AS75" i="8"/>
  <c r="C76" i="8"/>
  <c r="P76" i="8"/>
  <c r="T76" i="8"/>
  <c r="U76" i="8"/>
  <c r="AE76" i="8"/>
  <c r="AP76" i="8"/>
  <c r="AS76" i="8"/>
  <c r="C77" i="8"/>
  <c r="P77" i="8"/>
  <c r="R77" i="8"/>
  <c r="S77" i="8"/>
  <c r="T77" i="8"/>
  <c r="U77" i="8"/>
  <c r="W77" i="8"/>
  <c r="X77" i="8"/>
  <c r="Z77" i="8" s="1"/>
  <c r="AB77" i="8" s="1"/>
  <c r="AE77" i="8"/>
  <c r="AP77" i="8"/>
  <c r="AS77" i="8"/>
  <c r="C78" i="8"/>
  <c r="U78" i="8" s="1"/>
  <c r="P78" i="8"/>
  <c r="R78" i="8" s="1"/>
  <c r="S78" i="8"/>
  <c r="T78" i="8"/>
  <c r="W78" i="8"/>
  <c r="X78" i="8"/>
  <c r="AE78" i="8"/>
  <c r="AP78" i="8"/>
  <c r="AS78" i="8"/>
  <c r="C79" i="8"/>
  <c r="U79" i="8" s="1"/>
  <c r="P79" i="8"/>
  <c r="AE79" i="8" s="1"/>
  <c r="R79" i="8"/>
  <c r="S79" i="8"/>
  <c r="T79" i="8"/>
  <c r="AP79" i="8"/>
  <c r="AS79" i="8"/>
  <c r="C80" i="8"/>
  <c r="P80" i="8"/>
  <c r="R80" i="8" s="1"/>
  <c r="W80" i="8" s="1"/>
  <c r="S80" i="8"/>
  <c r="T80" i="8"/>
  <c r="U80" i="8"/>
  <c r="X80" i="8"/>
  <c r="Z80" i="8" s="1"/>
  <c r="AB80" i="8" s="1"/>
  <c r="AP80" i="8"/>
  <c r="AS80" i="8"/>
  <c r="C81" i="8"/>
  <c r="P81" i="8"/>
  <c r="R81" i="8"/>
  <c r="X81" i="8" s="1"/>
  <c r="Z81" i="8" s="1"/>
  <c r="AB81" i="8" s="1"/>
  <c r="S81" i="8"/>
  <c r="T81" i="8"/>
  <c r="U81" i="8"/>
  <c r="AE81" i="8"/>
  <c r="AP81" i="8"/>
  <c r="AS81" i="8"/>
  <c r="C82" i="8"/>
  <c r="U82" i="8" s="1"/>
  <c r="P82" i="8"/>
  <c r="T82" i="8"/>
  <c r="AP82" i="8"/>
  <c r="AS82" i="8"/>
  <c r="C83" i="8"/>
  <c r="P83" i="8"/>
  <c r="T83" i="8"/>
  <c r="U83" i="8"/>
  <c r="AP83" i="8"/>
  <c r="AS83" i="8"/>
  <c r="C84" i="8"/>
  <c r="P84" i="8"/>
  <c r="R84" i="8"/>
  <c r="S84" i="8"/>
  <c r="T84" i="8"/>
  <c r="U84" i="8"/>
  <c r="W84" i="8"/>
  <c r="X84" i="8"/>
  <c r="Z84" i="8" s="1"/>
  <c r="AB84" i="8" s="1"/>
  <c r="AE84" i="8"/>
  <c r="AP84" i="8"/>
  <c r="AS84" i="8"/>
  <c r="C85" i="8"/>
  <c r="U85" i="8" s="1"/>
  <c r="P85" i="8"/>
  <c r="R85" i="8" s="1"/>
  <c r="S85" i="8"/>
  <c r="T85" i="8"/>
  <c r="AE85" i="8"/>
  <c r="AP85" i="8"/>
  <c r="AS85" i="8"/>
  <c r="C86" i="8"/>
  <c r="P86" i="8"/>
  <c r="AE86" i="8" s="1"/>
  <c r="R86" i="8"/>
  <c r="X86" i="8" s="1"/>
  <c r="Z86" i="8" s="1"/>
  <c r="AB86" i="8" s="1"/>
  <c r="S86" i="8"/>
  <c r="T86" i="8"/>
  <c r="U86" i="8"/>
  <c r="W86" i="8"/>
  <c r="AP86" i="8"/>
  <c r="AS86" i="8"/>
  <c r="C87" i="8"/>
  <c r="P87" i="8"/>
  <c r="T87" i="8"/>
  <c r="U87" i="8"/>
  <c r="AP87" i="8"/>
  <c r="AS87" i="8"/>
  <c r="C88" i="8"/>
  <c r="P88" i="8"/>
  <c r="R88" i="8"/>
  <c r="X88" i="8" s="1"/>
  <c r="Z88" i="8" s="1"/>
  <c r="S88" i="8"/>
  <c r="T88" i="8"/>
  <c r="U88" i="8"/>
  <c r="W88" i="8"/>
  <c r="AB88" i="8"/>
  <c r="AE88" i="8"/>
  <c r="AP88" i="8"/>
  <c r="AS88" i="8"/>
  <c r="C89" i="8"/>
  <c r="U89" i="8" s="1"/>
  <c r="P89" i="8"/>
  <c r="T89" i="8"/>
  <c r="AP89" i="8"/>
  <c r="AS89" i="8"/>
  <c r="C90" i="8"/>
  <c r="P90" i="8"/>
  <c r="T90" i="8"/>
  <c r="U90" i="8"/>
  <c r="AP90" i="8"/>
  <c r="AS90" i="8"/>
  <c r="C91" i="8"/>
  <c r="Z91" i="8" s="1"/>
  <c r="AB91" i="8" s="1"/>
  <c r="P91" i="8"/>
  <c r="R91" i="8"/>
  <c r="S91" i="8"/>
  <c r="T91" i="8"/>
  <c r="U91" i="8"/>
  <c r="W91" i="8"/>
  <c r="X91" i="8"/>
  <c r="AE91" i="8"/>
  <c r="AP91" i="8"/>
  <c r="AS91" i="8"/>
  <c r="C92" i="8"/>
  <c r="U92" i="8" s="1"/>
  <c r="P92" i="8"/>
  <c r="R92" i="8" s="1"/>
  <c r="S92" i="8"/>
  <c r="T92" i="8"/>
  <c r="W92" i="8"/>
  <c r="X92" i="8"/>
  <c r="Z92" i="8" s="1"/>
  <c r="AB92" i="8" s="1"/>
  <c r="AE92" i="8"/>
  <c r="AP92" i="8"/>
  <c r="AS92" i="8"/>
  <c r="C93" i="8"/>
  <c r="U93" i="8" s="1"/>
  <c r="P93" i="8"/>
  <c r="AE93" i="8" s="1"/>
  <c r="R93" i="8"/>
  <c r="X93" i="8" s="1"/>
  <c r="S93" i="8"/>
  <c r="T93" i="8"/>
  <c r="W93" i="8"/>
  <c r="Z93" i="8"/>
  <c r="AB93" i="8" s="1"/>
  <c r="AP93" i="8"/>
  <c r="AS93" i="8"/>
  <c r="C94" i="8"/>
  <c r="P94" i="8"/>
  <c r="S94" i="8"/>
  <c r="T94" i="8"/>
  <c r="U94" i="8"/>
  <c r="AP94" i="8"/>
  <c r="AS94" i="8"/>
  <c r="C95" i="8"/>
  <c r="P95" i="8"/>
  <c r="R95" i="8"/>
  <c r="X95" i="8" s="1"/>
  <c r="Z95" i="8" s="1"/>
  <c r="S95" i="8"/>
  <c r="T95" i="8"/>
  <c r="U95" i="8"/>
  <c r="W95" i="8"/>
  <c r="AB95" i="8"/>
  <c r="AE95" i="8"/>
  <c r="AP95" i="8"/>
  <c r="AS95" i="8"/>
  <c r="C96" i="8"/>
  <c r="U96" i="8" s="1"/>
  <c r="P96" i="8"/>
  <c r="T96" i="8"/>
  <c r="AP96" i="8"/>
  <c r="AS96" i="8"/>
  <c r="C97" i="8"/>
  <c r="U97" i="8" s="1"/>
  <c r="P97" i="8"/>
  <c r="S97" i="8" s="1"/>
  <c r="T97" i="8"/>
  <c r="AP97" i="8"/>
  <c r="AS97" i="8"/>
  <c r="C98" i="8"/>
  <c r="P98" i="8"/>
  <c r="R98" i="8"/>
  <c r="T98" i="8"/>
  <c r="U98" i="8"/>
  <c r="AP98" i="8"/>
  <c r="AS98" i="8"/>
  <c r="C99" i="8"/>
  <c r="U99" i="8" s="1"/>
  <c r="P99" i="8"/>
  <c r="S99" i="8"/>
  <c r="T99" i="8"/>
  <c r="AP99" i="8"/>
  <c r="AS99" i="8"/>
  <c r="C100" i="8"/>
  <c r="U100" i="8" s="1"/>
  <c r="P100" i="8"/>
  <c r="R100" i="8" s="1"/>
  <c r="W100" i="8" s="1"/>
  <c r="S100" i="8"/>
  <c r="T100" i="8"/>
  <c r="X100" i="8"/>
  <c r="Z100" i="8" s="1"/>
  <c r="AB100" i="8" s="1"/>
  <c r="AE100" i="8"/>
  <c r="AP100" i="8"/>
  <c r="AS100" i="8"/>
  <c r="C101" i="8"/>
  <c r="P101" i="8"/>
  <c r="R101" i="8"/>
  <c r="W101" i="8" s="1"/>
  <c r="S101" i="8"/>
  <c r="T101" i="8"/>
  <c r="U101" i="8"/>
  <c r="X101" i="8"/>
  <c r="Z101" i="8" s="1"/>
  <c r="AB101" i="8" s="1"/>
  <c r="AE101" i="8"/>
  <c r="AP101" i="8"/>
  <c r="AS101" i="8"/>
  <c r="C102" i="8"/>
  <c r="P102" i="8"/>
  <c r="T102" i="8"/>
  <c r="U102" i="8"/>
  <c r="AP102" i="8"/>
  <c r="AS102" i="8"/>
  <c r="C103" i="8"/>
  <c r="P103" i="8"/>
  <c r="T103" i="8"/>
  <c r="U103" i="8"/>
  <c r="AE103" i="8"/>
  <c r="AP103" i="8"/>
  <c r="AS103" i="8"/>
  <c r="C104" i="8"/>
  <c r="P104" i="8"/>
  <c r="T104" i="8"/>
  <c r="U104" i="8"/>
  <c r="AP104" i="8"/>
  <c r="AS104" i="8"/>
  <c r="C105" i="8"/>
  <c r="P105" i="8"/>
  <c r="R105" i="8" s="1"/>
  <c r="S105" i="8"/>
  <c r="T105" i="8"/>
  <c r="U105" i="8"/>
  <c r="AE105" i="8"/>
  <c r="AP105" i="8"/>
  <c r="AS105" i="8"/>
  <c r="C106" i="8"/>
  <c r="U106" i="8" s="1"/>
  <c r="P106" i="8"/>
  <c r="AE106" i="8" s="1"/>
  <c r="R106" i="8"/>
  <c r="S106" i="8"/>
  <c r="T106" i="8"/>
  <c r="AP106" i="8"/>
  <c r="AS106" i="8"/>
  <c r="C107" i="8"/>
  <c r="U107" i="8" s="1"/>
  <c r="P107" i="8"/>
  <c r="R107" i="8"/>
  <c r="W107" i="8" s="1"/>
  <c r="S107" i="8"/>
  <c r="T107" i="8"/>
  <c r="X107" i="8"/>
  <c r="Z107" i="8" s="1"/>
  <c r="AB107" i="8" s="1"/>
  <c r="AE107" i="8"/>
  <c r="AP107" i="8"/>
  <c r="AS107" i="8"/>
  <c r="C108" i="8"/>
  <c r="P108" i="8"/>
  <c r="T108" i="8"/>
  <c r="U108" i="8"/>
  <c r="AP108" i="8"/>
  <c r="AS108" i="8"/>
  <c r="C109" i="8"/>
  <c r="P109" i="8"/>
  <c r="S109" i="8" s="1"/>
  <c r="R109" i="8"/>
  <c r="T109" i="8"/>
  <c r="U109" i="8"/>
  <c r="AE109" i="8"/>
  <c r="AP109" i="8"/>
  <c r="AS109" i="8"/>
  <c r="C110" i="8"/>
  <c r="U110" i="8" s="1"/>
  <c r="P110" i="8"/>
  <c r="R110" i="8" s="1"/>
  <c r="W110" i="8" s="1"/>
  <c r="S110" i="8"/>
  <c r="T110" i="8"/>
  <c r="X110" i="8"/>
  <c r="AE110" i="8"/>
  <c r="AP110" i="8"/>
  <c r="AS110" i="8"/>
  <c r="C111" i="8"/>
  <c r="P111" i="8"/>
  <c r="R111" i="8"/>
  <c r="S111" i="8"/>
  <c r="T111" i="8"/>
  <c r="U111" i="8"/>
  <c r="W111" i="8"/>
  <c r="X111" i="8"/>
  <c r="Z111" i="8" s="1"/>
  <c r="AB111" i="8" s="1"/>
  <c r="AE111" i="8"/>
  <c r="AP111" i="8"/>
  <c r="AS111" i="8"/>
  <c r="C112" i="8"/>
  <c r="P112" i="8"/>
  <c r="R112" i="8"/>
  <c r="S112" i="8"/>
  <c r="T112" i="8"/>
  <c r="U112" i="8"/>
  <c r="W112" i="8"/>
  <c r="X112" i="8"/>
  <c r="Z112" i="8" s="1"/>
  <c r="AB112" i="8" s="1"/>
  <c r="AE112" i="8"/>
  <c r="AP112" i="8"/>
  <c r="AS112" i="8"/>
  <c r="C113" i="8"/>
  <c r="U113" i="8" s="1"/>
  <c r="P113" i="8"/>
  <c r="AE113" i="8" s="1"/>
  <c r="R113" i="8"/>
  <c r="S113" i="8"/>
  <c r="T113" i="8"/>
  <c r="AP113" i="8"/>
  <c r="AS113" i="8"/>
  <c r="C114" i="8"/>
  <c r="P114" i="8"/>
  <c r="R114" i="8"/>
  <c r="S114" i="8"/>
  <c r="T114" i="8"/>
  <c r="U114" i="8"/>
  <c r="AE114" i="8"/>
  <c r="AP114" i="8"/>
  <c r="AS114" i="8"/>
  <c r="C115" i="8"/>
  <c r="P115" i="8"/>
  <c r="R115" i="8"/>
  <c r="S115" i="8"/>
  <c r="T115" i="8"/>
  <c r="U115" i="8"/>
  <c r="AE115" i="8"/>
  <c r="AP115" i="8"/>
  <c r="AS115" i="8"/>
  <c r="C116" i="8"/>
  <c r="P116" i="8"/>
  <c r="T116" i="8"/>
  <c r="U116" i="8"/>
  <c r="AP116" i="8"/>
  <c r="AS116" i="8"/>
  <c r="C117" i="8"/>
  <c r="U117" i="8" s="1"/>
  <c r="P117" i="8"/>
  <c r="S117" i="8"/>
  <c r="T117" i="8"/>
  <c r="AP117" i="8"/>
  <c r="AS117" i="8"/>
  <c r="C118" i="8"/>
  <c r="P118" i="8"/>
  <c r="R118" i="8"/>
  <c r="T118" i="8"/>
  <c r="U118" i="8"/>
  <c r="AP118" i="8"/>
  <c r="AS118" i="8"/>
  <c r="C119" i="8"/>
  <c r="P119" i="8"/>
  <c r="R119" i="8" s="1"/>
  <c r="S119" i="8"/>
  <c r="T119" i="8"/>
  <c r="U119" i="8"/>
  <c r="AE119" i="8"/>
  <c r="AP119" i="8"/>
  <c r="AS119" i="8"/>
  <c r="C120" i="8"/>
  <c r="U120" i="8" s="1"/>
  <c r="P120" i="8"/>
  <c r="S120" i="8"/>
  <c r="T120" i="8"/>
  <c r="AP120" i="8"/>
  <c r="AS120" i="8"/>
  <c r="C121" i="8"/>
  <c r="P121" i="8"/>
  <c r="T121" i="8"/>
  <c r="U121" i="8"/>
  <c r="AE121" i="8"/>
  <c r="AP121" i="8"/>
  <c r="AS121" i="8"/>
  <c r="C122" i="8"/>
  <c r="P122" i="8"/>
  <c r="R122" i="8"/>
  <c r="W122" i="8" s="1"/>
  <c r="S122" i="8"/>
  <c r="T122" i="8"/>
  <c r="U122" i="8"/>
  <c r="X122" i="8"/>
  <c r="Z122" i="8" s="1"/>
  <c r="AB122" i="8" s="1"/>
  <c r="AE122" i="8"/>
  <c r="AP122" i="8"/>
  <c r="AS122" i="8"/>
  <c r="C123" i="8"/>
  <c r="U123" i="8" s="1"/>
  <c r="P123" i="8"/>
  <c r="S123" i="8" s="1"/>
  <c r="R123" i="8"/>
  <c r="T123" i="8"/>
  <c r="AE123" i="8"/>
  <c r="AP123" i="8"/>
  <c r="AS123" i="8"/>
  <c r="C124" i="8"/>
  <c r="U124" i="8" s="1"/>
  <c r="P124" i="8"/>
  <c r="T124" i="8"/>
  <c r="AP124" i="8"/>
  <c r="AS124" i="8"/>
  <c r="C125" i="8"/>
  <c r="P125" i="8"/>
  <c r="S125" i="8" s="1"/>
  <c r="R125" i="8"/>
  <c r="T125" i="8"/>
  <c r="U125" i="8"/>
  <c r="AE125" i="8"/>
  <c r="AP125" i="8"/>
  <c r="AS125" i="8"/>
  <c r="C126" i="8"/>
  <c r="U126" i="8" s="1"/>
  <c r="P126" i="8"/>
  <c r="T126" i="8"/>
  <c r="AE126" i="8"/>
  <c r="AP126" i="8"/>
  <c r="AS126" i="8"/>
  <c r="C127" i="8"/>
  <c r="Z127" i="8" s="1"/>
  <c r="AB127" i="8" s="1"/>
  <c r="P127" i="8"/>
  <c r="AE127" i="8" s="1"/>
  <c r="R127" i="8"/>
  <c r="X127" i="8" s="1"/>
  <c r="S127" i="8"/>
  <c r="T127" i="8"/>
  <c r="U127" i="8"/>
  <c r="AP127" i="8"/>
  <c r="AS127" i="8"/>
  <c r="C128" i="8"/>
  <c r="P128" i="8"/>
  <c r="R128" i="8"/>
  <c r="S128" i="8"/>
  <c r="T128" i="8"/>
  <c r="U128" i="8"/>
  <c r="AE128" i="8"/>
  <c r="AP128" i="8"/>
  <c r="AS128" i="8"/>
  <c r="C129" i="8"/>
  <c r="P129" i="8"/>
  <c r="R129" i="8"/>
  <c r="S129" i="8"/>
  <c r="T129" i="8"/>
  <c r="U129" i="8"/>
  <c r="AE129" i="8"/>
  <c r="AP129" i="8"/>
  <c r="AS129" i="8"/>
  <c r="C130" i="8"/>
  <c r="U130" i="8" s="1"/>
  <c r="P130" i="8"/>
  <c r="S130" i="8"/>
  <c r="T130" i="8"/>
  <c r="AP130" i="8"/>
  <c r="AS130" i="8"/>
  <c r="C131" i="8"/>
  <c r="U131" i="8" s="1"/>
  <c r="P131" i="8"/>
  <c r="R131" i="8" s="1"/>
  <c r="S131" i="8"/>
  <c r="T131" i="8"/>
  <c r="AE131" i="8"/>
  <c r="AP131" i="8"/>
  <c r="AS131" i="8"/>
  <c r="C132" i="8"/>
  <c r="P132" i="8"/>
  <c r="R132" i="8" s="1"/>
  <c r="S132" i="8"/>
  <c r="T132" i="8"/>
  <c r="U132" i="8"/>
  <c r="W132" i="8"/>
  <c r="X132" i="8"/>
  <c r="Z132" i="8" s="1"/>
  <c r="AB132" i="8" s="1"/>
  <c r="AE132" i="8"/>
  <c r="AP132" i="8"/>
  <c r="AS132" i="8"/>
  <c r="C133" i="8"/>
  <c r="P133" i="8"/>
  <c r="R133" i="8"/>
  <c r="W133" i="8" s="1"/>
  <c r="S133" i="8"/>
  <c r="T133" i="8"/>
  <c r="U133" i="8"/>
  <c r="AE133" i="8"/>
  <c r="AP133" i="8"/>
  <c r="AS133" i="8"/>
  <c r="C134" i="8"/>
  <c r="U134" i="8" s="1"/>
  <c r="P134" i="8"/>
  <c r="S134" i="8" s="1"/>
  <c r="R134" i="8"/>
  <c r="W134" i="8" s="1"/>
  <c r="T134" i="8"/>
  <c r="X134" i="8"/>
  <c r="Z134" i="8" s="1"/>
  <c r="AB134" i="8" s="1"/>
  <c r="AE134" i="8"/>
  <c r="AP134" i="8"/>
  <c r="AS134" i="8"/>
  <c r="C135" i="8"/>
  <c r="P135" i="8"/>
  <c r="R135" i="8"/>
  <c r="X135" i="8" s="1"/>
  <c r="Z135" i="8" s="1"/>
  <c r="AB135" i="8" s="1"/>
  <c r="S135" i="8"/>
  <c r="T135" i="8"/>
  <c r="U135" i="8"/>
  <c r="W135" i="8"/>
  <c r="AE135" i="8"/>
  <c r="AP135" i="8"/>
  <c r="AS135" i="8"/>
  <c r="C136" i="8"/>
  <c r="P136" i="8"/>
  <c r="R136" i="8"/>
  <c r="S136" i="8"/>
  <c r="T136" i="8"/>
  <c r="U136" i="8"/>
  <c r="AE136" i="8"/>
  <c r="AP136" i="8"/>
  <c r="AS136" i="8"/>
  <c r="C137" i="8"/>
  <c r="U137" i="8" s="1"/>
  <c r="P137" i="8"/>
  <c r="T137" i="8"/>
  <c r="AP137" i="8"/>
  <c r="AS137" i="8"/>
  <c r="C138" i="8"/>
  <c r="U138" i="8" s="1"/>
  <c r="P138" i="8"/>
  <c r="R138" i="8" s="1"/>
  <c r="S138" i="8"/>
  <c r="T138" i="8"/>
  <c r="AE138" i="8"/>
  <c r="AP138" i="8"/>
  <c r="AS138" i="8"/>
  <c r="C139" i="8"/>
  <c r="P139" i="8"/>
  <c r="R139" i="8" s="1"/>
  <c r="S139" i="8"/>
  <c r="T139" i="8"/>
  <c r="U139" i="8"/>
  <c r="W139" i="8"/>
  <c r="X139" i="8"/>
  <c r="Z139" i="8" s="1"/>
  <c r="AB139" i="8" s="1"/>
  <c r="AE139" i="8"/>
  <c r="AP139" i="8"/>
  <c r="AS139" i="8"/>
  <c r="C140" i="8"/>
  <c r="P140" i="8"/>
  <c r="T140" i="8"/>
  <c r="U140" i="8"/>
  <c r="AP140" i="8"/>
  <c r="AS140" i="8"/>
  <c r="C141" i="8"/>
  <c r="P141" i="8"/>
  <c r="R141" i="8"/>
  <c r="T141" i="8"/>
  <c r="U141" i="8"/>
  <c r="AP141" i="8"/>
  <c r="AS141" i="8"/>
  <c r="C142" i="8"/>
  <c r="P142" i="8"/>
  <c r="R142" i="8"/>
  <c r="X142" i="8" s="1"/>
  <c r="S142" i="8"/>
  <c r="T142" i="8"/>
  <c r="W142" i="8"/>
  <c r="AE142" i="8"/>
  <c r="AP142" i="8"/>
  <c r="AS142" i="8"/>
  <c r="C143" i="8"/>
  <c r="U143" i="8" s="1"/>
  <c r="P143" i="8"/>
  <c r="R143" i="8" s="1"/>
  <c r="S143" i="8"/>
  <c r="T143" i="8"/>
  <c r="AE143" i="8"/>
  <c r="AP143" i="8"/>
  <c r="AS143" i="8"/>
  <c r="C144" i="8"/>
  <c r="P144" i="8"/>
  <c r="AE144" i="8" s="1"/>
  <c r="R144" i="8"/>
  <c r="X144" i="8" s="1"/>
  <c r="S144" i="8"/>
  <c r="T144" i="8"/>
  <c r="AP144" i="8"/>
  <c r="AS144" i="8"/>
  <c r="C145" i="8"/>
  <c r="U145" i="8" s="1"/>
  <c r="P145" i="8"/>
  <c r="R145" i="8" s="1"/>
  <c r="X145" i="8" s="1"/>
  <c r="S145" i="8"/>
  <c r="T145" i="8"/>
  <c r="W145" i="8"/>
  <c r="Z145" i="8"/>
  <c r="AB145" i="8" s="1"/>
  <c r="AE145" i="8"/>
  <c r="AP145" i="8"/>
  <c r="AS145" i="8"/>
  <c r="C146" i="8"/>
  <c r="P146" i="8"/>
  <c r="R146" i="8"/>
  <c r="S146" i="8"/>
  <c r="T146" i="8"/>
  <c r="U146" i="8"/>
  <c r="W146" i="8"/>
  <c r="X146" i="8"/>
  <c r="Z146" i="8" s="1"/>
  <c r="AB146" i="8"/>
  <c r="AE146" i="8"/>
  <c r="AP146" i="8"/>
  <c r="AS146" i="8"/>
  <c r="C147" i="8"/>
  <c r="P147" i="8"/>
  <c r="R147" i="8"/>
  <c r="S147" i="8"/>
  <c r="T147" i="8"/>
  <c r="U147" i="8"/>
  <c r="W147" i="8"/>
  <c r="X147" i="8"/>
  <c r="Z147" i="8" s="1"/>
  <c r="AB147" i="8"/>
  <c r="AE147" i="8"/>
  <c r="AP147" i="8"/>
  <c r="AS147" i="8"/>
  <c r="C148" i="8"/>
  <c r="P148" i="8"/>
  <c r="R148" i="8" s="1"/>
  <c r="T148" i="8"/>
  <c r="U148" i="8"/>
  <c r="AP148" i="8"/>
  <c r="AS148" i="8"/>
  <c r="C149" i="8"/>
  <c r="P149" i="8"/>
  <c r="S149" i="8"/>
  <c r="T149" i="8"/>
  <c r="U149" i="8"/>
  <c r="AP149" i="8"/>
  <c r="AS149" i="8"/>
  <c r="C150" i="8"/>
  <c r="P150" i="8"/>
  <c r="T150" i="8"/>
  <c r="U150" i="8"/>
  <c r="AP150" i="8"/>
  <c r="AS150" i="8"/>
  <c r="C151" i="8"/>
  <c r="U151" i="8" s="1"/>
  <c r="P151" i="8"/>
  <c r="T151" i="8"/>
  <c r="AE151" i="8"/>
  <c r="AP151" i="8"/>
  <c r="AS151" i="8"/>
  <c r="C152" i="8"/>
  <c r="Z152" i="8" s="1"/>
  <c r="P152" i="8"/>
  <c r="R152" i="8" s="1"/>
  <c r="S152" i="8"/>
  <c r="T152" i="8"/>
  <c r="U152" i="8"/>
  <c r="W152" i="8"/>
  <c r="X152" i="8"/>
  <c r="AB152" i="8"/>
  <c r="AE152" i="8"/>
  <c r="AP152" i="8"/>
  <c r="AS152" i="8"/>
  <c r="C153" i="8"/>
  <c r="U153" i="8" s="1"/>
  <c r="P153" i="8"/>
  <c r="R153" i="8"/>
  <c r="S153" i="8"/>
  <c r="T153" i="8"/>
  <c r="AE153" i="8"/>
  <c r="AP153" i="8"/>
  <c r="AS153" i="8"/>
  <c r="C154" i="8"/>
  <c r="P154" i="8"/>
  <c r="T154" i="8"/>
  <c r="U154" i="8"/>
  <c r="AP154" i="8"/>
  <c r="AS154" i="8"/>
  <c r="C155" i="8"/>
  <c r="P155" i="8"/>
  <c r="T155" i="8"/>
  <c r="U155" i="8"/>
  <c r="AP155" i="8"/>
  <c r="AS155" i="8"/>
  <c r="C156" i="8"/>
  <c r="P156" i="8"/>
  <c r="S156" i="8"/>
  <c r="T156" i="8"/>
  <c r="U156" i="8"/>
  <c r="AP156" i="8"/>
  <c r="AS156" i="8"/>
  <c r="C157" i="8"/>
  <c r="P157" i="8"/>
  <c r="R157" i="8"/>
  <c r="S157" i="8"/>
  <c r="T157" i="8"/>
  <c r="U157" i="8"/>
  <c r="W157" i="8"/>
  <c r="X157" i="8"/>
  <c r="Z157" i="8" s="1"/>
  <c r="AB157" i="8" s="1"/>
  <c r="AE157" i="8"/>
  <c r="AP157" i="8"/>
  <c r="AS157" i="8"/>
  <c r="C158" i="8"/>
  <c r="P158" i="8"/>
  <c r="S158" i="8" s="1"/>
  <c r="R158" i="8"/>
  <c r="T158" i="8"/>
  <c r="U158" i="8"/>
  <c r="AP158" i="8"/>
  <c r="AS158" i="8"/>
  <c r="C159" i="8"/>
  <c r="U159" i="8" s="1"/>
  <c r="P159" i="8"/>
  <c r="S159" i="8"/>
  <c r="T159" i="8"/>
  <c r="AP159" i="8"/>
  <c r="AS159" i="8"/>
  <c r="C160" i="8"/>
  <c r="P160" i="8"/>
  <c r="R160" i="8" s="1"/>
  <c r="X160" i="8" s="1"/>
  <c r="Z160" i="8" s="1"/>
  <c r="AB160" i="8" s="1"/>
  <c r="T160" i="8"/>
  <c r="U160" i="8"/>
  <c r="W160" i="8"/>
  <c r="AP160" i="8"/>
  <c r="AS160" i="8"/>
  <c r="C161" i="8"/>
  <c r="U161" i="8" s="1"/>
  <c r="P161" i="8"/>
  <c r="R161" i="8"/>
  <c r="X161" i="8" s="1"/>
  <c r="Z161" i="8" s="1"/>
  <c r="AB161" i="8" s="1"/>
  <c r="T161" i="8"/>
  <c r="W161" i="8"/>
  <c r="AP161" i="8"/>
  <c r="AS161" i="8"/>
  <c r="C162" i="8"/>
  <c r="P162" i="8"/>
  <c r="R162" i="8" s="1"/>
  <c r="S162" i="8"/>
  <c r="T162" i="8"/>
  <c r="U162" i="8"/>
  <c r="W162" i="8"/>
  <c r="X162" i="8"/>
  <c r="Z162" i="8" s="1"/>
  <c r="AB162" i="8" s="1"/>
  <c r="AP162" i="8"/>
  <c r="AS162" i="8"/>
  <c r="C163" i="8"/>
  <c r="P163" i="8"/>
  <c r="R163" i="8"/>
  <c r="W163" i="8" s="1"/>
  <c r="T163" i="8"/>
  <c r="U163" i="8"/>
  <c r="X163" i="8"/>
  <c r="Z163" i="8" s="1"/>
  <c r="AB163" i="8" s="1"/>
  <c r="AP163" i="8"/>
  <c r="AS163" i="8"/>
  <c r="C164" i="8"/>
  <c r="P164" i="8"/>
  <c r="R164" i="8"/>
  <c r="W164" i="8" s="1"/>
  <c r="S164" i="8"/>
  <c r="T164" i="8"/>
  <c r="U164" i="8"/>
  <c r="AE164" i="8"/>
  <c r="AP164" i="8"/>
  <c r="AS164" i="8"/>
  <c r="C165" i="8"/>
  <c r="P165" i="8"/>
  <c r="AE165" i="8" s="1"/>
  <c r="R165" i="8"/>
  <c r="S165" i="8"/>
  <c r="T165" i="8"/>
  <c r="U165" i="8"/>
  <c r="AP165" i="8"/>
  <c r="AS165" i="8"/>
  <c r="C166" i="8"/>
  <c r="U166" i="8" s="1"/>
  <c r="P166" i="8"/>
  <c r="T166" i="8"/>
  <c r="AP166" i="8"/>
  <c r="AS166" i="8"/>
  <c r="C167" i="8"/>
  <c r="P167" i="8"/>
  <c r="R167" i="8"/>
  <c r="T167" i="8"/>
  <c r="U167" i="8"/>
  <c r="AP167" i="8"/>
  <c r="AS167" i="8"/>
  <c r="C168" i="8"/>
  <c r="U168" i="8" s="1"/>
  <c r="P168" i="8"/>
  <c r="AE168" i="8" s="1"/>
  <c r="R168" i="8"/>
  <c r="S168" i="8"/>
  <c r="T168" i="8"/>
  <c r="AP168" i="8"/>
  <c r="AS168" i="8"/>
  <c r="C169" i="8"/>
  <c r="P169" i="8"/>
  <c r="T169" i="8"/>
  <c r="U169" i="8"/>
  <c r="AP169" i="8"/>
  <c r="AS169" i="8"/>
  <c r="C170" i="8"/>
  <c r="U170" i="8" s="1"/>
  <c r="P170" i="8"/>
  <c r="T170" i="8"/>
  <c r="AP170" i="8"/>
  <c r="AS170" i="8"/>
  <c r="C171" i="8"/>
  <c r="U171" i="8" s="1"/>
  <c r="P171" i="8"/>
  <c r="T171" i="8"/>
  <c r="AE171" i="8"/>
  <c r="AP171" i="8"/>
  <c r="AS171" i="8"/>
  <c r="C172" i="8"/>
  <c r="P172" i="8"/>
  <c r="AE172" i="8" s="1"/>
  <c r="R172" i="8"/>
  <c r="S172" i="8"/>
  <c r="T172" i="8"/>
  <c r="U172" i="8"/>
  <c r="AP172" i="8"/>
  <c r="AS172" i="8"/>
  <c r="C173" i="8"/>
  <c r="P173" i="8"/>
  <c r="R173" i="8"/>
  <c r="T173" i="8"/>
  <c r="U173" i="8"/>
  <c r="W173" i="8"/>
  <c r="X173" i="8"/>
  <c r="Z173" i="8" s="1"/>
  <c r="AB173" i="8" s="1"/>
  <c r="AP173" i="8"/>
  <c r="AS173" i="8"/>
  <c r="C174" i="8"/>
  <c r="P174" i="8"/>
  <c r="S174" i="8" s="1"/>
  <c r="R174" i="8"/>
  <c r="X174" i="8" s="1"/>
  <c r="Z174" i="8" s="1"/>
  <c r="T174" i="8"/>
  <c r="U174" i="8"/>
  <c r="AB174" i="8"/>
  <c r="AE174" i="8"/>
  <c r="AP174" i="8"/>
  <c r="AS174" i="8"/>
  <c r="C175" i="8"/>
  <c r="U175" i="8" s="1"/>
  <c r="P175" i="8"/>
  <c r="T175" i="8"/>
  <c r="AE175" i="8"/>
  <c r="AP175" i="8"/>
  <c r="AS175" i="8"/>
  <c r="C176" i="8"/>
  <c r="P176" i="8"/>
  <c r="R176" i="8"/>
  <c r="S176" i="8"/>
  <c r="T176" i="8"/>
  <c r="U176" i="8"/>
  <c r="W176" i="8"/>
  <c r="X176" i="8"/>
  <c r="Z176" i="8" s="1"/>
  <c r="AB176" i="8" s="1"/>
  <c r="AE176" i="8"/>
  <c r="AP176" i="8"/>
  <c r="AS176" i="8"/>
  <c r="C177" i="8"/>
  <c r="P177" i="8"/>
  <c r="S177" i="8" s="1"/>
  <c r="R177" i="8"/>
  <c r="W177" i="8" s="1"/>
  <c r="T177" i="8"/>
  <c r="U177" i="8"/>
  <c r="X177" i="8"/>
  <c r="Z177" i="8" s="1"/>
  <c r="AB177" i="8"/>
  <c r="AE177" i="8"/>
  <c r="AP177" i="8"/>
  <c r="AS177" i="8"/>
  <c r="C178" i="8"/>
  <c r="U178" i="8" s="1"/>
  <c r="P178" i="8"/>
  <c r="R178" i="8"/>
  <c r="W178" i="8" s="1"/>
  <c r="S178" i="8"/>
  <c r="T178" i="8"/>
  <c r="X178" i="8"/>
  <c r="Z178" i="8" s="1"/>
  <c r="AB178" i="8" s="1"/>
  <c r="AE178" i="8"/>
  <c r="AP178" i="8"/>
  <c r="AS178" i="8"/>
  <c r="C179" i="8"/>
  <c r="P179" i="8"/>
  <c r="R179" i="8" s="1"/>
  <c r="T179" i="8"/>
  <c r="U179" i="8"/>
  <c r="AE179" i="8"/>
  <c r="AP179" i="8"/>
  <c r="AS179" i="8"/>
  <c r="C180" i="8"/>
  <c r="P180" i="8"/>
  <c r="R180" i="8"/>
  <c r="T180" i="8"/>
  <c r="U180" i="8"/>
  <c r="AP180" i="8"/>
  <c r="AS180" i="8"/>
  <c r="C181" i="8"/>
  <c r="P181" i="8"/>
  <c r="R181" i="8"/>
  <c r="X181" i="8" s="1"/>
  <c r="Z181" i="8" s="1"/>
  <c r="S181" i="8"/>
  <c r="T181" i="8"/>
  <c r="U181" i="8"/>
  <c r="W181" i="8"/>
  <c r="AB181" i="8"/>
  <c r="AE181" i="8"/>
  <c r="AP181" i="8"/>
  <c r="AS181" i="8"/>
  <c r="C182" i="8"/>
  <c r="U182" i="8" s="1"/>
  <c r="P182" i="8"/>
  <c r="T182" i="8"/>
  <c r="AP182" i="8"/>
  <c r="AS182" i="8"/>
  <c r="C183" i="8"/>
  <c r="P183" i="8"/>
  <c r="R183" i="8"/>
  <c r="S183" i="8"/>
  <c r="T183" i="8"/>
  <c r="U183" i="8"/>
  <c r="W183" i="8"/>
  <c r="X183" i="8"/>
  <c r="Z183" i="8" s="1"/>
  <c r="AB183" i="8" s="1"/>
  <c r="AE183" i="8"/>
  <c r="AP183" i="8"/>
  <c r="AS183" i="8"/>
  <c r="C184" i="8"/>
  <c r="P184" i="8"/>
  <c r="S184" i="8"/>
  <c r="T184" i="8"/>
  <c r="U184" i="8"/>
  <c r="AP184" i="8"/>
  <c r="AS184" i="8"/>
  <c r="C185" i="8"/>
  <c r="U185" i="8" s="1"/>
  <c r="P185" i="8"/>
  <c r="R185" i="8"/>
  <c r="S185" i="8"/>
  <c r="T185" i="8"/>
  <c r="AE185" i="8"/>
  <c r="AP185" i="8"/>
  <c r="AS185" i="8"/>
  <c r="C186" i="8"/>
  <c r="U186" i="8" s="1"/>
  <c r="P186" i="8"/>
  <c r="R186" i="8" s="1"/>
  <c r="T186" i="8"/>
  <c r="AE186" i="8"/>
  <c r="AP186" i="8"/>
  <c r="AS186" i="8"/>
  <c r="C187" i="8"/>
  <c r="P187" i="8"/>
  <c r="R187" i="8"/>
  <c r="S187" i="8"/>
  <c r="T187" i="8"/>
  <c r="U187" i="8"/>
  <c r="AE187" i="8"/>
  <c r="AP187" i="8"/>
  <c r="AS187" i="8"/>
  <c r="C188" i="8"/>
  <c r="U188" i="8" s="1"/>
  <c r="P188" i="8"/>
  <c r="R188" i="8"/>
  <c r="T188" i="8"/>
  <c r="AP188" i="8"/>
  <c r="AS188" i="8"/>
  <c r="C189" i="8"/>
  <c r="P189" i="8"/>
  <c r="S189" i="8" s="1"/>
  <c r="T189" i="8"/>
  <c r="U189" i="8"/>
  <c r="AP189" i="8"/>
  <c r="AS189" i="8"/>
  <c r="C190" i="8"/>
  <c r="P190" i="8"/>
  <c r="T190" i="8"/>
  <c r="U190" i="8"/>
  <c r="AP190" i="8"/>
  <c r="AS190" i="8"/>
  <c r="C191" i="8"/>
  <c r="U191" i="8" s="1"/>
  <c r="P191" i="8"/>
  <c r="R191" i="8"/>
  <c r="S191" i="8"/>
  <c r="T191" i="8"/>
  <c r="W191" i="8"/>
  <c r="X191" i="8"/>
  <c r="AE191" i="8"/>
  <c r="AP191" i="8"/>
  <c r="AS191" i="8"/>
  <c r="C192" i="8"/>
  <c r="P192" i="8"/>
  <c r="R192" i="8"/>
  <c r="X192" i="8" s="1"/>
  <c r="S192" i="8"/>
  <c r="T192" i="8"/>
  <c r="U192" i="8"/>
  <c r="W192" i="8"/>
  <c r="Z192" i="8"/>
  <c r="AB192" i="8" s="1"/>
  <c r="AE192" i="8"/>
  <c r="AP192" i="8"/>
  <c r="AS192" i="8"/>
  <c r="C193" i="8"/>
  <c r="U193" i="8" s="1"/>
  <c r="P193" i="8"/>
  <c r="T193" i="8"/>
  <c r="AE193" i="8"/>
  <c r="AP193" i="8"/>
  <c r="AS193" i="8"/>
  <c r="C194" i="8"/>
  <c r="P194" i="8"/>
  <c r="R194" i="8"/>
  <c r="S194" i="8"/>
  <c r="T194" i="8"/>
  <c r="U194" i="8"/>
  <c r="W194" i="8"/>
  <c r="X194" i="8"/>
  <c r="Z194" i="8" s="1"/>
  <c r="AB194" i="8"/>
  <c r="AE194" i="8"/>
  <c r="AP194" i="8"/>
  <c r="AS194" i="8"/>
  <c r="C195" i="8"/>
  <c r="U195" i="8" s="1"/>
  <c r="P195" i="8"/>
  <c r="T195" i="8"/>
  <c r="AE195" i="8"/>
  <c r="AP195" i="8"/>
  <c r="AS195" i="8"/>
  <c r="C196" i="8"/>
  <c r="P196" i="8"/>
  <c r="R196" i="8" s="1"/>
  <c r="S196" i="8"/>
  <c r="T196" i="8"/>
  <c r="U196" i="8"/>
  <c r="W196" i="8"/>
  <c r="X196" i="8"/>
  <c r="Z196" i="8" s="1"/>
  <c r="AB196" i="8" s="1"/>
  <c r="AE196" i="8"/>
  <c r="AP196" i="8"/>
  <c r="AS196" i="8"/>
  <c r="C197" i="8"/>
  <c r="U197" i="8" s="1"/>
  <c r="P197" i="8"/>
  <c r="AE197" i="8" s="1"/>
  <c r="R197" i="8"/>
  <c r="W197" i="8" s="1"/>
  <c r="S197" i="8"/>
  <c r="T197" i="8"/>
  <c r="X197" i="8"/>
  <c r="AP197" i="8"/>
  <c r="AS197" i="8"/>
  <c r="C198" i="8"/>
  <c r="P198" i="8"/>
  <c r="R198" i="8"/>
  <c r="S198" i="8"/>
  <c r="T198" i="8"/>
  <c r="U198" i="8"/>
  <c r="AE198" i="8"/>
  <c r="AP198" i="8"/>
  <c r="AS198" i="8"/>
  <c r="C199" i="8"/>
  <c r="U199" i="8" s="1"/>
  <c r="P199" i="8"/>
  <c r="S199" i="8" s="1"/>
  <c r="R199" i="8"/>
  <c r="X199" i="8" s="1"/>
  <c r="Z199" i="8" s="1"/>
  <c r="AB199" i="8" s="1"/>
  <c r="T199" i="8"/>
  <c r="AE199" i="8"/>
  <c r="AP199" i="8"/>
  <c r="AS199" i="8"/>
  <c r="C200" i="8"/>
  <c r="U200" i="8" s="1"/>
  <c r="P200" i="8"/>
  <c r="T200" i="8"/>
  <c r="AE200" i="8"/>
  <c r="AP200" i="8"/>
  <c r="AS200" i="8"/>
  <c r="R2" i="4"/>
  <c r="S2" i="4"/>
  <c r="AC2" i="4"/>
  <c r="AE2" i="4"/>
  <c r="D3" i="4"/>
  <c r="R3" i="4"/>
  <c r="S3" i="4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/>
  <c r="R11" i="4"/>
  <c r="S11" i="4" s="1"/>
  <c r="R12" i="4"/>
  <c r="S12" i="4"/>
  <c r="R13" i="4"/>
  <c r="S13" i="4" s="1"/>
  <c r="R14" i="4"/>
  <c r="S14" i="4" s="1"/>
  <c r="R15" i="4"/>
  <c r="S15" i="4" s="1"/>
  <c r="R16" i="4"/>
  <c r="S16" i="4"/>
  <c r="R17" i="4"/>
  <c r="S17" i="4"/>
  <c r="R18" i="4"/>
  <c r="S18" i="4" s="1"/>
  <c r="R19" i="4"/>
  <c r="S19" i="4" s="1"/>
  <c r="R20" i="4"/>
  <c r="S20" i="4"/>
  <c r="R21" i="4"/>
  <c r="S21" i="4" s="1"/>
  <c r="R22" i="4"/>
  <c r="S22" i="4" s="1"/>
  <c r="R23" i="4"/>
  <c r="S23" i="4" s="1"/>
  <c r="R24" i="4"/>
  <c r="S24" i="4" s="1"/>
  <c r="R25" i="4"/>
  <c r="S25" i="4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/>
  <c r="R35" i="4"/>
  <c r="S35" i="4" s="1"/>
  <c r="R36" i="4"/>
  <c r="S36" i="4" s="1"/>
  <c r="R37" i="4"/>
  <c r="S37" i="4"/>
  <c r="R38" i="4"/>
  <c r="S38" i="4" s="1"/>
  <c r="R39" i="4"/>
  <c r="S39" i="4" s="1"/>
  <c r="R40" i="4"/>
  <c r="S40" i="4"/>
  <c r="R41" i="4"/>
  <c r="S41" i="4"/>
  <c r="R42" i="4"/>
  <c r="S42" i="4"/>
  <c r="R43" i="4"/>
  <c r="S43" i="4" s="1"/>
  <c r="R44" i="4"/>
  <c r="S44" i="4"/>
  <c r="R45" i="4"/>
  <c r="S45" i="4"/>
  <c r="R46" i="4"/>
  <c r="S46" i="4" s="1"/>
  <c r="R47" i="4"/>
  <c r="S47" i="4"/>
  <c r="R48" i="4"/>
  <c r="S48" i="4" s="1"/>
  <c r="R49" i="4"/>
  <c r="S49" i="4" s="1"/>
  <c r="R50" i="4"/>
  <c r="S50" i="4" s="1"/>
  <c r="O55" i="4"/>
  <c r="S55" i="4"/>
  <c r="AC55" i="4"/>
  <c r="AD55" i="4"/>
  <c r="AE55" i="4"/>
  <c r="AH55" i="4"/>
  <c r="D56" i="4"/>
  <c r="P55" i="4" s="1"/>
  <c r="Q55" i="4" s="1"/>
  <c r="S56" i="4"/>
  <c r="D57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O107" i="4"/>
  <c r="S107" i="4"/>
  <c r="AC107" i="4"/>
  <c r="AE107" i="4"/>
  <c r="AH107" i="4"/>
  <c r="D108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O159" i="4"/>
  <c r="P159" i="4"/>
  <c r="S159" i="4"/>
  <c r="AC159" i="4"/>
  <c r="AD159" i="4"/>
  <c r="AE159" i="4"/>
  <c r="AG159" i="4"/>
  <c r="AJ159" i="4"/>
  <c r="D160" i="4"/>
  <c r="S160" i="4"/>
  <c r="D161" i="4"/>
  <c r="P160" i="4" s="1"/>
  <c r="S161" i="4"/>
  <c r="D162" i="4"/>
  <c r="S162" i="4"/>
  <c r="D163" i="4"/>
  <c r="D164" i="4" s="1"/>
  <c r="P163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12" i="4"/>
  <c r="AC212" i="4"/>
  <c r="AD212" i="4" s="1"/>
  <c r="AJ212" i="4" s="1"/>
  <c r="AE212" i="4"/>
  <c r="AG212" i="4"/>
  <c r="D213" i="4"/>
  <c r="P212" i="4" s="1"/>
  <c r="Q212" i="4" s="1"/>
  <c r="S213" i="4"/>
  <c r="D214" i="4"/>
  <c r="P213" i="4" s="1"/>
  <c r="Q213" i="4" s="1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P265" i="4"/>
  <c r="Q265" i="4" s="1"/>
  <c r="S265" i="4"/>
  <c r="AC265" i="4"/>
  <c r="AH265" i="4" s="1"/>
  <c r="AD265" i="4"/>
  <c r="AG265" i="4" s="1"/>
  <c r="AE265" i="4"/>
  <c r="AJ265" i="4"/>
  <c r="D266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7" i="4"/>
  <c r="AC317" i="4"/>
  <c r="AD317" i="4"/>
  <c r="AG317" i="4" s="1"/>
  <c r="AE317" i="4"/>
  <c r="AH317" i="4"/>
  <c r="AJ317" i="4"/>
  <c r="D318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9" i="4"/>
  <c r="AC369" i="4"/>
  <c r="AD369" i="4" s="1"/>
  <c r="AJ369" i="4" s="1"/>
  <c r="AE369" i="4"/>
  <c r="AG369" i="4"/>
  <c r="AH369" i="4"/>
  <c r="D370" i="4"/>
  <c r="S370" i="4"/>
  <c r="D371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O421" i="4"/>
  <c r="P421" i="4"/>
  <c r="Q421" i="4" s="1"/>
  <c r="S421" i="4"/>
  <c r="AC421" i="4"/>
  <c r="AE421" i="4"/>
  <c r="D422" i="4"/>
  <c r="D423" i="4" s="1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4" i="4"/>
  <c r="AC474" i="4"/>
  <c r="AE474" i="4" s="1"/>
  <c r="AD474" i="4"/>
  <c r="AH474" i="4"/>
  <c r="D475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6" i="4"/>
  <c r="AC526" i="4"/>
  <c r="AD526" i="4"/>
  <c r="AE526" i="4"/>
  <c r="D527" i="4"/>
  <c r="P526" i="4" s="1"/>
  <c r="Q526" i="4" s="1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9" i="4"/>
  <c r="AC579" i="4"/>
  <c r="AE579" i="4"/>
  <c r="D580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32" i="4"/>
  <c r="AC632" i="4"/>
  <c r="AD632" i="4" s="1"/>
  <c r="AJ632" i="4" s="1"/>
  <c r="AE632" i="4"/>
  <c r="AG632" i="4"/>
  <c r="AH632" i="4"/>
  <c r="D633" i="4"/>
  <c r="S633" i="4"/>
  <c r="D634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O685" i="4"/>
  <c r="P685" i="4"/>
  <c r="Q685" i="4" s="1"/>
  <c r="S685" i="4"/>
  <c r="AC685" i="4"/>
  <c r="AD685" i="4"/>
  <c r="D686" i="4"/>
  <c r="D687" i="4" s="1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8" i="4"/>
  <c r="AC738" i="4"/>
  <c r="D739" i="4"/>
  <c r="S739" i="4"/>
  <c r="D740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O791" i="4"/>
  <c r="P791" i="4"/>
  <c r="Q791" i="4"/>
  <c r="S791" i="4"/>
  <c r="AC791" i="4"/>
  <c r="AD791" i="4" s="1"/>
  <c r="AE791" i="4"/>
  <c r="AG791" i="4"/>
  <c r="AH791" i="4"/>
  <c r="AJ791" i="4"/>
  <c r="D792" i="4"/>
  <c r="S792" i="4"/>
  <c r="D793" i="4"/>
  <c r="D794" i="4" s="1"/>
  <c r="P793" i="4" s="1"/>
  <c r="O793" i="4"/>
  <c r="S793" i="4"/>
  <c r="S794" i="4"/>
  <c r="D795" i="4"/>
  <c r="O794" i="4" s="1"/>
  <c r="S795" i="4"/>
  <c r="D796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4" i="4"/>
  <c r="AC844" i="4"/>
  <c r="AD844" i="4" s="1"/>
  <c r="AE844" i="4"/>
  <c r="AH844" i="4"/>
  <c r="D845" i="4"/>
  <c r="S845" i="4"/>
  <c r="D846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7" i="4"/>
  <c r="AC897" i="4"/>
  <c r="D898" i="4"/>
  <c r="P897" i="4" s="1"/>
  <c r="Q897" i="4" s="1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50" i="4"/>
  <c r="AC950" i="4"/>
  <c r="AD950" i="4"/>
  <c r="AG950" i="4" s="1"/>
  <c r="AE950" i="4"/>
  <c r="AH950" i="4"/>
  <c r="AJ950" i="4"/>
  <c r="D951" i="4"/>
  <c r="P950" i="4" s="1"/>
  <c r="Q950" i="4" s="1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1004" i="4"/>
  <c r="AC1004" i="4"/>
  <c r="AH1004" i="4"/>
  <c r="D1005" i="4"/>
  <c r="O1004" i="4" s="1"/>
  <c r="S1005" i="4"/>
  <c r="D1006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7" i="4"/>
  <c r="AC1057" i="4"/>
  <c r="D1058" i="4"/>
  <c r="O1057" i="4" s="1"/>
  <c r="S1058" i="4"/>
  <c r="D1059" i="4"/>
  <c r="O1058" i="4" s="1"/>
  <c r="S1059" i="4"/>
  <c r="D1060" i="4"/>
  <c r="S1060" i="4"/>
  <c r="D1061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11" i="4"/>
  <c r="AC1111" i="4"/>
  <c r="AH1111" i="4"/>
  <c r="D1112" i="4"/>
  <c r="D1113" i="4" s="1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AE190" i="8" l="1"/>
  <c r="S190" i="8"/>
  <c r="S166" i="8"/>
  <c r="AE166" i="8"/>
  <c r="W179" i="8"/>
  <c r="X179" i="8"/>
  <c r="Z179" i="8" s="1"/>
  <c r="AB179" i="8" s="1"/>
  <c r="X158" i="8"/>
  <c r="Z158" i="8" s="1"/>
  <c r="AB158" i="8" s="1"/>
  <c r="W158" i="8"/>
  <c r="W148" i="8"/>
  <c r="X148" i="8"/>
  <c r="Z148" i="8" s="1"/>
  <c r="AB148" i="8" s="1"/>
  <c r="S116" i="8"/>
  <c r="AE116" i="8"/>
  <c r="R116" i="8"/>
  <c r="W198" i="8"/>
  <c r="X198" i="8"/>
  <c r="Z198" i="8" s="1"/>
  <c r="AB198" i="8" s="1"/>
  <c r="AE184" i="8"/>
  <c r="R184" i="8"/>
  <c r="W167" i="8"/>
  <c r="X167" i="8"/>
  <c r="Z167" i="8" s="1"/>
  <c r="AB167" i="8" s="1"/>
  <c r="W172" i="8"/>
  <c r="X172" i="8"/>
  <c r="Z172" i="8" s="1"/>
  <c r="AB172" i="8" s="1"/>
  <c r="S167" i="8"/>
  <c r="AE167" i="8"/>
  <c r="R124" i="8"/>
  <c r="S124" i="8"/>
  <c r="AE124" i="8"/>
  <c r="S195" i="8"/>
  <c r="R195" i="8"/>
  <c r="W185" i="8"/>
  <c r="X185" i="8"/>
  <c r="Z185" i="8" s="1"/>
  <c r="AB185" i="8" s="1"/>
  <c r="W180" i="8"/>
  <c r="X180" i="8"/>
  <c r="Z180" i="8" s="1"/>
  <c r="AB180" i="8" s="1"/>
  <c r="R175" i="8"/>
  <c r="S175" i="8"/>
  <c r="W105" i="8"/>
  <c r="X105" i="8"/>
  <c r="Z105" i="8" s="1"/>
  <c r="AB105" i="8" s="1"/>
  <c r="AE180" i="8"/>
  <c r="S180" i="8"/>
  <c r="W187" i="8"/>
  <c r="X187" i="8"/>
  <c r="Z187" i="8" s="1"/>
  <c r="AB187" i="8" s="1"/>
  <c r="W165" i="8"/>
  <c r="X165" i="8"/>
  <c r="Z165" i="8" s="1"/>
  <c r="AB165" i="8" s="1"/>
  <c r="X188" i="8"/>
  <c r="Z188" i="8" s="1"/>
  <c r="AB188" i="8" s="1"/>
  <c r="W188" i="8"/>
  <c r="R155" i="8"/>
  <c r="AE155" i="8"/>
  <c r="S155" i="8"/>
  <c r="W141" i="8"/>
  <c r="X141" i="8"/>
  <c r="Z141" i="8" s="1"/>
  <c r="AB141" i="8" s="1"/>
  <c r="S188" i="8"/>
  <c r="AE188" i="8"/>
  <c r="AE150" i="8"/>
  <c r="S150" i="8"/>
  <c r="R150" i="8"/>
  <c r="S70" i="8"/>
  <c r="AE70" i="8"/>
  <c r="R70" i="8"/>
  <c r="R190" i="8"/>
  <c r="R169" i="8"/>
  <c r="S169" i="8"/>
  <c r="AE169" i="8"/>
  <c r="R166" i="8"/>
  <c r="AE158" i="8"/>
  <c r="X153" i="8"/>
  <c r="Z153" i="8" s="1"/>
  <c r="AB153" i="8" s="1"/>
  <c r="W153" i="8"/>
  <c r="AE159" i="8"/>
  <c r="R159" i="8"/>
  <c r="AE156" i="8"/>
  <c r="R156" i="8"/>
  <c r="U142" i="8"/>
  <c r="Z142" i="8"/>
  <c r="AB142" i="8" s="1"/>
  <c r="S108" i="8"/>
  <c r="R108" i="8"/>
  <c r="AE108" i="8"/>
  <c r="W174" i="8"/>
  <c r="W125" i="8"/>
  <c r="X125" i="8"/>
  <c r="Z125" i="8" s="1"/>
  <c r="AB125" i="8" s="1"/>
  <c r="W199" i="8"/>
  <c r="Z197" i="8"/>
  <c r="AB197" i="8" s="1"/>
  <c r="Z191" i="8"/>
  <c r="AB191" i="8" s="1"/>
  <c r="R171" i="8"/>
  <c r="S171" i="8"/>
  <c r="S160" i="8"/>
  <c r="AE160" i="8"/>
  <c r="AE161" i="8"/>
  <c r="S161" i="8"/>
  <c r="R140" i="8"/>
  <c r="S140" i="8"/>
  <c r="AE140" i="8"/>
  <c r="W186" i="8"/>
  <c r="X186" i="8"/>
  <c r="Z186" i="8" s="1"/>
  <c r="AB186" i="8" s="1"/>
  <c r="R189" i="8"/>
  <c r="AE189" i="8"/>
  <c r="S170" i="8"/>
  <c r="AE170" i="8"/>
  <c r="R170" i="8"/>
  <c r="AE148" i="8"/>
  <c r="S148" i="8"/>
  <c r="AE137" i="8"/>
  <c r="R137" i="8"/>
  <c r="S137" i="8"/>
  <c r="R182" i="8"/>
  <c r="AE182" i="8"/>
  <c r="S182" i="8"/>
  <c r="AE130" i="8"/>
  <c r="R130" i="8"/>
  <c r="R117" i="8"/>
  <c r="AE117" i="8"/>
  <c r="X79" i="8"/>
  <c r="Z79" i="8" s="1"/>
  <c r="AB79" i="8" s="1"/>
  <c r="W79" i="8"/>
  <c r="AE163" i="8"/>
  <c r="S163" i="8"/>
  <c r="W98" i="8"/>
  <c r="X98" i="8"/>
  <c r="Z98" i="8" s="1"/>
  <c r="AB98" i="8" s="1"/>
  <c r="AE98" i="8"/>
  <c r="S98" i="8"/>
  <c r="S96" i="8"/>
  <c r="R96" i="8"/>
  <c r="AE96" i="8"/>
  <c r="S62" i="8"/>
  <c r="AE62" i="8"/>
  <c r="R62" i="8"/>
  <c r="X58" i="8"/>
  <c r="Z58" i="8" s="1"/>
  <c r="AB58" i="8" s="1"/>
  <c r="W58" i="8"/>
  <c r="X138" i="8"/>
  <c r="Z138" i="8" s="1"/>
  <c r="AB138" i="8" s="1"/>
  <c r="W138" i="8"/>
  <c r="W71" i="8"/>
  <c r="X71" i="8"/>
  <c r="Z71" i="8" s="1"/>
  <c r="AB71" i="8" s="1"/>
  <c r="X37" i="8"/>
  <c r="Z37" i="8" s="1"/>
  <c r="AB37" i="8" s="1"/>
  <c r="W37" i="8"/>
  <c r="S102" i="8"/>
  <c r="R102" i="8"/>
  <c r="AE102" i="8"/>
  <c r="S69" i="8"/>
  <c r="R69" i="8"/>
  <c r="AE69" i="8"/>
  <c r="S151" i="8"/>
  <c r="R151" i="8"/>
  <c r="W143" i="8"/>
  <c r="X143" i="8"/>
  <c r="Z143" i="8" s="1"/>
  <c r="AB143" i="8" s="1"/>
  <c r="R56" i="8"/>
  <c r="S56" i="8"/>
  <c r="AE56" i="8"/>
  <c r="M2" i="8"/>
  <c r="Y2" i="8" s="1"/>
  <c r="AA2" i="8" s="1"/>
  <c r="N2" i="8"/>
  <c r="O2" i="8"/>
  <c r="AC2" i="8"/>
  <c r="L3" i="8"/>
  <c r="X168" i="8"/>
  <c r="Z168" i="8" s="1"/>
  <c r="AB168" i="8" s="1"/>
  <c r="W168" i="8"/>
  <c r="W119" i="8"/>
  <c r="X119" i="8"/>
  <c r="Z119" i="8" s="1"/>
  <c r="AB119" i="8" s="1"/>
  <c r="W113" i="8"/>
  <c r="X113" i="8"/>
  <c r="Z113" i="8" s="1"/>
  <c r="AB113" i="8" s="1"/>
  <c r="R193" i="8"/>
  <c r="S193" i="8"/>
  <c r="AE173" i="8"/>
  <c r="S173" i="8"/>
  <c r="R154" i="8"/>
  <c r="AE154" i="8"/>
  <c r="S154" i="8"/>
  <c r="U144" i="8"/>
  <c r="Z144" i="8"/>
  <c r="AB144" i="8" s="1"/>
  <c r="R200" i="8"/>
  <c r="S200" i="8"/>
  <c r="AE162" i="8"/>
  <c r="R103" i="8"/>
  <c r="S103" i="8"/>
  <c r="W67" i="8"/>
  <c r="X67" i="8"/>
  <c r="Z67" i="8" s="1"/>
  <c r="AB67" i="8" s="1"/>
  <c r="X131" i="8"/>
  <c r="Z131" i="8" s="1"/>
  <c r="AB131" i="8" s="1"/>
  <c r="W131" i="8"/>
  <c r="R126" i="8"/>
  <c r="S126" i="8"/>
  <c r="X123" i="8"/>
  <c r="Z123" i="8" s="1"/>
  <c r="AB123" i="8" s="1"/>
  <c r="W123" i="8"/>
  <c r="AE120" i="8"/>
  <c r="R120" i="8"/>
  <c r="R149" i="8"/>
  <c r="AE149" i="8"/>
  <c r="R49" i="8"/>
  <c r="S49" i="8"/>
  <c r="AE49" i="8"/>
  <c r="AE43" i="8"/>
  <c r="R43" i="8"/>
  <c r="X41" i="8"/>
  <c r="Z41" i="8" s="1"/>
  <c r="AB41" i="8" s="1"/>
  <c r="W41" i="8"/>
  <c r="S141" i="8"/>
  <c r="AE141" i="8"/>
  <c r="R104" i="8"/>
  <c r="S104" i="8"/>
  <c r="AE104" i="8"/>
  <c r="R54" i="8"/>
  <c r="AE54" i="8"/>
  <c r="W144" i="8"/>
  <c r="W115" i="8"/>
  <c r="X115" i="8"/>
  <c r="Z115" i="8" s="1"/>
  <c r="AB115" i="8" s="1"/>
  <c r="R89" i="8"/>
  <c r="S89" i="8"/>
  <c r="AE89" i="8"/>
  <c r="W50" i="8"/>
  <c r="X50" i="8"/>
  <c r="Z50" i="8" s="1"/>
  <c r="AB50" i="8" s="1"/>
  <c r="R7" i="8"/>
  <c r="S7" i="8"/>
  <c r="AE7" i="8"/>
  <c r="W85" i="8"/>
  <c r="X85" i="8"/>
  <c r="Z85" i="8" s="1"/>
  <c r="AB85" i="8" s="1"/>
  <c r="S186" i="8"/>
  <c r="S179" i="8"/>
  <c r="X164" i="8"/>
  <c r="Z164" i="8" s="1"/>
  <c r="AB164" i="8" s="1"/>
  <c r="W136" i="8"/>
  <c r="X136" i="8"/>
  <c r="Z136" i="8" s="1"/>
  <c r="AB136" i="8" s="1"/>
  <c r="S121" i="8"/>
  <c r="R121" i="8"/>
  <c r="Z78" i="8"/>
  <c r="AB78" i="8" s="1"/>
  <c r="S19" i="8"/>
  <c r="R19" i="8"/>
  <c r="AE19" i="8"/>
  <c r="X133" i="8"/>
  <c r="Z133" i="8" s="1"/>
  <c r="AB133" i="8" s="1"/>
  <c r="W129" i="8"/>
  <c r="X129" i="8"/>
  <c r="Z129" i="8" s="1"/>
  <c r="AB129" i="8" s="1"/>
  <c r="W118" i="8"/>
  <c r="X118" i="8"/>
  <c r="Z118" i="8" s="1"/>
  <c r="AB118" i="8" s="1"/>
  <c r="W114" i="8"/>
  <c r="X114" i="8"/>
  <c r="Z114" i="8" s="1"/>
  <c r="AB114" i="8" s="1"/>
  <c r="R82" i="8"/>
  <c r="S82" i="8"/>
  <c r="AE82" i="8"/>
  <c r="W81" i="8"/>
  <c r="R51" i="8"/>
  <c r="S51" i="8"/>
  <c r="AE51" i="8"/>
  <c r="Z110" i="8"/>
  <c r="AB110" i="8" s="1"/>
  <c r="S83" i="8"/>
  <c r="R83" i="8"/>
  <c r="AE83" i="8"/>
  <c r="R31" i="8"/>
  <c r="S31" i="8"/>
  <c r="AE31" i="8"/>
  <c r="W128" i="8"/>
  <c r="X128" i="8"/>
  <c r="Z128" i="8" s="1"/>
  <c r="AB128" i="8" s="1"/>
  <c r="S118" i="8"/>
  <c r="AE118" i="8"/>
  <c r="R87" i="8"/>
  <c r="S87" i="8"/>
  <c r="AE87" i="8"/>
  <c r="R68" i="8"/>
  <c r="S68" i="8"/>
  <c r="AE68" i="8"/>
  <c r="AE37" i="8"/>
  <c r="S37" i="8"/>
  <c r="R53" i="8"/>
  <c r="S53" i="8"/>
  <c r="AE53" i="8"/>
  <c r="W45" i="8"/>
  <c r="X45" i="8"/>
  <c r="Z45" i="8" s="1"/>
  <c r="AB45" i="8" s="1"/>
  <c r="AE80" i="8"/>
  <c r="S45" i="8"/>
  <c r="Z40" i="8"/>
  <c r="AB40" i="8" s="1"/>
  <c r="W127" i="8"/>
  <c r="X109" i="8"/>
  <c r="Z109" i="8" s="1"/>
  <c r="AB109" i="8" s="1"/>
  <c r="W109" i="8"/>
  <c r="R99" i="8"/>
  <c r="AE99" i="8"/>
  <c r="S90" i="8"/>
  <c r="R90" i="8"/>
  <c r="AE90" i="8"/>
  <c r="W64" i="8"/>
  <c r="X64" i="8"/>
  <c r="Z64" i="8" s="1"/>
  <c r="AB64" i="8" s="1"/>
  <c r="S39" i="8"/>
  <c r="AE39" i="8"/>
  <c r="R39" i="8"/>
  <c r="AE75" i="8"/>
  <c r="R75" i="8"/>
  <c r="S75" i="8"/>
  <c r="AE63" i="8"/>
  <c r="R63" i="8"/>
  <c r="S63" i="8"/>
  <c r="AE26" i="8"/>
  <c r="R26" i="8"/>
  <c r="S26" i="8"/>
  <c r="W106" i="8"/>
  <c r="X106" i="8"/>
  <c r="Z106" i="8" s="1"/>
  <c r="AB106" i="8" s="1"/>
  <c r="R94" i="8"/>
  <c r="AE94" i="8"/>
  <c r="X74" i="8"/>
  <c r="Z74" i="8" s="1"/>
  <c r="AB74" i="8" s="1"/>
  <c r="W74" i="8"/>
  <c r="Z65" i="8"/>
  <c r="AB65" i="8" s="1"/>
  <c r="Z57" i="8"/>
  <c r="AB57" i="8" s="1"/>
  <c r="AE50" i="8"/>
  <c r="S50" i="8"/>
  <c r="AE42" i="8"/>
  <c r="S34" i="8"/>
  <c r="AE34" i="8"/>
  <c r="R34" i="8"/>
  <c r="AE28" i="8"/>
  <c r="R28" i="8"/>
  <c r="S28" i="8"/>
  <c r="X21" i="8"/>
  <c r="Z21" i="8" s="1"/>
  <c r="AB21" i="8" s="1"/>
  <c r="W21" i="8"/>
  <c r="S76" i="8"/>
  <c r="R76" i="8"/>
  <c r="S73" i="8"/>
  <c r="W66" i="8"/>
  <c r="X66" i="8"/>
  <c r="Z66" i="8" s="1"/>
  <c r="AB66" i="8" s="1"/>
  <c r="R61" i="8"/>
  <c r="X48" i="8"/>
  <c r="Z48" i="8" s="1"/>
  <c r="AB48" i="8" s="1"/>
  <c r="W48" i="8"/>
  <c r="S42" i="8"/>
  <c r="S41" i="8"/>
  <c r="AE41" i="8"/>
  <c r="R22" i="8"/>
  <c r="S22" i="8"/>
  <c r="AE22" i="8"/>
  <c r="S16" i="8"/>
  <c r="R16" i="8"/>
  <c r="R59" i="8"/>
  <c r="AE59" i="8"/>
  <c r="W42" i="8"/>
  <c r="X42" i="8"/>
  <c r="Z42" i="8" s="1"/>
  <c r="AB42" i="8" s="1"/>
  <c r="R97" i="8"/>
  <c r="R55" i="8"/>
  <c r="Z47" i="8"/>
  <c r="AB47" i="8" s="1"/>
  <c r="X44" i="8"/>
  <c r="Z44" i="8" s="1"/>
  <c r="AB44" i="8" s="1"/>
  <c r="R36" i="8"/>
  <c r="AE36" i="8"/>
  <c r="AE97" i="8"/>
  <c r="W32" i="8"/>
  <c r="X32" i="8"/>
  <c r="Z32" i="8" s="1"/>
  <c r="AB32" i="8" s="1"/>
  <c r="S32" i="8"/>
  <c r="R25" i="8"/>
  <c r="S25" i="8"/>
  <c r="R20" i="8"/>
  <c r="R29" i="8"/>
  <c r="AE29" i="8"/>
  <c r="X24" i="8"/>
  <c r="Z24" i="8" s="1"/>
  <c r="AB24" i="8" s="1"/>
  <c r="W24" i="8"/>
  <c r="W23" i="8"/>
  <c r="W3" i="8"/>
  <c r="X3" i="8"/>
  <c r="Z3" i="8" s="1"/>
  <c r="AB3" i="8" s="1"/>
  <c r="S24" i="8"/>
  <c r="AE24" i="8"/>
  <c r="W27" i="8"/>
  <c r="X27" i="8"/>
  <c r="Z27" i="8" s="1"/>
  <c r="AB27" i="8" s="1"/>
  <c r="Z23" i="8"/>
  <c r="AB23" i="8" s="1"/>
  <c r="S27" i="8"/>
  <c r="W17" i="8"/>
  <c r="X17" i="8"/>
  <c r="Z17" i="8" s="1"/>
  <c r="AB17" i="8" s="1"/>
  <c r="R15" i="8"/>
  <c r="S15" i="8"/>
  <c r="W12" i="8"/>
  <c r="X12" i="8"/>
  <c r="Z12" i="8" s="1"/>
  <c r="AB12" i="8" s="1"/>
  <c r="W8" i="8"/>
  <c r="X8" i="8"/>
  <c r="Z8" i="8" s="1"/>
  <c r="AB8" i="8" s="1"/>
  <c r="W2" i="8"/>
  <c r="X2" i="8"/>
  <c r="Z2" i="8" s="1"/>
  <c r="AB2" i="8" s="1"/>
  <c r="AK2" i="8"/>
  <c r="AS2" i="8" s="1"/>
  <c r="AE2" i="8"/>
  <c r="R9" i="8"/>
  <c r="S9" i="8"/>
  <c r="S30" i="8"/>
  <c r="S13" i="8"/>
  <c r="R6" i="8"/>
  <c r="P1112" i="4"/>
  <c r="D1114" i="4"/>
  <c r="D1115" i="4" s="1"/>
  <c r="O1112" i="4"/>
  <c r="P1111" i="4"/>
  <c r="Q1111" i="4" s="1"/>
  <c r="O1111" i="4"/>
  <c r="P1058" i="4"/>
  <c r="P1057" i="4"/>
  <c r="Q1057" i="4" s="1"/>
  <c r="P1004" i="4"/>
  <c r="Q1004" i="4" s="1"/>
  <c r="O950" i="4"/>
  <c r="D952" i="4"/>
  <c r="P794" i="4"/>
  <c r="Q794" i="4" s="1"/>
  <c r="P792" i="4"/>
  <c r="Q793" i="4" s="1"/>
  <c r="O792" i="4"/>
  <c r="O686" i="4"/>
  <c r="P686" i="4"/>
  <c r="Q686" i="4" s="1"/>
  <c r="D688" i="4"/>
  <c r="P687" i="4" s="1"/>
  <c r="Q687" i="4" s="1"/>
  <c r="D424" i="4"/>
  <c r="O422" i="4"/>
  <c r="P422" i="4"/>
  <c r="Q422" i="4" s="1"/>
  <c r="O212" i="4"/>
  <c r="O160" i="4"/>
  <c r="O897" i="4"/>
  <c r="D899" i="4"/>
  <c r="D425" i="4"/>
  <c r="P423" i="4"/>
  <c r="Q423" i="4" s="1"/>
  <c r="O423" i="4"/>
  <c r="D1062" i="4"/>
  <c r="O1060" i="4"/>
  <c r="P1060" i="4"/>
  <c r="Q1060" i="4" s="1"/>
  <c r="O845" i="4"/>
  <c r="P845" i="4"/>
  <c r="Q845" i="4" s="1"/>
  <c r="D847" i="4"/>
  <c r="AH1057" i="4"/>
  <c r="AE1057" i="4"/>
  <c r="AD1057" i="4"/>
  <c r="O579" i="4"/>
  <c r="P579" i="4"/>
  <c r="Q579" i="4" s="1"/>
  <c r="D581" i="4"/>
  <c r="P474" i="4"/>
  <c r="Q474" i="4" s="1"/>
  <c r="D476" i="4"/>
  <c r="O474" i="4"/>
  <c r="O2" i="4"/>
  <c r="P2" i="4"/>
  <c r="Q2" i="4" s="1"/>
  <c r="D4" i="4"/>
  <c r="AG685" i="4"/>
  <c r="AJ685" i="4"/>
  <c r="AE685" i="4"/>
  <c r="AH685" i="4"/>
  <c r="D635" i="4"/>
  <c r="P633" i="4"/>
  <c r="O633" i="4"/>
  <c r="O739" i="4"/>
  <c r="D741" i="4"/>
  <c r="AE738" i="4"/>
  <c r="AD738" i="4"/>
  <c r="AH738" i="4"/>
  <c r="P370" i="4"/>
  <c r="Q370" i="4" s="1"/>
  <c r="D372" i="4"/>
  <c r="O1113" i="4"/>
  <c r="P1113" i="4"/>
  <c r="Q1113" i="4" s="1"/>
  <c r="Q1058" i="4"/>
  <c r="AD579" i="4"/>
  <c r="AH579" i="4"/>
  <c r="AD421" i="4"/>
  <c r="AH421" i="4"/>
  <c r="O370" i="4"/>
  <c r="P739" i="4"/>
  <c r="Q159" i="4"/>
  <c r="Q160" i="4"/>
  <c r="AH897" i="4"/>
  <c r="AD897" i="4"/>
  <c r="AE897" i="4"/>
  <c r="AJ526" i="4"/>
  <c r="AG526" i="4"/>
  <c r="AH526" i="4"/>
  <c r="AG55" i="4"/>
  <c r="AJ55" i="4"/>
  <c r="AJ844" i="4"/>
  <c r="AG844" i="4"/>
  <c r="Q792" i="4"/>
  <c r="O163" i="4"/>
  <c r="D165" i="4"/>
  <c r="P1005" i="4"/>
  <c r="O1005" i="4"/>
  <c r="D1007" i="4"/>
  <c r="O687" i="4"/>
  <c r="D319" i="4"/>
  <c r="P317" i="4"/>
  <c r="Q317" i="4" s="1"/>
  <c r="O317" i="4"/>
  <c r="AD1111" i="4"/>
  <c r="AE1111" i="4"/>
  <c r="P1059" i="4"/>
  <c r="Q1059" i="4" s="1"/>
  <c r="O1059" i="4"/>
  <c r="O844" i="4"/>
  <c r="P844" i="4"/>
  <c r="Q844" i="4" s="1"/>
  <c r="P162" i="4"/>
  <c r="Q162" i="4" s="1"/>
  <c r="AD1004" i="4"/>
  <c r="AE1004" i="4"/>
  <c r="O795" i="4"/>
  <c r="P795" i="4"/>
  <c r="D797" i="4"/>
  <c r="O526" i="4"/>
  <c r="D528" i="4"/>
  <c r="O162" i="4"/>
  <c r="P56" i="4"/>
  <c r="Q56" i="4" s="1"/>
  <c r="O56" i="4"/>
  <c r="D58" i="4"/>
  <c r="AG474" i="4"/>
  <c r="AJ474" i="4"/>
  <c r="O369" i="4"/>
  <c r="P369" i="4"/>
  <c r="Q369" i="4" s="1"/>
  <c r="O161" i="4"/>
  <c r="P161" i="4"/>
  <c r="Q161" i="4" s="1"/>
  <c r="O632" i="4"/>
  <c r="P632" i="4"/>
  <c r="Q632" i="4" s="1"/>
  <c r="P738" i="4"/>
  <c r="Q738" i="4" s="1"/>
  <c r="O738" i="4"/>
  <c r="D215" i="4"/>
  <c r="O213" i="4"/>
  <c r="AD2" i="4"/>
  <c r="AH2" i="4"/>
  <c r="D267" i="4"/>
  <c r="O265" i="4"/>
  <c r="AD107" i="4"/>
  <c r="P107" i="4"/>
  <c r="Q107" i="4" s="1"/>
  <c r="D109" i="4"/>
  <c r="AH212" i="4"/>
  <c r="AH159" i="4"/>
  <c r="F2" i="3"/>
  <c r="G2" i="3"/>
  <c r="J2" i="3"/>
  <c r="F3" i="3"/>
  <c r="J3" i="3"/>
  <c r="F4" i="3"/>
  <c r="J4" i="3"/>
  <c r="F5" i="3"/>
  <c r="J5" i="3"/>
  <c r="F6" i="3"/>
  <c r="J6" i="3"/>
  <c r="F7" i="3"/>
  <c r="J7" i="3"/>
  <c r="F8" i="3"/>
  <c r="J8" i="3"/>
  <c r="F9" i="3"/>
  <c r="J9" i="3"/>
  <c r="F10" i="3"/>
  <c r="J10" i="3"/>
  <c r="F11" i="3"/>
  <c r="J11" i="3"/>
  <c r="F12" i="3"/>
  <c r="J12" i="3"/>
  <c r="F13" i="3"/>
  <c r="J13" i="3"/>
  <c r="F14" i="3"/>
  <c r="J14" i="3"/>
  <c r="F15" i="3"/>
  <c r="J15" i="3"/>
  <c r="F16" i="3"/>
  <c r="J16" i="3"/>
  <c r="F17" i="3"/>
  <c r="J17" i="3"/>
  <c r="F18" i="3"/>
  <c r="J18" i="3"/>
  <c r="F19" i="3"/>
  <c r="J19" i="3"/>
  <c r="F20" i="3"/>
  <c r="J20" i="3"/>
  <c r="F21" i="3"/>
  <c r="J21" i="3"/>
  <c r="F22" i="3"/>
  <c r="J22" i="3"/>
  <c r="F23" i="3"/>
  <c r="J23" i="3"/>
  <c r="F24" i="3"/>
  <c r="J24" i="3"/>
  <c r="F25" i="3"/>
  <c r="J25" i="3"/>
  <c r="F26" i="3"/>
  <c r="J26" i="3"/>
  <c r="F27" i="3"/>
  <c r="J27" i="3"/>
  <c r="F28" i="3"/>
  <c r="J28" i="3"/>
  <c r="F29" i="3"/>
  <c r="J29" i="3"/>
  <c r="F30" i="3"/>
  <c r="J30" i="3"/>
  <c r="F31" i="3"/>
  <c r="J31" i="3"/>
  <c r="F32" i="3"/>
  <c r="J32" i="3"/>
  <c r="F33" i="3"/>
  <c r="J33" i="3"/>
  <c r="F34" i="3"/>
  <c r="J34" i="3"/>
  <c r="F35" i="3"/>
  <c r="J35" i="3" s="1"/>
  <c r="F36" i="3"/>
  <c r="J36" i="3" s="1"/>
  <c r="F37" i="3"/>
  <c r="J37" i="3" s="1"/>
  <c r="F38" i="3"/>
  <c r="J38" i="3"/>
  <c r="F39" i="3"/>
  <c r="J39" i="3" s="1"/>
  <c r="F40" i="3"/>
  <c r="J40" i="3"/>
  <c r="F41" i="3"/>
  <c r="J41" i="3"/>
  <c r="F42" i="3"/>
  <c r="J42" i="3"/>
  <c r="F43" i="3"/>
  <c r="J43" i="3" s="1"/>
  <c r="F44" i="3"/>
  <c r="J44" i="3" s="1"/>
  <c r="F45" i="3"/>
  <c r="J45" i="3" s="1"/>
  <c r="F46" i="3"/>
  <c r="J46" i="3"/>
  <c r="F47" i="3"/>
  <c r="J47" i="3"/>
  <c r="F48" i="3"/>
  <c r="J48" i="3"/>
  <c r="F49" i="3"/>
  <c r="J49" i="3"/>
  <c r="F50" i="3"/>
  <c r="J50" i="3"/>
  <c r="F51" i="3"/>
  <c r="J51" i="3"/>
  <c r="W20" i="8" l="1"/>
  <c r="X20" i="8"/>
  <c r="Z20" i="8" s="1"/>
  <c r="AB20" i="8" s="1"/>
  <c r="W89" i="8"/>
  <c r="X89" i="8"/>
  <c r="Z89" i="8" s="1"/>
  <c r="AB89" i="8" s="1"/>
  <c r="W34" i="8"/>
  <c r="X34" i="8"/>
  <c r="Z34" i="8" s="1"/>
  <c r="AB34" i="8" s="1"/>
  <c r="W69" i="8"/>
  <c r="X69" i="8"/>
  <c r="Z69" i="8" s="1"/>
  <c r="AB69" i="8" s="1"/>
  <c r="W62" i="8"/>
  <c r="X62" i="8"/>
  <c r="Z62" i="8" s="1"/>
  <c r="AB62" i="8" s="1"/>
  <c r="W25" i="8"/>
  <c r="X25" i="8"/>
  <c r="Z25" i="8" s="1"/>
  <c r="AB25" i="8" s="1"/>
  <c r="W59" i="8"/>
  <c r="X59" i="8"/>
  <c r="Z59" i="8" s="1"/>
  <c r="AB59" i="8" s="1"/>
  <c r="W19" i="8"/>
  <c r="X19" i="8"/>
  <c r="Z19" i="8" s="1"/>
  <c r="AB19" i="8" s="1"/>
  <c r="X102" i="8"/>
  <c r="Z102" i="8" s="1"/>
  <c r="AB102" i="8" s="1"/>
  <c r="W102" i="8"/>
  <c r="X15" i="8"/>
  <c r="Z15" i="8" s="1"/>
  <c r="AB15" i="8" s="1"/>
  <c r="W15" i="8"/>
  <c r="X16" i="8"/>
  <c r="Z16" i="8" s="1"/>
  <c r="AB16" i="8" s="1"/>
  <c r="W16" i="8"/>
  <c r="W26" i="8"/>
  <c r="X26" i="8"/>
  <c r="Z26" i="8" s="1"/>
  <c r="AB26" i="8" s="1"/>
  <c r="W51" i="8"/>
  <c r="X51" i="8"/>
  <c r="Z51" i="8" s="1"/>
  <c r="AB51" i="8" s="1"/>
  <c r="X54" i="8"/>
  <c r="Z54" i="8" s="1"/>
  <c r="AB54" i="8" s="1"/>
  <c r="W54" i="8"/>
  <c r="X117" i="8"/>
  <c r="Z117" i="8" s="1"/>
  <c r="AB117" i="8" s="1"/>
  <c r="W117" i="8"/>
  <c r="W170" i="8"/>
  <c r="X170" i="8"/>
  <c r="Z170" i="8" s="1"/>
  <c r="AB170" i="8" s="1"/>
  <c r="W166" i="8"/>
  <c r="X166" i="8"/>
  <c r="Z166" i="8" s="1"/>
  <c r="AB166" i="8" s="1"/>
  <c r="W9" i="8"/>
  <c r="X9" i="8"/>
  <c r="Z9" i="8" s="1"/>
  <c r="AB9" i="8" s="1"/>
  <c r="W90" i="8"/>
  <c r="X90" i="8"/>
  <c r="Z90" i="8" s="1"/>
  <c r="AB90" i="8" s="1"/>
  <c r="X149" i="8"/>
  <c r="Z149" i="8" s="1"/>
  <c r="AB149" i="8" s="1"/>
  <c r="W149" i="8"/>
  <c r="W96" i="8"/>
  <c r="X96" i="8"/>
  <c r="Z96" i="8" s="1"/>
  <c r="AB96" i="8" s="1"/>
  <c r="X130" i="8"/>
  <c r="Z130" i="8" s="1"/>
  <c r="AB130" i="8" s="1"/>
  <c r="W130" i="8"/>
  <c r="X124" i="8"/>
  <c r="Z124" i="8" s="1"/>
  <c r="AB124" i="8" s="1"/>
  <c r="W124" i="8"/>
  <c r="W97" i="8"/>
  <c r="X97" i="8"/>
  <c r="Z97" i="8" s="1"/>
  <c r="AB97" i="8" s="1"/>
  <c r="W87" i="8"/>
  <c r="X87" i="8"/>
  <c r="Z87" i="8" s="1"/>
  <c r="AB87" i="8" s="1"/>
  <c r="W49" i="8"/>
  <c r="X49" i="8"/>
  <c r="Z49" i="8" s="1"/>
  <c r="AB49" i="8" s="1"/>
  <c r="AF2" i="8"/>
  <c r="AN2" i="8" s="1"/>
  <c r="AH2" i="8"/>
  <c r="AP2" i="8" s="1"/>
  <c r="AJ2" i="8"/>
  <c r="AR2" i="8" s="1"/>
  <c r="V2" i="8"/>
  <c r="AG2" i="8"/>
  <c r="AO2" i="8" s="1"/>
  <c r="W140" i="8"/>
  <c r="X140" i="8"/>
  <c r="Z140" i="8" s="1"/>
  <c r="AB140" i="8" s="1"/>
  <c r="X184" i="8"/>
  <c r="Z184" i="8" s="1"/>
  <c r="AB184" i="8" s="1"/>
  <c r="W184" i="8"/>
  <c r="X126" i="8"/>
  <c r="Z126" i="8" s="1"/>
  <c r="AB126" i="8" s="1"/>
  <c r="W126" i="8"/>
  <c r="W195" i="8"/>
  <c r="X195" i="8"/>
  <c r="Z195" i="8" s="1"/>
  <c r="AB195" i="8" s="1"/>
  <c r="X61" i="8"/>
  <c r="Z61" i="8" s="1"/>
  <c r="AB61" i="8" s="1"/>
  <c r="W61" i="8"/>
  <c r="X154" i="8"/>
  <c r="Z154" i="8" s="1"/>
  <c r="AB154" i="8" s="1"/>
  <c r="W154" i="8"/>
  <c r="AL2" i="8"/>
  <c r="AT2" i="8" s="1"/>
  <c r="AM2" i="8"/>
  <c r="AU2" i="8" s="1"/>
  <c r="X116" i="8"/>
  <c r="Z116" i="8" s="1"/>
  <c r="AB116" i="8" s="1"/>
  <c r="W116" i="8"/>
  <c r="X76" i="8"/>
  <c r="Z76" i="8" s="1"/>
  <c r="AB76" i="8" s="1"/>
  <c r="W76" i="8"/>
  <c r="X53" i="8"/>
  <c r="Z53" i="8" s="1"/>
  <c r="AB53" i="8" s="1"/>
  <c r="W53" i="8"/>
  <c r="W193" i="8"/>
  <c r="X193" i="8"/>
  <c r="Z193" i="8" s="1"/>
  <c r="AB193" i="8" s="1"/>
  <c r="X63" i="8"/>
  <c r="Z63" i="8" s="1"/>
  <c r="AB63" i="8" s="1"/>
  <c r="W63" i="8"/>
  <c r="X104" i="8"/>
  <c r="Z104" i="8" s="1"/>
  <c r="AB104" i="8" s="1"/>
  <c r="W104" i="8"/>
  <c r="W56" i="8"/>
  <c r="X56" i="8"/>
  <c r="Z56" i="8" s="1"/>
  <c r="AB56" i="8" s="1"/>
  <c r="X108" i="8"/>
  <c r="Z108" i="8" s="1"/>
  <c r="AB108" i="8" s="1"/>
  <c r="W108" i="8"/>
  <c r="W169" i="8"/>
  <c r="X169" i="8"/>
  <c r="Z169" i="8" s="1"/>
  <c r="AB169" i="8" s="1"/>
  <c r="W82" i="8"/>
  <c r="X82" i="8"/>
  <c r="Z82" i="8" s="1"/>
  <c r="AB82" i="8" s="1"/>
  <c r="W103" i="8"/>
  <c r="X103" i="8"/>
  <c r="Z103" i="8" s="1"/>
  <c r="AB103" i="8" s="1"/>
  <c r="W190" i="8"/>
  <c r="X190" i="8"/>
  <c r="Z190" i="8" s="1"/>
  <c r="AB190" i="8" s="1"/>
  <c r="AD2" i="8"/>
  <c r="AI2" i="8" s="1"/>
  <c r="AQ2" i="8" s="1"/>
  <c r="W36" i="8"/>
  <c r="X36" i="8"/>
  <c r="Z36" i="8" s="1"/>
  <c r="AB36" i="8" s="1"/>
  <c r="W31" i="8"/>
  <c r="X31" i="8"/>
  <c r="Z31" i="8" s="1"/>
  <c r="AB31" i="8" s="1"/>
  <c r="X120" i="8"/>
  <c r="Z120" i="8" s="1"/>
  <c r="AB120" i="8" s="1"/>
  <c r="W120" i="8"/>
  <c r="W189" i="8"/>
  <c r="X189" i="8"/>
  <c r="Z189" i="8" s="1"/>
  <c r="AB189" i="8" s="1"/>
  <c r="W70" i="8"/>
  <c r="X70" i="8"/>
  <c r="Z70" i="8" s="1"/>
  <c r="AB70" i="8" s="1"/>
  <c r="W75" i="8"/>
  <c r="X75" i="8"/>
  <c r="Z75" i="8" s="1"/>
  <c r="AB75" i="8" s="1"/>
  <c r="X39" i="8"/>
  <c r="Z39" i="8" s="1"/>
  <c r="AB39" i="8" s="1"/>
  <c r="W39" i="8"/>
  <c r="W159" i="8"/>
  <c r="X159" i="8"/>
  <c r="Z159" i="8" s="1"/>
  <c r="AB159" i="8" s="1"/>
  <c r="W6" i="8"/>
  <c r="X6" i="8"/>
  <c r="Z6" i="8" s="1"/>
  <c r="AB6" i="8" s="1"/>
  <c r="N3" i="8"/>
  <c r="O3" i="8"/>
  <c r="L4" i="8"/>
  <c r="M3" i="8"/>
  <c r="Y3" i="8" s="1"/>
  <c r="AA3" i="8" s="1"/>
  <c r="AC3" i="8" s="1"/>
  <c r="AD3" i="8" s="1"/>
  <c r="AI3" i="8" s="1"/>
  <c r="AQ3" i="8" s="1"/>
  <c r="X137" i="8"/>
  <c r="Z137" i="8" s="1"/>
  <c r="AB137" i="8" s="1"/>
  <c r="W137" i="8"/>
  <c r="X99" i="8"/>
  <c r="Z99" i="8" s="1"/>
  <c r="AB99" i="8" s="1"/>
  <c r="W99" i="8"/>
  <c r="X7" i="8"/>
  <c r="Z7" i="8" s="1"/>
  <c r="AB7" i="8" s="1"/>
  <c r="W7" i="8"/>
  <c r="X121" i="8"/>
  <c r="Z121" i="8" s="1"/>
  <c r="AB121" i="8" s="1"/>
  <c r="W121" i="8"/>
  <c r="W22" i="8"/>
  <c r="X22" i="8"/>
  <c r="Z22" i="8" s="1"/>
  <c r="AB22" i="8" s="1"/>
  <c r="X151" i="8"/>
  <c r="Z151" i="8" s="1"/>
  <c r="AB151" i="8" s="1"/>
  <c r="W151" i="8"/>
  <c r="W175" i="8"/>
  <c r="X175" i="8"/>
  <c r="Z175" i="8" s="1"/>
  <c r="AB175" i="8" s="1"/>
  <c r="X83" i="8"/>
  <c r="Z83" i="8" s="1"/>
  <c r="AB83" i="8" s="1"/>
  <c r="W83" i="8"/>
  <c r="W200" i="8"/>
  <c r="X200" i="8"/>
  <c r="Z200" i="8" s="1"/>
  <c r="AB200" i="8" s="1"/>
  <c r="W171" i="8"/>
  <c r="X171" i="8"/>
  <c r="Z171" i="8" s="1"/>
  <c r="AB171" i="8" s="1"/>
  <c r="W156" i="8"/>
  <c r="X156" i="8"/>
  <c r="Z156" i="8" s="1"/>
  <c r="AB156" i="8" s="1"/>
  <c r="W29" i="8"/>
  <c r="X29" i="8"/>
  <c r="Z29" i="8" s="1"/>
  <c r="AB29" i="8" s="1"/>
  <c r="W55" i="8"/>
  <c r="X55" i="8"/>
  <c r="Z55" i="8" s="1"/>
  <c r="AB55" i="8" s="1"/>
  <c r="W28" i="8"/>
  <c r="X28" i="8"/>
  <c r="Z28" i="8" s="1"/>
  <c r="AB28" i="8" s="1"/>
  <c r="W94" i="8"/>
  <c r="X94" i="8"/>
  <c r="Z94" i="8" s="1"/>
  <c r="AB94" i="8" s="1"/>
  <c r="W68" i="8"/>
  <c r="X68" i="8"/>
  <c r="Z68" i="8" s="1"/>
  <c r="AB68" i="8" s="1"/>
  <c r="X43" i="8"/>
  <c r="Z43" i="8" s="1"/>
  <c r="AB43" i="8" s="1"/>
  <c r="W43" i="8"/>
  <c r="W182" i="8"/>
  <c r="X182" i="8"/>
  <c r="Z182" i="8" s="1"/>
  <c r="AB182" i="8" s="1"/>
  <c r="W150" i="8"/>
  <c r="X150" i="8"/>
  <c r="Z150" i="8" s="1"/>
  <c r="AB150" i="8" s="1"/>
  <c r="W155" i="8"/>
  <c r="X155" i="8"/>
  <c r="Z155" i="8" s="1"/>
  <c r="AB155" i="8" s="1"/>
  <c r="Q1112" i="4"/>
  <c r="Q1005" i="4"/>
  <c r="P951" i="4"/>
  <c r="Q951" i="4" s="1"/>
  <c r="D953" i="4"/>
  <c r="O951" i="4"/>
  <c r="Q795" i="4"/>
  <c r="D689" i="4"/>
  <c r="Q633" i="4"/>
  <c r="P108" i="4"/>
  <c r="Q108" i="4" s="1"/>
  <c r="O108" i="4"/>
  <c r="D110" i="4"/>
  <c r="AJ421" i="4"/>
  <c r="AG421" i="4"/>
  <c r="AG738" i="4"/>
  <c r="AJ738" i="4"/>
  <c r="O527" i="4"/>
  <c r="D529" i="4"/>
  <c r="P527" i="4"/>
  <c r="Q527" i="4" s="1"/>
  <c r="P1006" i="4"/>
  <c r="Q1006" i="4" s="1"/>
  <c r="O1006" i="4"/>
  <c r="D1008" i="4"/>
  <c r="O740" i="4"/>
  <c r="P740" i="4"/>
  <c r="Q740" i="4" s="1"/>
  <c r="D742" i="4"/>
  <c r="AJ1057" i="4"/>
  <c r="AG1057" i="4"/>
  <c r="AG107" i="4"/>
  <c r="AJ107" i="4"/>
  <c r="O796" i="4"/>
  <c r="P796" i="4"/>
  <c r="Q796" i="4" s="1"/>
  <c r="D798" i="4"/>
  <c r="Q163" i="4"/>
  <c r="AJ579" i="4"/>
  <c r="AG579" i="4"/>
  <c r="D426" i="4"/>
  <c r="O424" i="4"/>
  <c r="P424" i="4"/>
  <c r="Q424" i="4" s="1"/>
  <c r="P164" i="4"/>
  <c r="Q164" i="4" s="1"/>
  <c r="O164" i="4"/>
  <c r="D166" i="4"/>
  <c r="Q739" i="4"/>
  <c r="D268" i="4"/>
  <c r="O266" i="4"/>
  <c r="P266" i="4"/>
  <c r="Q266" i="4" s="1"/>
  <c r="P3" i="4"/>
  <c r="Q3" i="4" s="1"/>
  <c r="D5" i="4"/>
  <c r="O3" i="4"/>
  <c r="O898" i="4"/>
  <c r="P898" i="4"/>
  <c r="Q898" i="4" s="1"/>
  <c r="D900" i="4"/>
  <c r="AJ1111" i="4"/>
  <c r="AG1111" i="4"/>
  <c r="D848" i="4"/>
  <c r="O846" i="4"/>
  <c r="P846" i="4"/>
  <c r="Q846" i="4" s="1"/>
  <c r="AG2" i="4"/>
  <c r="AJ2" i="4"/>
  <c r="AG1004" i="4"/>
  <c r="AJ1004" i="4"/>
  <c r="O1114" i="4"/>
  <c r="P1114" i="4"/>
  <c r="Q1114" i="4" s="1"/>
  <c r="D1116" i="4"/>
  <c r="P475" i="4"/>
  <c r="Q475" i="4" s="1"/>
  <c r="O475" i="4"/>
  <c r="D477" i="4"/>
  <c r="O318" i="4"/>
  <c r="P318" i="4"/>
  <c r="Q318" i="4" s="1"/>
  <c r="D320" i="4"/>
  <c r="O371" i="4"/>
  <c r="P371" i="4"/>
  <c r="Q371" i="4" s="1"/>
  <c r="D373" i="4"/>
  <c r="D636" i="4"/>
  <c r="O634" i="4"/>
  <c r="P634" i="4"/>
  <c r="Q634" i="4" s="1"/>
  <c r="O57" i="4"/>
  <c r="D59" i="4"/>
  <c r="P57" i="4"/>
  <c r="Q57" i="4" s="1"/>
  <c r="D690" i="4"/>
  <c r="P688" i="4"/>
  <c r="Q688" i="4" s="1"/>
  <c r="O688" i="4"/>
  <c r="AG897" i="4"/>
  <c r="AJ897" i="4"/>
  <c r="P580" i="4"/>
  <c r="Q580" i="4" s="1"/>
  <c r="D582" i="4"/>
  <c r="O580" i="4"/>
  <c r="P214" i="4"/>
  <c r="Q214" i="4" s="1"/>
  <c r="D216" i="4"/>
  <c r="O214" i="4"/>
  <c r="O1061" i="4"/>
  <c r="P1061" i="4"/>
  <c r="Q1061" i="4" s="1"/>
  <c r="D1063" i="4"/>
  <c r="G3" i="1"/>
  <c r="G4" i="1" s="1"/>
  <c r="G5" i="1" s="1"/>
  <c r="AJ3" i="8" l="1"/>
  <c r="AR3" i="8" s="1"/>
  <c r="V3" i="8"/>
  <c r="AF3" i="8"/>
  <c r="AN3" i="8" s="1"/>
  <c r="AG3" i="8"/>
  <c r="AO3" i="8" s="1"/>
  <c r="AH3" i="8"/>
  <c r="AP3" i="8" s="1"/>
  <c r="AK3" i="8"/>
  <c r="AS3" i="8" s="1"/>
  <c r="L5" i="8"/>
  <c r="O4" i="8"/>
  <c r="N4" i="8"/>
  <c r="M4" i="8"/>
  <c r="Y4" i="8" s="1"/>
  <c r="AA4" i="8" s="1"/>
  <c r="AC4" i="8" s="1"/>
  <c r="AD4" i="8" s="1"/>
  <c r="AI4" i="8" s="1"/>
  <c r="AQ4" i="8" s="1"/>
  <c r="AL3" i="8"/>
  <c r="AT3" i="8" s="1"/>
  <c r="AM3" i="8"/>
  <c r="AU3" i="8" s="1"/>
  <c r="D954" i="4"/>
  <c r="O952" i="4"/>
  <c r="P952" i="4"/>
  <c r="Q952" i="4" s="1"/>
  <c r="O899" i="4"/>
  <c r="P899" i="4"/>
  <c r="Q899" i="4" s="1"/>
  <c r="D901" i="4"/>
  <c r="D637" i="4"/>
  <c r="O635" i="4"/>
  <c r="P635" i="4"/>
  <c r="Q635" i="4" s="1"/>
  <c r="P741" i="4"/>
  <c r="Q741" i="4" s="1"/>
  <c r="D743" i="4"/>
  <c r="O741" i="4"/>
  <c r="O581" i="4"/>
  <c r="P581" i="4"/>
  <c r="Q581" i="4" s="1"/>
  <c r="D583" i="4"/>
  <c r="O372" i="4"/>
  <c r="P372" i="4"/>
  <c r="Q372" i="4" s="1"/>
  <c r="D374" i="4"/>
  <c r="O425" i="4"/>
  <c r="P425" i="4"/>
  <c r="Q425" i="4" s="1"/>
  <c r="D427" i="4"/>
  <c r="O4" i="4"/>
  <c r="D6" i="4"/>
  <c r="P4" i="4"/>
  <c r="Q4" i="4" s="1"/>
  <c r="D321" i="4"/>
  <c r="P319" i="4"/>
  <c r="Q319" i="4" s="1"/>
  <c r="O319" i="4"/>
  <c r="D799" i="4"/>
  <c r="O797" i="4"/>
  <c r="P797" i="4"/>
  <c r="Q797" i="4" s="1"/>
  <c r="O1007" i="4"/>
  <c r="D1009" i="4"/>
  <c r="P1007" i="4"/>
  <c r="Q1007" i="4" s="1"/>
  <c r="O689" i="4"/>
  <c r="D691" i="4"/>
  <c r="P689" i="4"/>
  <c r="Q689" i="4" s="1"/>
  <c r="O476" i="4"/>
  <c r="D478" i="4"/>
  <c r="P476" i="4"/>
  <c r="Q476" i="4" s="1"/>
  <c r="O1062" i="4"/>
  <c r="P1062" i="4"/>
  <c r="Q1062" i="4" s="1"/>
  <c r="D1064" i="4"/>
  <c r="O847" i="4"/>
  <c r="P847" i="4"/>
  <c r="Q847" i="4" s="1"/>
  <c r="D849" i="4"/>
  <c r="O267" i="4"/>
  <c r="D269" i="4"/>
  <c r="P267" i="4"/>
  <c r="Q267" i="4" s="1"/>
  <c r="P58" i="4"/>
  <c r="Q58" i="4" s="1"/>
  <c r="O58" i="4"/>
  <c r="D60" i="4"/>
  <c r="P109" i="4"/>
  <c r="Q109" i="4" s="1"/>
  <c r="D111" i="4"/>
  <c r="O109" i="4"/>
  <c r="O1115" i="4"/>
  <c r="D1117" i="4"/>
  <c r="P1115" i="4"/>
  <c r="Q1115" i="4" s="1"/>
  <c r="O165" i="4"/>
  <c r="P165" i="4"/>
  <c r="Q165" i="4" s="1"/>
  <c r="D167" i="4"/>
  <c r="D530" i="4"/>
  <c r="O528" i="4"/>
  <c r="P528" i="4"/>
  <c r="Q528" i="4" s="1"/>
  <c r="D217" i="4"/>
  <c r="O215" i="4"/>
  <c r="P215" i="4"/>
  <c r="Q215" i="4" s="1"/>
  <c r="G6" i="1"/>
  <c r="AL4" i="8" l="1"/>
  <c r="AT4" i="8" s="1"/>
  <c r="AM4" i="8"/>
  <c r="AU4" i="8" s="1"/>
  <c r="V4" i="8"/>
  <c r="AJ4" i="8"/>
  <c r="AR4" i="8" s="1"/>
  <c r="AF4" i="8"/>
  <c r="AN4" i="8" s="1"/>
  <c r="AH4" i="8"/>
  <c r="AP4" i="8" s="1"/>
  <c r="AK4" i="8"/>
  <c r="AS4" i="8" s="1"/>
  <c r="AG4" i="8"/>
  <c r="AO4" i="8" s="1"/>
  <c r="M5" i="8"/>
  <c r="Y5" i="8" s="1"/>
  <c r="AA5" i="8" s="1"/>
  <c r="N5" i="8"/>
  <c r="O5" i="8"/>
  <c r="AC5" i="8"/>
  <c r="AD5" i="8" s="1"/>
  <c r="AI5" i="8" s="1"/>
  <c r="AQ5" i="8" s="1"/>
  <c r="L6" i="8"/>
  <c r="P953" i="4"/>
  <c r="Q953" i="4" s="1"/>
  <c r="D955" i="4"/>
  <c r="O953" i="4"/>
  <c r="O1008" i="4"/>
  <c r="P1008" i="4"/>
  <c r="Q1008" i="4" s="1"/>
  <c r="D1010" i="4"/>
  <c r="D218" i="4"/>
  <c r="O216" i="4"/>
  <c r="P216" i="4"/>
  <c r="Q216" i="4" s="1"/>
  <c r="O110" i="4"/>
  <c r="P110" i="4"/>
  <c r="Q110" i="4" s="1"/>
  <c r="D112" i="4"/>
  <c r="P582" i="4"/>
  <c r="Q582" i="4" s="1"/>
  <c r="O582" i="4"/>
  <c r="D584" i="4"/>
  <c r="O690" i="4"/>
  <c r="P690" i="4"/>
  <c r="Q690" i="4" s="1"/>
  <c r="D692" i="4"/>
  <c r="D850" i="4"/>
  <c r="O848" i="4"/>
  <c r="P848" i="4"/>
  <c r="Q848" i="4" s="1"/>
  <c r="O426" i="4"/>
  <c r="D428" i="4"/>
  <c r="P426" i="4"/>
  <c r="Q426" i="4" s="1"/>
  <c r="O636" i="4"/>
  <c r="D638" i="4"/>
  <c r="P636" i="4"/>
  <c r="Q636" i="4" s="1"/>
  <c r="P1116" i="4"/>
  <c r="Q1116" i="4" s="1"/>
  <c r="D1118" i="4"/>
  <c r="O1116" i="4"/>
  <c r="D1065" i="4"/>
  <c r="O1063" i="4"/>
  <c r="P1063" i="4"/>
  <c r="Q1063" i="4" s="1"/>
  <c r="O373" i="4"/>
  <c r="P373" i="4"/>
  <c r="Q373" i="4" s="1"/>
  <c r="D375" i="4"/>
  <c r="P798" i="4"/>
  <c r="Q798" i="4" s="1"/>
  <c r="O798" i="4"/>
  <c r="D800" i="4"/>
  <c r="P59" i="4"/>
  <c r="Q59" i="4" s="1"/>
  <c r="O59" i="4"/>
  <c r="D61" i="4"/>
  <c r="O529" i="4"/>
  <c r="D531" i="4"/>
  <c r="P529" i="4"/>
  <c r="Q529" i="4" s="1"/>
  <c r="P477" i="4"/>
  <c r="Q477" i="4" s="1"/>
  <c r="D479" i="4"/>
  <c r="O477" i="4"/>
  <c r="P320" i="4"/>
  <c r="Q320" i="4" s="1"/>
  <c r="O320" i="4"/>
  <c r="D322" i="4"/>
  <c r="D744" i="4"/>
  <c r="O742" i="4"/>
  <c r="P742" i="4"/>
  <c r="Q742" i="4" s="1"/>
  <c r="O166" i="4"/>
  <c r="P166" i="4"/>
  <c r="Q166" i="4" s="1"/>
  <c r="D168" i="4"/>
  <c r="D270" i="4"/>
  <c r="O268" i="4"/>
  <c r="P268" i="4"/>
  <c r="Q268" i="4" s="1"/>
  <c r="D7" i="4"/>
  <c r="O5" i="4"/>
  <c r="P5" i="4"/>
  <c r="Q5" i="4" s="1"/>
  <c r="D902" i="4"/>
  <c r="P900" i="4"/>
  <c r="Q900" i="4" s="1"/>
  <c r="O900" i="4"/>
  <c r="G7" i="1"/>
  <c r="O6" i="8" l="1"/>
  <c r="L7" i="8"/>
  <c r="N6" i="8"/>
  <c r="M6" i="8"/>
  <c r="Y6" i="8" s="1"/>
  <c r="AA6" i="8" s="1"/>
  <c r="AC6" i="8" s="1"/>
  <c r="AD6" i="8" s="1"/>
  <c r="AI6" i="8" s="1"/>
  <c r="AQ6" i="8" s="1"/>
  <c r="AJ5" i="8"/>
  <c r="AR5" i="8" s="1"/>
  <c r="V5" i="8"/>
  <c r="AG5" i="8"/>
  <c r="AO5" i="8" s="1"/>
  <c r="AF5" i="8"/>
  <c r="AN5" i="8" s="1"/>
  <c r="AH5" i="8"/>
  <c r="AP5" i="8" s="1"/>
  <c r="AK5" i="8"/>
  <c r="AS5" i="8" s="1"/>
  <c r="AL5" i="8"/>
  <c r="AT5" i="8" s="1"/>
  <c r="AM5" i="8"/>
  <c r="AU5" i="8" s="1"/>
  <c r="P954" i="4"/>
  <c r="Q954" i="4" s="1"/>
  <c r="D956" i="4"/>
  <c r="O954" i="4"/>
  <c r="D429" i="4"/>
  <c r="P427" i="4"/>
  <c r="Q427" i="4" s="1"/>
  <c r="O427" i="4"/>
  <c r="O530" i="4"/>
  <c r="P530" i="4"/>
  <c r="Q530" i="4" s="1"/>
  <c r="D532" i="4"/>
  <c r="O583" i="4"/>
  <c r="D585" i="4"/>
  <c r="P583" i="4"/>
  <c r="Q583" i="4" s="1"/>
  <c r="O60" i="4"/>
  <c r="P60" i="4"/>
  <c r="Q60" i="4" s="1"/>
  <c r="D62" i="4"/>
  <c r="P849" i="4"/>
  <c r="Q849" i="4" s="1"/>
  <c r="O849" i="4"/>
  <c r="D851" i="4"/>
  <c r="D1011" i="4"/>
  <c r="P1009" i="4"/>
  <c r="Q1009" i="4" s="1"/>
  <c r="O1009" i="4"/>
  <c r="D1066" i="4"/>
  <c r="O1064" i="4"/>
  <c r="P1064" i="4"/>
  <c r="Q1064" i="4" s="1"/>
  <c r="D693" i="4"/>
  <c r="P691" i="4"/>
  <c r="Q691" i="4" s="1"/>
  <c r="O691" i="4"/>
  <c r="O743" i="4"/>
  <c r="D745" i="4"/>
  <c r="P743" i="4"/>
  <c r="Q743" i="4" s="1"/>
  <c r="O1117" i="4"/>
  <c r="D1119" i="4"/>
  <c r="P1117" i="4"/>
  <c r="Q1117" i="4" s="1"/>
  <c r="P901" i="4"/>
  <c r="Q901" i="4" s="1"/>
  <c r="O901" i="4"/>
  <c r="D903" i="4"/>
  <c r="O321" i="4"/>
  <c r="D323" i="4"/>
  <c r="P321" i="4"/>
  <c r="Q321" i="4" s="1"/>
  <c r="O799" i="4"/>
  <c r="D801" i="4"/>
  <c r="P799" i="4"/>
  <c r="Q799" i="4" s="1"/>
  <c r="D639" i="4"/>
  <c r="O637" i="4"/>
  <c r="P637" i="4"/>
  <c r="Q637" i="4" s="1"/>
  <c r="O478" i="4"/>
  <c r="P478" i="4"/>
  <c r="Q478" i="4" s="1"/>
  <c r="D480" i="4"/>
  <c r="D113" i="4"/>
  <c r="P111" i="4"/>
  <c r="Q111" i="4" s="1"/>
  <c r="O111" i="4"/>
  <c r="O6" i="4"/>
  <c r="P6" i="4"/>
  <c r="Q6" i="4" s="1"/>
  <c r="D8" i="4"/>
  <c r="O269" i="4"/>
  <c r="D271" i="4"/>
  <c r="P269" i="4"/>
  <c r="Q269" i="4" s="1"/>
  <c r="D376" i="4"/>
  <c r="O374" i="4"/>
  <c r="P374" i="4"/>
  <c r="Q374" i="4" s="1"/>
  <c r="P167" i="4"/>
  <c r="Q167" i="4" s="1"/>
  <c r="D169" i="4"/>
  <c r="O167" i="4"/>
  <c r="O217" i="4"/>
  <c r="D219" i="4"/>
  <c r="P217" i="4"/>
  <c r="Q217" i="4" s="1"/>
  <c r="G8" i="1"/>
  <c r="AM6" i="8" l="1"/>
  <c r="AU6" i="8" s="1"/>
  <c r="AL6" i="8"/>
  <c r="AT6" i="8" s="1"/>
  <c r="M7" i="8"/>
  <c r="Y7" i="8" s="1"/>
  <c r="AA7" i="8" s="1"/>
  <c r="AC7" i="8" s="1"/>
  <c r="AD7" i="8" s="1"/>
  <c r="AI7" i="8" s="1"/>
  <c r="AQ7" i="8" s="1"/>
  <c r="N7" i="8"/>
  <c r="O7" i="8"/>
  <c r="L8" i="8"/>
  <c r="AG6" i="8"/>
  <c r="AO6" i="8" s="1"/>
  <c r="AH6" i="8"/>
  <c r="AP6" i="8" s="1"/>
  <c r="AF6" i="8"/>
  <c r="AN6" i="8" s="1"/>
  <c r="AK6" i="8"/>
  <c r="AS6" i="8" s="1"/>
  <c r="AJ6" i="8"/>
  <c r="AR6" i="8" s="1"/>
  <c r="V6" i="8"/>
  <c r="O955" i="4"/>
  <c r="P955" i="4"/>
  <c r="Q955" i="4" s="1"/>
  <c r="D957" i="4"/>
  <c r="P1010" i="4"/>
  <c r="Q1010" i="4" s="1"/>
  <c r="D1012" i="4"/>
  <c r="O1010" i="4"/>
  <c r="D802" i="4"/>
  <c r="O800" i="4"/>
  <c r="P800" i="4"/>
  <c r="Q800" i="4" s="1"/>
  <c r="D586" i="4"/>
  <c r="P584" i="4"/>
  <c r="Q584" i="4" s="1"/>
  <c r="O584" i="4"/>
  <c r="O902" i="4"/>
  <c r="D904" i="4"/>
  <c r="P902" i="4"/>
  <c r="Q902" i="4" s="1"/>
  <c r="O1065" i="4"/>
  <c r="P1065" i="4"/>
  <c r="Q1065" i="4" s="1"/>
  <c r="D1067" i="4"/>
  <c r="D533" i="4"/>
  <c r="P531" i="4"/>
  <c r="Q531" i="4" s="1"/>
  <c r="O531" i="4"/>
  <c r="P270" i="4"/>
  <c r="Q270" i="4" s="1"/>
  <c r="D272" i="4"/>
  <c r="O270" i="4"/>
  <c r="P1118" i="4"/>
  <c r="Q1118" i="4" s="1"/>
  <c r="D1120" i="4"/>
  <c r="O1118" i="4"/>
  <c r="O428" i="4"/>
  <c r="P428" i="4"/>
  <c r="Q428" i="4" s="1"/>
  <c r="D430" i="4"/>
  <c r="P61" i="4"/>
  <c r="Q61" i="4" s="1"/>
  <c r="D63" i="4"/>
  <c r="O61" i="4"/>
  <c r="D694" i="4"/>
  <c r="P692" i="4"/>
  <c r="Q692" i="4" s="1"/>
  <c r="O692" i="4"/>
  <c r="O168" i="4"/>
  <c r="P168" i="4"/>
  <c r="Q168" i="4" s="1"/>
  <c r="D170" i="4"/>
  <c r="P112" i="4"/>
  <c r="Q112" i="4" s="1"/>
  <c r="D114" i="4"/>
  <c r="O112" i="4"/>
  <c r="O322" i="4"/>
  <c r="D324" i="4"/>
  <c r="P322" i="4"/>
  <c r="Q322" i="4" s="1"/>
  <c r="O375" i="4"/>
  <c r="P375" i="4"/>
  <c r="Q375" i="4" s="1"/>
  <c r="D377" i="4"/>
  <c r="O479" i="4"/>
  <c r="P479" i="4"/>
  <c r="Q479" i="4" s="1"/>
  <c r="D481" i="4"/>
  <c r="O850" i="4"/>
  <c r="D852" i="4"/>
  <c r="P850" i="4"/>
  <c r="Q850" i="4" s="1"/>
  <c r="P7" i="4"/>
  <c r="Q7" i="4" s="1"/>
  <c r="D9" i="4"/>
  <c r="O7" i="4"/>
  <c r="D640" i="4"/>
  <c r="O638" i="4"/>
  <c r="P638" i="4"/>
  <c r="Q638" i="4" s="1"/>
  <c r="O744" i="4"/>
  <c r="D746" i="4"/>
  <c r="P744" i="4"/>
  <c r="Q744" i="4" s="1"/>
  <c r="D220" i="4"/>
  <c r="O218" i="4"/>
  <c r="P218" i="4"/>
  <c r="Q218" i="4" s="1"/>
  <c r="G9" i="1"/>
  <c r="N8" i="8" l="1"/>
  <c r="O8" i="8"/>
  <c r="M8" i="8"/>
  <c r="Y8" i="8" s="1"/>
  <c r="AA8" i="8" s="1"/>
  <c r="AC8" i="8" s="1"/>
  <c r="AD8" i="8" s="1"/>
  <c r="AI8" i="8" s="1"/>
  <c r="AQ8" i="8" s="1"/>
  <c r="L9" i="8"/>
  <c r="AF7" i="8"/>
  <c r="AN7" i="8" s="1"/>
  <c r="AJ7" i="8"/>
  <c r="AR7" i="8" s="1"/>
  <c r="AG7" i="8"/>
  <c r="AO7" i="8" s="1"/>
  <c r="AH7" i="8"/>
  <c r="AP7" i="8" s="1"/>
  <c r="V7" i="8"/>
  <c r="AK7" i="8"/>
  <c r="AS7" i="8" s="1"/>
  <c r="AM7" i="8"/>
  <c r="AU7" i="8" s="1"/>
  <c r="AL7" i="8"/>
  <c r="AT7" i="8" s="1"/>
  <c r="P956" i="4"/>
  <c r="Q956" i="4" s="1"/>
  <c r="O956" i="4"/>
  <c r="D958" i="4"/>
  <c r="O480" i="4"/>
  <c r="D482" i="4"/>
  <c r="P480" i="4"/>
  <c r="Q480" i="4" s="1"/>
  <c r="D905" i="4"/>
  <c r="O903" i="4"/>
  <c r="P903" i="4"/>
  <c r="Q903" i="4" s="1"/>
  <c r="O639" i="4"/>
  <c r="P639" i="4"/>
  <c r="Q639" i="4" s="1"/>
  <c r="D641" i="4"/>
  <c r="O532" i="4"/>
  <c r="P532" i="4"/>
  <c r="Q532" i="4" s="1"/>
  <c r="D534" i="4"/>
  <c r="P1066" i="4"/>
  <c r="Q1066" i="4" s="1"/>
  <c r="D1068" i="4"/>
  <c r="O1066" i="4"/>
  <c r="D221" i="4"/>
  <c r="O219" i="4"/>
  <c r="P219" i="4"/>
  <c r="Q219" i="4" s="1"/>
  <c r="D171" i="4"/>
  <c r="P169" i="4"/>
  <c r="Q169" i="4" s="1"/>
  <c r="O169" i="4"/>
  <c r="O1119" i="4"/>
  <c r="P1119" i="4"/>
  <c r="Q1119" i="4" s="1"/>
  <c r="D1121" i="4"/>
  <c r="D64" i="4"/>
  <c r="O62" i="4"/>
  <c r="P62" i="4"/>
  <c r="Q62" i="4" s="1"/>
  <c r="D10" i="4"/>
  <c r="O8" i="4"/>
  <c r="P8" i="4"/>
  <c r="Q8" i="4" s="1"/>
  <c r="D325" i="4"/>
  <c r="O323" i="4"/>
  <c r="P323" i="4"/>
  <c r="Q323" i="4" s="1"/>
  <c r="D431" i="4"/>
  <c r="O429" i="4"/>
  <c r="P429" i="4"/>
  <c r="Q429" i="4" s="1"/>
  <c r="P801" i="4"/>
  <c r="Q801" i="4" s="1"/>
  <c r="D803" i="4"/>
  <c r="O801" i="4"/>
  <c r="O851" i="4"/>
  <c r="P851" i="4"/>
  <c r="Q851" i="4" s="1"/>
  <c r="D853" i="4"/>
  <c r="D115" i="4"/>
  <c r="O113" i="4"/>
  <c r="P113" i="4"/>
  <c r="Q113" i="4" s="1"/>
  <c r="O1011" i="4"/>
  <c r="D1013" i="4"/>
  <c r="P1011" i="4"/>
  <c r="Q1011" i="4" s="1"/>
  <c r="D747" i="4"/>
  <c r="O745" i="4"/>
  <c r="P745" i="4"/>
  <c r="Q745" i="4" s="1"/>
  <c r="O376" i="4"/>
  <c r="P376" i="4"/>
  <c r="Q376" i="4" s="1"/>
  <c r="D378" i="4"/>
  <c r="D273" i="4"/>
  <c r="O271" i="4"/>
  <c r="P271" i="4"/>
  <c r="Q271" i="4" s="1"/>
  <c r="O585" i="4"/>
  <c r="D587" i="4"/>
  <c r="P585" i="4"/>
  <c r="Q585" i="4" s="1"/>
  <c r="D695" i="4"/>
  <c r="O693" i="4"/>
  <c r="P693" i="4"/>
  <c r="Q693" i="4" s="1"/>
  <c r="G10" i="1"/>
  <c r="AF8" i="8" l="1"/>
  <c r="AN8" i="8" s="1"/>
  <c r="AH8" i="8"/>
  <c r="AP8" i="8" s="1"/>
  <c r="AG8" i="8"/>
  <c r="AO8" i="8" s="1"/>
  <c r="AJ8" i="8"/>
  <c r="AR8" i="8" s="1"/>
  <c r="AK8" i="8"/>
  <c r="AS8" i="8" s="1"/>
  <c r="V8" i="8"/>
  <c r="M9" i="8"/>
  <c r="Y9" i="8" s="1"/>
  <c r="AA9" i="8" s="1"/>
  <c r="AC9" i="8" s="1"/>
  <c r="AD9" i="8" s="1"/>
  <c r="AI9" i="8" s="1"/>
  <c r="AQ9" i="8" s="1"/>
  <c r="N9" i="8"/>
  <c r="O9" i="8"/>
  <c r="L10" i="8"/>
  <c r="AL8" i="8"/>
  <c r="AT8" i="8" s="1"/>
  <c r="AM8" i="8"/>
  <c r="AU8" i="8" s="1"/>
  <c r="P957" i="4"/>
  <c r="Q957" i="4" s="1"/>
  <c r="D959" i="4"/>
  <c r="O957" i="4"/>
  <c r="D11" i="4"/>
  <c r="O9" i="4"/>
  <c r="P9" i="4"/>
  <c r="Q9" i="4" s="1"/>
  <c r="D906" i="4"/>
  <c r="O904" i="4"/>
  <c r="P904" i="4"/>
  <c r="Q904" i="4" s="1"/>
  <c r="O852" i="4"/>
  <c r="D854" i="4"/>
  <c r="P852" i="4"/>
  <c r="Q852" i="4" s="1"/>
  <c r="D222" i="4"/>
  <c r="O220" i="4"/>
  <c r="P220" i="4"/>
  <c r="Q220" i="4" s="1"/>
  <c r="P1067" i="4"/>
  <c r="Q1067" i="4" s="1"/>
  <c r="D1069" i="4"/>
  <c r="O1067" i="4"/>
  <c r="D483" i="4"/>
  <c r="P481" i="4"/>
  <c r="Q481" i="4" s="1"/>
  <c r="O481" i="4"/>
  <c r="P694" i="4"/>
  <c r="Q694" i="4" s="1"/>
  <c r="D696" i="4"/>
  <c r="O694" i="4"/>
  <c r="P802" i="4"/>
  <c r="Q802" i="4" s="1"/>
  <c r="O802" i="4"/>
  <c r="D804" i="4"/>
  <c r="O63" i="4"/>
  <c r="P63" i="4"/>
  <c r="Q63" i="4" s="1"/>
  <c r="D65" i="4"/>
  <c r="O746" i="4"/>
  <c r="D748" i="4"/>
  <c r="P746" i="4"/>
  <c r="Q746" i="4" s="1"/>
  <c r="D379" i="4"/>
  <c r="O377" i="4"/>
  <c r="P377" i="4"/>
  <c r="Q377" i="4" s="1"/>
  <c r="P324" i="4"/>
  <c r="Q324" i="4" s="1"/>
  <c r="D326" i="4"/>
  <c r="O324" i="4"/>
  <c r="O114" i="4"/>
  <c r="P114" i="4"/>
  <c r="Q114" i="4" s="1"/>
  <c r="D116" i="4"/>
  <c r="D588" i="4"/>
  <c r="P586" i="4"/>
  <c r="Q586" i="4" s="1"/>
  <c r="O586" i="4"/>
  <c r="P1012" i="4"/>
  <c r="Q1012" i="4" s="1"/>
  <c r="O1012" i="4"/>
  <c r="D1014" i="4"/>
  <c r="O640" i="4"/>
  <c r="D642" i="4"/>
  <c r="P640" i="4"/>
  <c r="Q640" i="4" s="1"/>
  <c r="D1122" i="4"/>
  <c r="O1120" i="4"/>
  <c r="P1120" i="4"/>
  <c r="Q1120" i="4" s="1"/>
  <c r="P533" i="4"/>
  <c r="Q533" i="4" s="1"/>
  <c r="D535" i="4"/>
  <c r="O533" i="4"/>
  <c r="P430" i="4"/>
  <c r="Q430" i="4" s="1"/>
  <c r="D432" i="4"/>
  <c r="O430" i="4"/>
  <c r="O272" i="4"/>
  <c r="P272" i="4"/>
  <c r="Q272" i="4" s="1"/>
  <c r="D274" i="4"/>
  <c r="O170" i="4"/>
  <c r="D172" i="4"/>
  <c r="P170" i="4"/>
  <c r="Q170" i="4" s="1"/>
  <c r="G11" i="1"/>
  <c r="N10" i="8" l="1"/>
  <c r="O10" i="8"/>
  <c r="M10" i="8"/>
  <c r="Y10" i="8" s="1"/>
  <c r="AA10" i="8" s="1"/>
  <c r="AC10" i="8" s="1"/>
  <c r="AD10" i="8" s="1"/>
  <c r="AI10" i="8" s="1"/>
  <c r="AQ10" i="8" s="1"/>
  <c r="L11" i="8"/>
  <c r="AH9" i="8"/>
  <c r="AP9" i="8" s="1"/>
  <c r="AJ9" i="8"/>
  <c r="AR9" i="8" s="1"/>
  <c r="V9" i="8"/>
  <c r="AF9" i="8"/>
  <c r="AN9" i="8" s="1"/>
  <c r="AG9" i="8"/>
  <c r="AO9" i="8" s="1"/>
  <c r="AK9" i="8"/>
  <c r="AS9" i="8" s="1"/>
  <c r="AL9" i="8"/>
  <c r="AT9" i="8" s="1"/>
  <c r="AM9" i="8"/>
  <c r="AU9" i="8" s="1"/>
  <c r="P958" i="4"/>
  <c r="Q958" i="4" s="1"/>
  <c r="D960" i="4"/>
  <c r="O958" i="4"/>
  <c r="D433" i="4"/>
  <c r="O431" i="4"/>
  <c r="P431" i="4"/>
  <c r="Q431" i="4" s="1"/>
  <c r="O747" i="4"/>
  <c r="P747" i="4"/>
  <c r="Q747" i="4" s="1"/>
  <c r="D749" i="4"/>
  <c r="O1068" i="4"/>
  <c r="P1068" i="4"/>
  <c r="Q1068" i="4" s="1"/>
  <c r="D1070" i="4"/>
  <c r="P803" i="4"/>
  <c r="Q803" i="4" s="1"/>
  <c r="O803" i="4"/>
  <c r="D805" i="4"/>
  <c r="P221" i="4"/>
  <c r="Q221" i="4" s="1"/>
  <c r="O221" i="4"/>
  <c r="D223" i="4"/>
  <c r="D173" i="4"/>
  <c r="O171" i="4"/>
  <c r="P171" i="4"/>
  <c r="Q171" i="4" s="1"/>
  <c r="D1123" i="4"/>
  <c r="O1121" i="4"/>
  <c r="P1121" i="4"/>
  <c r="Q1121" i="4" s="1"/>
  <c r="P325" i="4"/>
  <c r="Q325" i="4" s="1"/>
  <c r="O325" i="4"/>
  <c r="D327" i="4"/>
  <c r="D855" i="4"/>
  <c r="O853" i="4"/>
  <c r="P853" i="4"/>
  <c r="Q853" i="4" s="1"/>
  <c r="P273" i="4"/>
  <c r="Q273" i="4" s="1"/>
  <c r="D275" i="4"/>
  <c r="O273" i="4"/>
  <c r="O695" i="4"/>
  <c r="P695" i="4"/>
  <c r="Q695" i="4" s="1"/>
  <c r="D697" i="4"/>
  <c r="D643" i="4"/>
  <c r="O641" i="4"/>
  <c r="P641" i="4"/>
  <c r="Q641" i="4" s="1"/>
  <c r="D1015" i="4"/>
  <c r="O1013" i="4"/>
  <c r="P1013" i="4"/>
  <c r="Q1013" i="4" s="1"/>
  <c r="O378" i="4"/>
  <c r="D380" i="4"/>
  <c r="P378" i="4"/>
  <c r="Q378" i="4" s="1"/>
  <c r="P482" i="4"/>
  <c r="Q482" i="4" s="1"/>
  <c r="O482" i="4"/>
  <c r="D484" i="4"/>
  <c r="D907" i="4"/>
  <c r="P905" i="4"/>
  <c r="Q905" i="4" s="1"/>
  <c r="O905" i="4"/>
  <c r="O64" i="4"/>
  <c r="P64" i="4"/>
  <c r="Q64" i="4" s="1"/>
  <c r="D66" i="4"/>
  <c r="D12" i="4"/>
  <c r="O10" i="4"/>
  <c r="P10" i="4"/>
  <c r="Q10" i="4" s="1"/>
  <c r="D536" i="4"/>
  <c r="O534" i="4"/>
  <c r="P534" i="4"/>
  <c r="Q534" i="4" s="1"/>
  <c r="P587" i="4"/>
  <c r="Q587" i="4" s="1"/>
  <c r="O587" i="4"/>
  <c r="D589" i="4"/>
  <c r="P115" i="4"/>
  <c r="Q115" i="4" s="1"/>
  <c r="O115" i="4"/>
  <c r="D117" i="4"/>
  <c r="G12" i="1"/>
  <c r="AL10" i="8" l="1"/>
  <c r="AT10" i="8" s="1"/>
  <c r="AM10" i="8"/>
  <c r="AU10" i="8" s="1"/>
  <c r="M11" i="8"/>
  <c r="Y11" i="8" s="1"/>
  <c r="AA11" i="8" s="1"/>
  <c r="AC11" i="8" s="1"/>
  <c r="AD11" i="8" s="1"/>
  <c r="AI11" i="8" s="1"/>
  <c r="AQ11" i="8" s="1"/>
  <c r="O11" i="8"/>
  <c r="N11" i="8"/>
  <c r="L12" i="8"/>
  <c r="AF10" i="8"/>
  <c r="AN10" i="8" s="1"/>
  <c r="AG10" i="8"/>
  <c r="AO10" i="8" s="1"/>
  <c r="AH10" i="8"/>
  <c r="AP10" i="8" s="1"/>
  <c r="V10" i="8"/>
  <c r="AJ10" i="8"/>
  <c r="AR10" i="8" s="1"/>
  <c r="AK10" i="8"/>
  <c r="AS10" i="8" s="1"/>
  <c r="D961" i="4"/>
  <c r="O959" i="4"/>
  <c r="P959" i="4"/>
  <c r="Q959" i="4" s="1"/>
  <c r="P379" i="4"/>
  <c r="Q379" i="4" s="1"/>
  <c r="D381" i="4"/>
  <c r="O379" i="4"/>
  <c r="O222" i="4"/>
  <c r="P222" i="4"/>
  <c r="Q222" i="4" s="1"/>
  <c r="D224" i="4"/>
  <c r="D67" i="4"/>
  <c r="O65" i="4"/>
  <c r="P65" i="4"/>
  <c r="Q65" i="4" s="1"/>
  <c r="P854" i="4"/>
  <c r="Q854" i="4" s="1"/>
  <c r="O854" i="4"/>
  <c r="D856" i="4"/>
  <c r="P326" i="4"/>
  <c r="Q326" i="4" s="1"/>
  <c r="D328" i="4"/>
  <c r="O326" i="4"/>
  <c r="O432" i="4"/>
  <c r="P432" i="4"/>
  <c r="Q432" i="4" s="1"/>
  <c r="D434" i="4"/>
  <c r="P483" i="4"/>
  <c r="Q483" i="4" s="1"/>
  <c r="D485" i="4"/>
  <c r="O483" i="4"/>
  <c r="O1069" i="4"/>
  <c r="P1069" i="4"/>
  <c r="Q1069" i="4" s="1"/>
  <c r="D1071" i="4"/>
  <c r="O274" i="4"/>
  <c r="P274" i="4"/>
  <c r="Q274" i="4" s="1"/>
  <c r="D276" i="4"/>
  <c r="O748" i="4"/>
  <c r="P748" i="4"/>
  <c r="Q748" i="4" s="1"/>
  <c r="D750" i="4"/>
  <c r="D174" i="4"/>
  <c r="P172" i="4"/>
  <c r="Q172" i="4" s="1"/>
  <c r="O172" i="4"/>
  <c r="O11" i="4"/>
  <c r="P11" i="4"/>
  <c r="Q11" i="4" s="1"/>
  <c r="D13" i="4"/>
  <c r="P116" i="4"/>
  <c r="Q116" i="4" s="1"/>
  <c r="O116" i="4"/>
  <c r="D118" i="4"/>
  <c r="O1014" i="4"/>
  <c r="P1014" i="4"/>
  <c r="Q1014" i="4" s="1"/>
  <c r="D1016" i="4"/>
  <c r="D590" i="4"/>
  <c r="O588" i="4"/>
  <c r="P588" i="4"/>
  <c r="Q588" i="4" s="1"/>
  <c r="P804" i="4"/>
  <c r="Q804" i="4" s="1"/>
  <c r="O804" i="4"/>
  <c r="D806" i="4"/>
  <c r="P642" i="4"/>
  <c r="Q642" i="4" s="1"/>
  <c r="D644" i="4"/>
  <c r="O642" i="4"/>
  <c r="D908" i="4"/>
  <c r="O906" i="4"/>
  <c r="P906" i="4"/>
  <c r="Q906" i="4" s="1"/>
  <c r="D698" i="4"/>
  <c r="O696" i="4"/>
  <c r="P696" i="4"/>
  <c r="Q696" i="4" s="1"/>
  <c r="D1124" i="4"/>
  <c r="O1122" i="4"/>
  <c r="P1122" i="4"/>
  <c r="Q1122" i="4" s="1"/>
  <c r="P535" i="4"/>
  <c r="Q535" i="4" s="1"/>
  <c r="O535" i="4"/>
  <c r="D537" i="4"/>
  <c r="G13" i="1"/>
  <c r="M12" i="8" l="1"/>
  <c r="Y12" i="8" s="1"/>
  <c r="AA12" i="8" s="1"/>
  <c r="AC12" i="8" s="1"/>
  <c r="AD12" i="8" s="1"/>
  <c r="AI12" i="8" s="1"/>
  <c r="AQ12" i="8" s="1"/>
  <c r="L13" i="8"/>
  <c r="N12" i="8"/>
  <c r="O12" i="8"/>
  <c r="AM11" i="8"/>
  <c r="AU11" i="8" s="1"/>
  <c r="AL11" i="8"/>
  <c r="AT11" i="8" s="1"/>
  <c r="V11" i="8"/>
  <c r="AJ11" i="8"/>
  <c r="AR11" i="8" s="1"/>
  <c r="AG11" i="8"/>
  <c r="AO11" i="8" s="1"/>
  <c r="AF11" i="8"/>
  <c r="AN11" i="8" s="1"/>
  <c r="AH11" i="8"/>
  <c r="AP11" i="8" s="1"/>
  <c r="AK11" i="8"/>
  <c r="AS11" i="8" s="1"/>
  <c r="O960" i="4"/>
  <c r="D962" i="4"/>
  <c r="P960" i="4"/>
  <c r="Q960" i="4" s="1"/>
  <c r="O805" i="4"/>
  <c r="D807" i="4"/>
  <c r="P805" i="4"/>
  <c r="Q805" i="4" s="1"/>
  <c r="D1072" i="4"/>
  <c r="O1070" i="4"/>
  <c r="P1070" i="4"/>
  <c r="Q1070" i="4" s="1"/>
  <c r="O589" i="4"/>
  <c r="D591" i="4"/>
  <c r="P589" i="4"/>
  <c r="Q589" i="4" s="1"/>
  <c r="O697" i="4"/>
  <c r="D699" i="4"/>
  <c r="P697" i="4"/>
  <c r="Q697" i="4" s="1"/>
  <c r="P173" i="4"/>
  <c r="Q173" i="4" s="1"/>
  <c r="D175" i="4"/>
  <c r="O173" i="4"/>
  <c r="D909" i="4"/>
  <c r="O907" i="4"/>
  <c r="P907" i="4"/>
  <c r="Q907" i="4" s="1"/>
  <c r="O1015" i="4"/>
  <c r="D1017" i="4"/>
  <c r="P1015" i="4"/>
  <c r="Q1015" i="4" s="1"/>
  <c r="O749" i="4"/>
  <c r="P749" i="4"/>
  <c r="Q749" i="4" s="1"/>
  <c r="D751" i="4"/>
  <c r="O66" i="4"/>
  <c r="P66" i="4"/>
  <c r="Q66" i="4" s="1"/>
  <c r="D68" i="4"/>
  <c r="O536" i="4"/>
  <c r="D538" i="4"/>
  <c r="P536" i="4"/>
  <c r="Q536" i="4" s="1"/>
  <c r="O643" i="4"/>
  <c r="P643" i="4"/>
  <c r="Q643" i="4" s="1"/>
  <c r="D645" i="4"/>
  <c r="P117" i="4"/>
  <c r="Q117" i="4" s="1"/>
  <c r="O117" i="4"/>
  <c r="D119" i="4"/>
  <c r="O275" i="4"/>
  <c r="P275" i="4"/>
  <c r="Q275" i="4" s="1"/>
  <c r="D277" i="4"/>
  <c r="O327" i="4"/>
  <c r="D329" i="4"/>
  <c r="P327" i="4"/>
  <c r="Q327" i="4" s="1"/>
  <c r="D382" i="4"/>
  <c r="P380" i="4"/>
  <c r="Q380" i="4" s="1"/>
  <c r="O380" i="4"/>
  <c r="O1123" i="4"/>
  <c r="P1123" i="4"/>
  <c r="Q1123" i="4" s="1"/>
  <c r="D1125" i="4"/>
  <c r="P12" i="4"/>
  <c r="Q12" i="4" s="1"/>
  <c r="O12" i="4"/>
  <c r="D14" i="4"/>
  <c r="P855" i="4"/>
  <c r="Q855" i="4" s="1"/>
  <c r="O855" i="4"/>
  <c r="D857" i="4"/>
  <c r="D486" i="4"/>
  <c r="P484" i="4"/>
  <c r="Q484" i="4" s="1"/>
  <c r="O484" i="4"/>
  <c r="O433" i="4"/>
  <c r="P433" i="4"/>
  <c r="Q433" i="4" s="1"/>
  <c r="D435" i="4"/>
  <c r="P223" i="4"/>
  <c r="Q223" i="4" s="1"/>
  <c r="D225" i="4"/>
  <c r="O223" i="4"/>
  <c r="G14" i="1"/>
  <c r="AK12" i="8" l="1"/>
  <c r="AS12" i="8" s="1"/>
  <c r="V12" i="8"/>
  <c r="AJ12" i="8"/>
  <c r="AR12" i="8" s="1"/>
  <c r="AF12" i="8"/>
  <c r="AN12" i="8" s="1"/>
  <c r="AG12" i="8"/>
  <c r="AO12" i="8" s="1"/>
  <c r="AH12" i="8"/>
  <c r="AP12" i="8" s="1"/>
  <c r="AL12" i="8"/>
  <c r="AT12" i="8" s="1"/>
  <c r="AM12" i="8"/>
  <c r="AU12" i="8" s="1"/>
  <c r="N13" i="8"/>
  <c r="O13" i="8"/>
  <c r="L14" i="8"/>
  <c r="M13" i="8"/>
  <c r="Y13" i="8" s="1"/>
  <c r="AA13" i="8" s="1"/>
  <c r="AC13" i="8" s="1"/>
  <c r="AD13" i="8" s="1"/>
  <c r="AI13" i="8" s="1"/>
  <c r="AQ13" i="8" s="1"/>
  <c r="D963" i="4"/>
  <c r="O961" i="4"/>
  <c r="P961" i="4"/>
  <c r="Q961" i="4" s="1"/>
  <c r="D646" i="4"/>
  <c r="O644" i="4"/>
  <c r="P644" i="4"/>
  <c r="Q644" i="4" s="1"/>
  <c r="D592" i="4"/>
  <c r="P590" i="4"/>
  <c r="Q590" i="4" s="1"/>
  <c r="O590" i="4"/>
  <c r="P67" i="4"/>
  <c r="Q67" i="4" s="1"/>
  <c r="O67" i="4"/>
  <c r="D69" i="4"/>
  <c r="D808" i="4"/>
  <c r="O806" i="4"/>
  <c r="P806" i="4"/>
  <c r="Q806" i="4" s="1"/>
  <c r="P276" i="4"/>
  <c r="Q276" i="4" s="1"/>
  <c r="D278" i="4"/>
  <c r="O276" i="4"/>
  <c r="D15" i="4"/>
  <c r="P13" i="4"/>
  <c r="Q13" i="4" s="1"/>
  <c r="O13" i="4"/>
  <c r="D752" i="4"/>
  <c r="O750" i="4"/>
  <c r="P750" i="4"/>
  <c r="Q750" i="4" s="1"/>
  <c r="P224" i="4"/>
  <c r="Q224" i="4" s="1"/>
  <c r="O224" i="4"/>
  <c r="D226" i="4"/>
  <c r="O118" i="4"/>
  <c r="P118" i="4"/>
  <c r="Q118" i="4" s="1"/>
  <c r="D120" i="4"/>
  <c r="D1126" i="4"/>
  <c r="O1124" i="4"/>
  <c r="P1124" i="4"/>
  <c r="Q1124" i="4" s="1"/>
  <c r="D700" i="4"/>
  <c r="O698" i="4"/>
  <c r="P698" i="4"/>
  <c r="Q698" i="4" s="1"/>
  <c r="D436" i="4"/>
  <c r="O434" i="4"/>
  <c r="P434" i="4"/>
  <c r="Q434" i="4" s="1"/>
  <c r="D1018" i="4"/>
  <c r="O1016" i="4"/>
  <c r="P1016" i="4"/>
  <c r="Q1016" i="4" s="1"/>
  <c r="O381" i="4"/>
  <c r="P381" i="4"/>
  <c r="Q381" i="4" s="1"/>
  <c r="D383" i="4"/>
  <c r="O485" i="4"/>
  <c r="P485" i="4"/>
  <c r="Q485" i="4" s="1"/>
  <c r="D487" i="4"/>
  <c r="D910" i="4"/>
  <c r="O908" i="4"/>
  <c r="P908" i="4"/>
  <c r="Q908" i="4" s="1"/>
  <c r="D330" i="4"/>
  <c r="O328" i="4"/>
  <c r="P328" i="4"/>
  <c r="Q328" i="4" s="1"/>
  <c r="D539" i="4"/>
  <c r="O537" i="4"/>
  <c r="P537" i="4"/>
  <c r="Q537" i="4" s="1"/>
  <c r="O1071" i="4"/>
  <c r="D1073" i="4"/>
  <c r="P1071" i="4"/>
  <c r="Q1071" i="4" s="1"/>
  <c r="P856" i="4"/>
  <c r="Q856" i="4" s="1"/>
  <c r="O856" i="4"/>
  <c r="D858" i="4"/>
  <c r="O174" i="4"/>
  <c r="P174" i="4"/>
  <c r="Q174" i="4" s="1"/>
  <c r="D176" i="4"/>
  <c r="G15" i="1"/>
  <c r="O14" i="8" l="1"/>
  <c r="M14" i="8"/>
  <c r="Y14" i="8" s="1"/>
  <c r="AA14" i="8" s="1"/>
  <c r="AC14" i="8" s="1"/>
  <c r="AD14" i="8" s="1"/>
  <c r="AI14" i="8" s="1"/>
  <c r="AQ14" i="8" s="1"/>
  <c r="N14" i="8"/>
  <c r="L15" i="8"/>
  <c r="AH13" i="8"/>
  <c r="AP13" i="8" s="1"/>
  <c r="AF13" i="8"/>
  <c r="AN13" i="8" s="1"/>
  <c r="AG13" i="8"/>
  <c r="AO13" i="8" s="1"/>
  <c r="AJ13" i="8"/>
  <c r="AR13" i="8" s="1"/>
  <c r="V13" i="8"/>
  <c r="AK13" i="8"/>
  <c r="AS13" i="8" s="1"/>
  <c r="AL13" i="8"/>
  <c r="AT13" i="8" s="1"/>
  <c r="AM13" i="8"/>
  <c r="AU13" i="8" s="1"/>
  <c r="D964" i="4"/>
  <c r="O962" i="4"/>
  <c r="P962" i="4"/>
  <c r="Q962" i="4" s="1"/>
  <c r="P119" i="4"/>
  <c r="Q119" i="4" s="1"/>
  <c r="O119" i="4"/>
  <c r="D121" i="4"/>
  <c r="O591" i="4"/>
  <c r="P591" i="4"/>
  <c r="Q591" i="4" s="1"/>
  <c r="D593" i="4"/>
  <c r="D177" i="4"/>
  <c r="O175" i="4"/>
  <c r="P175" i="4"/>
  <c r="Q175" i="4" s="1"/>
  <c r="D16" i="4"/>
  <c r="O14" i="4"/>
  <c r="P14" i="4"/>
  <c r="Q14" i="4" s="1"/>
  <c r="O329" i="4"/>
  <c r="P329" i="4"/>
  <c r="Q329" i="4" s="1"/>
  <c r="D331" i="4"/>
  <c r="D1019" i="4"/>
  <c r="O1017" i="4"/>
  <c r="P1017" i="4"/>
  <c r="Q1017" i="4" s="1"/>
  <c r="D227" i="4"/>
  <c r="O225" i="4"/>
  <c r="P225" i="4"/>
  <c r="Q225" i="4" s="1"/>
  <c r="P277" i="4"/>
  <c r="Q277" i="4" s="1"/>
  <c r="D279" i="4"/>
  <c r="O277" i="4"/>
  <c r="O645" i="4"/>
  <c r="P645" i="4"/>
  <c r="Q645" i="4" s="1"/>
  <c r="D647" i="4"/>
  <c r="O857" i="4"/>
  <c r="P857" i="4"/>
  <c r="Q857" i="4" s="1"/>
  <c r="D859" i="4"/>
  <c r="D911" i="4"/>
  <c r="O909" i="4"/>
  <c r="P909" i="4"/>
  <c r="Q909" i="4" s="1"/>
  <c r="D488" i="4"/>
  <c r="O486" i="4"/>
  <c r="P486" i="4"/>
  <c r="Q486" i="4" s="1"/>
  <c r="P435" i="4"/>
  <c r="Q435" i="4" s="1"/>
  <c r="D437" i="4"/>
  <c r="O435" i="4"/>
  <c r="P807" i="4"/>
  <c r="Q807" i="4" s="1"/>
  <c r="D809" i="4"/>
  <c r="O807" i="4"/>
  <c r="D1074" i="4"/>
  <c r="O1072" i="4"/>
  <c r="P1072" i="4"/>
  <c r="Q1072" i="4" s="1"/>
  <c r="O68" i="4"/>
  <c r="P68" i="4"/>
  <c r="Q68" i="4" s="1"/>
  <c r="D70" i="4"/>
  <c r="P699" i="4"/>
  <c r="Q699" i="4" s="1"/>
  <c r="D701" i="4"/>
  <c r="O699" i="4"/>
  <c r="D384" i="4"/>
  <c r="O382" i="4"/>
  <c r="P382" i="4"/>
  <c r="Q382" i="4" s="1"/>
  <c r="P751" i="4"/>
  <c r="Q751" i="4" s="1"/>
  <c r="D753" i="4"/>
  <c r="O751" i="4"/>
  <c r="O538" i="4"/>
  <c r="P538" i="4"/>
  <c r="Q538" i="4" s="1"/>
  <c r="D540" i="4"/>
  <c r="O1125" i="4"/>
  <c r="P1125" i="4"/>
  <c r="Q1125" i="4" s="1"/>
  <c r="D1127" i="4"/>
  <c r="G16" i="1"/>
  <c r="L16" i="8" l="1"/>
  <c r="O15" i="8"/>
  <c r="N15" i="8"/>
  <c r="M15" i="8"/>
  <c r="Y15" i="8" s="1"/>
  <c r="AA15" i="8" s="1"/>
  <c r="AC15" i="8" s="1"/>
  <c r="AD15" i="8" s="1"/>
  <c r="AI15" i="8" s="1"/>
  <c r="AQ15" i="8" s="1"/>
  <c r="AM14" i="8"/>
  <c r="AU14" i="8" s="1"/>
  <c r="AL14" i="8"/>
  <c r="AT14" i="8" s="1"/>
  <c r="AH14" i="8"/>
  <c r="AP14" i="8" s="1"/>
  <c r="AJ14" i="8"/>
  <c r="AR14" i="8" s="1"/>
  <c r="AF14" i="8"/>
  <c r="AN14" i="8" s="1"/>
  <c r="AG14" i="8"/>
  <c r="AO14" i="8" s="1"/>
  <c r="V14" i="8"/>
  <c r="AK14" i="8"/>
  <c r="AS14" i="8" s="1"/>
  <c r="O963" i="4"/>
  <c r="P963" i="4"/>
  <c r="Q963" i="4" s="1"/>
  <c r="D965" i="4"/>
  <c r="D810" i="4"/>
  <c r="O808" i="4"/>
  <c r="P808" i="4"/>
  <c r="Q808" i="4" s="1"/>
  <c r="P910" i="4"/>
  <c r="Q910" i="4" s="1"/>
  <c r="O910" i="4"/>
  <c r="D912" i="4"/>
  <c r="O592" i="4"/>
  <c r="D594" i="4"/>
  <c r="P592" i="4"/>
  <c r="Q592" i="4" s="1"/>
  <c r="O858" i="4"/>
  <c r="P858" i="4"/>
  <c r="Q858" i="4" s="1"/>
  <c r="D860" i="4"/>
  <c r="O1018" i="4"/>
  <c r="P1018" i="4"/>
  <c r="Q1018" i="4" s="1"/>
  <c r="D1020" i="4"/>
  <c r="D385" i="4"/>
  <c r="P383" i="4"/>
  <c r="Q383" i="4" s="1"/>
  <c r="O383" i="4"/>
  <c r="O436" i="4"/>
  <c r="P436" i="4"/>
  <c r="Q436" i="4" s="1"/>
  <c r="D438" i="4"/>
  <c r="D122" i="4"/>
  <c r="P120" i="4"/>
  <c r="Q120" i="4" s="1"/>
  <c r="O120" i="4"/>
  <c r="P646" i="4"/>
  <c r="Q646" i="4" s="1"/>
  <c r="D648" i="4"/>
  <c r="O646" i="4"/>
  <c r="D332" i="4"/>
  <c r="O330" i="4"/>
  <c r="P330" i="4"/>
  <c r="Q330" i="4" s="1"/>
  <c r="D1128" i="4"/>
  <c r="O1126" i="4"/>
  <c r="P1126" i="4"/>
  <c r="Q1126" i="4" s="1"/>
  <c r="D702" i="4"/>
  <c r="O700" i="4"/>
  <c r="P700" i="4"/>
  <c r="Q700" i="4" s="1"/>
  <c r="O69" i="4"/>
  <c r="P69" i="4"/>
  <c r="Q69" i="4" s="1"/>
  <c r="D71" i="4"/>
  <c r="O539" i="4"/>
  <c r="P539" i="4"/>
  <c r="Q539" i="4" s="1"/>
  <c r="D541" i="4"/>
  <c r="P278" i="4"/>
  <c r="Q278" i="4" s="1"/>
  <c r="D280" i="4"/>
  <c r="O278" i="4"/>
  <c r="D17" i="4"/>
  <c r="O15" i="4"/>
  <c r="P15" i="4"/>
  <c r="Q15" i="4" s="1"/>
  <c r="P487" i="4"/>
  <c r="Q487" i="4" s="1"/>
  <c r="D489" i="4"/>
  <c r="O487" i="4"/>
  <c r="D754" i="4"/>
  <c r="O752" i="4"/>
  <c r="P752" i="4"/>
  <c r="Q752" i="4" s="1"/>
  <c r="D1075" i="4"/>
  <c r="O1073" i="4"/>
  <c r="P1073" i="4"/>
  <c r="Q1073" i="4" s="1"/>
  <c r="O226" i="4"/>
  <c r="P226" i="4"/>
  <c r="Q226" i="4" s="1"/>
  <c r="D228" i="4"/>
  <c r="P176" i="4"/>
  <c r="Q176" i="4" s="1"/>
  <c r="D178" i="4"/>
  <c r="O176" i="4"/>
  <c r="G17" i="1"/>
  <c r="AF15" i="8" l="1"/>
  <c r="AN15" i="8" s="1"/>
  <c r="AH15" i="8"/>
  <c r="AP15" i="8" s="1"/>
  <c r="AJ15" i="8"/>
  <c r="AR15" i="8" s="1"/>
  <c r="V15" i="8"/>
  <c r="AG15" i="8"/>
  <c r="AO15" i="8" s="1"/>
  <c r="AK15" i="8"/>
  <c r="AS15" i="8" s="1"/>
  <c r="AM15" i="8"/>
  <c r="AU15" i="8" s="1"/>
  <c r="AL15" i="8"/>
  <c r="AT15" i="8" s="1"/>
  <c r="M16" i="8"/>
  <c r="Y16" i="8" s="1"/>
  <c r="AA16" i="8" s="1"/>
  <c r="AC16" i="8"/>
  <c r="AD16" i="8" s="1"/>
  <c r="AI16" i="8" s="1"/>
  <c r="AQ16" i="8" s="1"/>
  <c r="N16" i="8"/>
  <c r="O16" i="8"/>
  <c r="L17" i="8"/>
  <c r="D966" i="4"/>
  <c r="O964" i="4"/>
  <c r="P964" i="4"/>
  <c r="Q964" i="4" s="1"/>
  <c r="O911" i="4"/>
  <c r="P911" i="4"/>
  <c r="Q911" i="4" s="1"/>
  <c r="D913" i="4"/>
  <c r="D755" i="4"/>
  <c r="P753" i="4"/>
  <c r="Q753" i="4" s="1"/>
  <c r="O753" i="4"/>
  <c r="D1129" i="4"/>
  <c r="P1127" i="4"/>
  <c r="Q1127" i="4" s="1"/>
  <c r="O1127" i="4"/>
  <c r="P384" i="4"/>
  <c r="Q384" i="4" s="1"/>
  <c r="O384" i="4"/>
  <c r="D386" i="4"/>
  <c r="D490" i="4"/>
  <c r="O488" i="4"/>
  <c r="P488" i="4"/>
  <c r="Q488" i="4" s="1"/>
  <c r="D333" i="4"/>
  <c r="O331" i="4"/>
  <c r="P331" i="4"/>
  <c r="Q331" i="4" s="1"/>
  <c r="P1019" i="4"/>
  <c r="Q1019" i="4" s="1"/>
  <c r="O1019" i="4"/>
  <c r="D1021" i="4"/>
  <c r="P647" i="4"/>
  <c r="Q647" i="4" s="1"/>
  <c r="D649" i="4"/>
  <c r="O647" i="4"/>
  <c r="P16" i="4"/>
  <c r="Q16" i="4" s="1"/>
  <c r="D18" i="4"/>
  <c r="O16" i="4"/>
  <c r="P121" i="4"/>
  <c r="Q121" i="4" s="1"/>
  <c r="O121" i="4"/>
  <c r="D123" i="4"/>
  <c r="P279" i="4"/>
  <c r="Q279" i="4" s="1"/>
  <c r="O279" i="4"/>
  <c r="D281" i="4"/>
  <c r="O593" i="4"/>
  <c r="P593" i="4"/>
  <c r="Q593" i="4" s="1"/>
  <c r="D595" i="4"/>
  <c r="D542" i="4"/>
  <c r="O540" i="4"/>
  <c r="P540" i="4"/>
  <c r="Q540" i="4" s="1"/>
  <c r="D72" i="4"/>
  <c r="P70" i="4"/>
  <c r="Q70" i="4" s="1"/>
  <c r="O70" i="4"/>
  <c r="O177" i="4"/>
  <c r="P177" i="4"/>
  <c r="Q177" i="4" s="1"/>
  <c r="D179" i="4"/>
  <c r="D811" i="4"/>
  <c r="O809" i="4"/>
  <c r="P809" i="4"/>
  <c r="Q809" i="4" s="1"/>
  <c r="D229" i="4"/>
  <c r="O227" i="4"/>
  <c r="P227" i="4"/>
  <c r="Q227" i="4" s="1"/>
  <c r="P859" i="4"/>
  <c r="Q859" i="4" s="1"/>
  <c r="D861" i="4"/>
  <c r="O859" i="4"/>
  <c r="P437" i="4"/>
  <c r="Q437" i="4" s="1"/>
  <c r="O437" i="4"/>
  <c r="D439" i="4"/>
  <c r="O1074" i="4"/>
  <c r="P1074" i="4"/>
  <c r="Q1074" i="4" s="1"/>
  <c r="D1076" i="4"/>
  <c r="O701" i="4"/>
  <c r="P701" i="4"/>
  <c r="Q701" i="4" s="1"/>
  <c r="D703" i="4"/>
  <c r="G18" i="1"/>
  <c r="O17" i="8" l="1"/>
  <c r="M17" i="8"/>
  <c r="Y17" i="8" s="1"/>
  <c r="AA17" i="8" s="1"/>
  <c r="N17" i="8"/>
  <c r="L18" i="8"/>
  <c r="AC17" i="8"/>
  <c r="AD17" i="8" s="1"/>
  <c r="AI17" i="8" s="1"/>
  <c r="AQ17" i="8" s="1"/>
  <c r="AF16" i="8"/>
  <c r="AN16" i="8" s="1"/>
  <c r="AJ16" i="8"/>
  <c r="AR16" i="8" s="1"/>
  <c r="V16" i="8"/>
  <c r="AG16" i="8"/>
  <c r="AO16" i="8" s="1"/>
  <c r="AH16" i="8"/>
  <c r="AP16" i="8" s="1"/>
  <c r="AK16" i="8"/>
  <c r="AS16" i="8" s="1"/>
  <c r="AL16" i="8"/>
  <c r="AT16" i="8" s="1"/>
  <c r="AM16" i="8"/>
  <c r="AU16" i="8" s="1"/>
  <c r="D967" i="4"/>
  <c r="O965" i="4"/>
  <c r="P965" i="4"/>
  <c r="Q965" i="4" s="1"/>
  <c r="D704" i="4"/>
  <c r="O702" i="4"/>
  <c r="P702" i="4"/>
  <c r="Q702" i="4" s="1"/>
  <c r="O332" i="4"/>
  <c r="P332" i="4"/>
  <c r="Q332" i="4" s="1"/>
  <c r="D334" i="4"/>
  <c r="D914" i="4"/>
  <c r="P912" i="4"/>
  <c r="Q912" i="4" s="1"/>
  <c r="O912" i="4"/>
  <c r="P228" i="4"/>
  <c r="Q228" i="4" s="1"/>
  <c r="O228" i="4"/>
  <c r="D230" i="4"/>
  <c r="O541" i="4"/>
  <c r="P541" i="4"/>
  <c r="Q541" i="4" s="1"/>
  <c r="D543" i="4"/>
  <c r="D1077" i="4"/>
  <c r="P1075" i="4"/>
  <c r="Q1075" i="4" s="1"/>
  <c r="O1075" i="4"/>
  <c r="O594" i="4"/>
  <c r="D596" i="4"/>
  <c r="P594" i="4"/>
  <c r="Q594" i="4" s="1"/>
  <c r="O489" i="4"/>
  <c r="P489" i="4"/>
  <c r="Q489" i="4" s="1"/>
  <c r="D491" i="4"/>
  <c r="P17" i="4"/>
  <c r="Q17" i="4" s="1"/>
  <c r="D19" i="4"/>
  <c r="O17" i="4"/>
  <c r="O385" i="4"/>
  <c r="D387" i="4"/>
  <c r="P385" i="4"/>
  <c r="Q385" i="4" s="1"/>
  <c r="P810" i="4"/>
  <c r="Q810" i="4" s="1"/>
  <c r="O810" i="4"/>
  <c r="D812" i="4"/>
  <c r="P438" i="4"/>
  <c r="Q438" i="4" s="1"/>
  <c r="O438" i="4"/>
  <c r="D440" i="4"/>
  <c r="O280" i="4"/>
  <c r="P280" i="4"/>
  <c r="Q280" i="4" s="1"/>
  <c r="D282" i="4"/>
  <c r="P178" i="4"/>
  <c r="Q178" i="4" s="1"/>
  <c r="D180" i="4"/>
  <c r="O178" i="4"/>
  <c r="O648" i="4"/>
  <c r="P648" i="4"/>
  <c r="Q648" i="4" s="1"/>
  <c r="D650" i="4"/>
  <c r="O1020" i="4"/>
  <c r="P1020" i="4"/>
  <c r="Q1020" i="4" s="1"/>
  <c r="D1022" i="4"/>
  <c r="P122" i="4"/>
  <c r="Q122" i="4" s="1"/>
  <c r="D124" i="4"/>
  <c r="O122" i="4"/>
  <c r="O1128" i="4"/>
  <c r="P1128" i="4"/>
  <c r="Q1128" i="4" s="1"/>
  <c r="D1130" i="4"/>
  <c r="P860" i="4"/>
  <c r="Q860" i="4" s="1"/>
  <c r="D862" i="4"/>
  <c r="O860" i="4"/>
  <c r="D73" i="4"/>
  <c r="P71" i="4"/>
  <c r="Q71" i="4" s="1"/>
  <c r="O71" i="4"/>
  <c r="D756" i="4"/>
  <c r="O754" i="4"/>
  <c r="P754" i="4"/>
  <c r="Q754" i="4" s="1"/>
  <c r="G19" i="1"/>
  <c r="V17" i="8" l="1"/>
  <c r="AG17" i="8"/>
  <c r="AO17" i="8" s="1"/>
  <c r="AJ17" i="8"/>
  <c r="AR17" i="8" s="1"/>
  <c r="AF17" i="8"/>
  <c r="AN17" i="8" s="1"/>
  <c r="AH17" i="8"/>
  <c r="AP17" i="8" s="1"/>
  <c r="AK17" i="8"/>
  <c r="AS17" i="8" s="1"/>
  <c r="O18" i="8"/>
  <c r="N18" i="8"/>
  <c r="L19" i="8"/>
  <c r="M18" i="8"/>
  <c r="Y18" i="8" s="1"/>
  <c r="AA18" i="8" s="1"/>
  <c r="AC18" i="8" s="1"/>
  <c r="AD18" i="8" s="1"/>
  <c r="AI18" i="8" s="1"/>
  <c r="AQ18" i="8" s="1"/>
  <c r="AL17" i="8"/>
  <c r="AT17" i="8" s="1"/>
  <c r="AM17" i="8"/>
  <c r="AU17" i="8" s="1"/>
  <c r="O966" i="4"/>
  <c r="P966" i="4"/>
  <c r="Q966" i="4" s="1"/>
  <c r="D968" i="4"/>
  <c r="D231" i="4"/>
  <c r="O229" i="4"/>
  <c r="P229" i="4"/>
  <c r="Q229" i="4" s="1"/>
  <c r="P490" i="4"/>
  <c r="Q490" i="4" s="1"/>
  <c r="D492" i="4"/>
  <c r="O490" i="4"/>
  <c r="P703" i="4"/>
  <c r="Q703" i="4" s="1"/>
  <c r="D705" i="4"/>
  <c r="O703" i="4"/>
  <c r="P123" i="4"/>
  <c r="Q123" i="4" s="1"/>
  <c r="O123" i="4"/>
  <c r="D125" i="4"/>
  <c r="O439" i="4"/>
  <c r="P439" i="4"/>
  <c r="Q439" i="4" s="1"/>
  <c r="D441" i="4"/>
  <c r="P755" i="4"/>
  <c r="Q755" i="4" s="1"/>
  <c r="O755" i="4"/>
  <c r="D757" i="4"/>
  <c r="O1021" i="4"/>
  <c r="P1021" i="4"/>
  <c r="Q1021" i="4" s="1"/>
  <c r="D1023" i="4"/>
  <c r="O811" i="4"/>
  <c r="D813" i="4"/>
  <c r="P811" i="4"/>
  <c r="Q811" i="4" s="1"/>
  <c r="O595" i="4"/>
  <c r="P595" i="4"/>
  <c r="Q595" i="4" s="1"/>
  <c r="D597" i="4"/>
  <c r="O281" i="4"/>
  <c r="D283" i="4"/>
  <c r="P281" i="4"/>
  <c r="Q281" i="4" s="1"/>
  <c r="O18" i="4"/>
  <c r="D20" i="4"/>
  <c r="P18" i="4"/>
  <c r="Q18" i="4" s="1"/>
  <c r="O72" i="4"/>
  <c r="D74" i="4"/>
  <c r="P72" i="4"/>
  <c r="Q72" i="4" s="1"/>
  <c r="O649" i="4"/>
  <c r="D651" i="4"/>
  <c r="P649" i="4"/>
  <c r="Q649" i="4" s="1"/>
  <c r="O861" i="4"/>
  <c r="P861" i="4"/>
  <c r="Q861" i="4" s="1"/>
  <c r="D863" i="4"/>
  <c r="O913" i="4"/>
  <c r="D915" i="4"/>
  <c r="P913" i="4"/>
  <c r="Q913" i="4" s="1"/>
  <c r="O386" i="4"/>
  <c r="D388" i="4"/>
  <c r="P386" i="4"/>
  <c r="Q386" i="4" s="1"/>
  <c r="P1076" i="4"/>
  <c r="Q1076" i="4" s="1"/>
  <c r="D1078" i="4"/>
  <c r="O1076" i="4"/>
  <c r="D335" i="4"/>
  <c r="O333" i="4"/>
  <c r="P333" i="4"/>
  <c r="Q333" i="4" s="1"/>
  <c r="P1129" i="4"/>
  <c r="Q1129" i="4" s="1"/>
  <c r="O1129" i="4"/>
  <c r="D1131" i="4"/>
  <c r="P179" i="4"/>
  <c r="Q179" i="4" s="1"/>
  <c r="O179" i="4"/>
  <c r="D181" i="4"/>
  <c r="O542" i="4"/>
  <c r="P542" i="4"/>
  <c r="Q542" i="4" s="1"/>
  <c r="D544" i="4"/>
  <c r="G20" i="1"/>
  <c r="M19" i="8" l="1"/>
  <c r="Y19" i="8" s="1"/>
  <c r="AA19" i="8" s="1"/>
  <c r="AC19" i="8" s="1"/>
  <c r="AD19" i="8" s="1"/>
  <c r="AI19" i="8" s="1"/>
  <c r="AQ19" i="8" s="1"/>
  <c r="O19" i="8"/>
  <c r="N19" i="8"/>
  <c r="L20" i="8"/>
  <c r="AL18" i="8"/>
  <c r="AT18" i="8" s="1"/>
  <c r="AM18" i="8"/>
  <c r="AU18" i="8" s="1"/>
  <c r="V18" i="8"/>
  <c r="AJ18" i="8"/>
  <c r="AR18" i="8" s="1"/>
  <c r="AF18" i="8"/>
  <c r="AN18" i="8" s="1"/>
  <c r="AG18" i="8"/>
  <c r="AO18" i="8" s="1"/>
  <c r="AH18" i="8"/>
  <c r="AP18" i="8" s="1"/>
  <c r="AK18" i="8"/>
  <c r="AS18" i="8" s="1"/>
  <c r="O967" i="4"/>
  <c r="D969" i="4"/>
  <c r="P967" i="4"/>
  <c r="Q967" i="4" s="1"/>
  <c r="D545" i="4"/>
  <c r="O543" i="4"/>
  <c r="P543" i="4"/>
  <c r="Q543" i="4" s="1"/>
  <c r="O387" i="4"/>
  <c r="D389" i="4"/>
  <c r="P387" i="4"/>
  <c r="Q387" i="4" s="1"/>
  <c r="D75" i="4"/>
  <c r="P73" i="4"/>
  <c r="Q73" i="4" s="1"/>
  <c r="O73" i="4"/>
  <c r="O124" i="4"/>
  <c r="P124" i="4"/>
  <c r="Q124" i="4" s="1"/>
  <c r="D126" i="4"/>
  <c r="D916" i="4"/>
  <c r="P914" i="4"/>
  <c r="Q914" i="4" s="1"/>
  <c r="O914" i="4"/>
  <c r="O1077" i="4"/>
  <c r="D1079" i="4"/>
  <c r="P1077" i="4"/>
  <c r="Q1077" i="4" s="1"/>
  <c r="O650" i="4"/>
  <c r="D652" i="4"/>
  <c r="P650" i="4"/>
  <c r="Q650" i="4" s="1"/>
  <c r="P440" i="4"/>
  <c r="Q440" i="4" s="1"/>
  <c r="D442" i="4"/>
  <c r="O440" i="4"/>
  <c r="O812" i="4"/>
  <c r="D814" i="4"/>
  <c r="P812" i="4"/>
  <c r="Q812" i="4" s="1"/>
  <c r="O230" i="4"/>
  <c r="P230" i="4"/>
  <c r="Q230" i="4" s="1"/>
  <c r="D232" i="4"/>
  <c r="P180" i="4"/>
  <c r="Q180" i="4" s="1"/>
  <c r="D182" i="4"/>
  <c r="O180" i="4"/>
  <c r="P1130" i="4"/>
  <c r="Q1130" i="4" s="1"/>
  <c r="D1132" i="4"/>
  <c r="O1130" i="4"/>
  <c r="O19" i="4"/>
  <c r="D21" i="4"/>
  <c r="P19" i="4"/>
  <c r="Q19" i="4" s="1"/>
  <c r="O1022" i="4"/>
  <c r="P1022" i="4"/>
  <c r="Q1022" i="4" s="1"/>
  <c r="D1024" i="4"/>
  <c r="O704" i="4"/>
  <c r="P704" i="4"/>
  <c r="Q704" i="4" s="1"/>
  <c r="D706" i="4"/>
  <c r="O862" i="4"/>
  <c r="P862" i="4"/>
  <c r="Q862" i="4" s="1"/>
  <c r="D864" i="4"/>
  <c r="D284" i="4"/>
  <c r="P282" i="4"/>
  <c r="Q282" i="4" s="1"/>
  <c r="O282" i="4"/>
  <c r="D758" i="4"/>
  <c r="O756" i="4"/>
  <c r="P756" i="4"/>
  <c r="Q756" i="4" s="1"/>
  <c r="P491" i="4"/>
  <c r="Q491" i="4" s="1"/>
  <c r="D493" i="4"/>
  <c r="O491" i="4"/>
  <c r="P334" i="4"/>
  <c r="Q334" i="4" s="1"/>
  <c r="D336" i="4"/>
  <c r="O334" i="4"/>
  <c r="P596" i="4"/>
  <c r="Q596" i="4" s="1"/>
  <c r="O596" i="4"/>
  <c r="D598" i="4"/>
  <c r="G21" i="1"/>
  <c r="L21" i="8" l="1"/>
  <c r="O20" i="8"/>
  <c r="N20" i="8"/>
  <c r="M20" i="8"/>
  <c r="Y20" i="8" s="1"/>
  <c r="AA20" i="8" s="1"/>
  <c r="AC20" i="8" s="1"/>
  <c r="AD20" i="8" s="1"/>
  <c r="AI20" i="8" s="1"/>
  <c r="AQ20" i="8" s="1"/>
  <c r="AM19" i="8"/>
  <c r="AU19" i="8" s="1"/>
  <c r="AL19" i="8"/>
  <c r="AT19" i="8" s="1"/>
  <c r="AH19" i="8"/>
  <c r="AP19" i="8" s="1"/>
  <c r="AG19" i="8"/>
  <c r="AO19" i="8" s="1"/>
  <c r="V19" i="8"/>
  <c r="AF19" i="8"/>
  <c r="AN19" i="8" s="1"/>
  <c r="AJ19" i="8"/>
  <c r="AR19" i="8" s="1"/>
  <c r="AK19" i="8"/>
  <c r="AS19" i="8" s="1"/>
  <c r="O968" i="4"/>
  <c r="D970" i="4"/>
  <c r="P968" i="4"/>
  <c r="Q968" i="4" s="1"/>
  <c r="D337" i="4"/>
  <c r="O335" i="4"/>
  <c r="P335" i="4"/>
  <c r="Q335" i="4" s="1"/>
  <c r="O705" i="4"/>
  <c r="P705" i="4"/>
  <c r="Q705" i="4" s="1"/>
  <c r="D707" i="4"/>
  <c r="P181" i="4"/>
  <c r="Q181" i="4" s="1"/>
  <c r="D183" i="4"/>
  <c r="O181" i="4"/>
  <c r="O813" i="4"/>
  <c r="P813" i="4"/>
  <c r="Q813" i="4" s="1"/>
  <c r="D815" i="4"/>
  <c r="D390" i="4"/>
  <c r="O388" i="4"/>
  <c r="P388" i="4"/>
  <c r="Q388" i="4" s="1"/>
  <c r="O757" i="4"/>
  <c r="P757" i="4"/>
  <c r="Q757" i="4" s="1"/>
  <c r="D759" i="4"/>
  <c r="P20" i="4"/>
  <c r="Q20" i="4" s="1"/>
  <c r="O20" i="4"/>
  <c r="D22" i="4"/>
  <c r="P441" i="4"/>
  <c r="Q441" i="4" s="1"/>
  <c r="D443" i="4"/>
  <c r="O441" i="4"/>
  <c r="O597" i="4"/>
  <c r="P597" i="4"/>
  <c r="Q597" i="4" s="1"/>
  <c r="D599" i="4"/>
  <c r="D285" i="4"/>
  <c r="O283" i="4"/>
  <c r="P283" i="4"/>
  <c r="Q283" i="4" s="1"/>
  <c r="O1131" i="4"/>
  <c r="D1133" i="4"/>
  <c r="P1131" i="4"/>
  <c r="Q1131" i="4" s="1"/>
  <c r="P544" i="4"/>
  <c r="Q544" i="4" s="1"/>
  <c r="D546" i="4"/>
  <c r="O544" i="4"/>
  <c r="P863" i="4"/>
  <c r="Q863" i="4" s="1"/>
  <c r="O863" i="4"/>
  <c r="D865" i="4"/>
  <c r="D917" i="4"/>
  <c r="O915" i="4"/>
  <c r="P915" i="4"/>
  <c r="Q915" i="4" s="1"/>
  <c r="D653" i="4"/>
  <c r="O651" i="4"/>
  <c r="P651" i="4"/>
  <c r="Q651" i="4" s="1"/>
  <c r="D127" i="4"/>
  <c r="O125" i="4"/>
  <c r="P125" i="4"/>
  <c r="Q125" i="4" s="1"/>
  <c r="D1080" i="4"/>
  <c r="O1078" i="4"/>
  <c r="P1078" i="4"/>
  <c r="Q1078" i="4" s="1"/>
  <c r="O231" i="4"/>
  <c r="D233" i="4"/>
  <c r="P231" i="4"/>
  <c r="Q231" i="4" s="1"/>
  <c r="O492" i="4"/>
  <c r="P492" i="4"/>
  <c r="Q492" i="4" s="1"/>
  <c r="D494" i="4"/>
  <c r="D1025" i="4"/>
  <c r="O1023" i="4"/>
  <c r="P1023" i="4"/>
  <c r="Q1023" i="4" s="1"/>
  <c r="O74" i="4"/>
  <c r="P74" i="4"/>
  <c r="Q74" i="4" s="1"/>
  <c r="D76" i="4"/>
  <c r="G22" i="1"/>
  <c r="AL20" i="8" l="1"/>
  <c r="AT20" i="8" s="1"/>
  <c r="AM20" i="8"/>
  <c r="AU20" i="8" s="1"/>
  <c r="AH20" i="8"/>
  <c r="AP20" i="8" s="1"/>
  <c r="AG20" i="8"/>
  <c r="AO20" i="8" s="1"/>
  <c r="AJ20" i="8"/>
  <c r="AR20" i="8" s="1"/>
  <c r="AF20" i="8"/>
  <c r="AN20" i="8" s="1"/>
  <c r="V20" i="8"/>
  <c r="AK20" i="8"/>
  <c r="AS20" i="8" s="1"/>
  <c r="M21" i="8"/>
  <c r="Y21" i="8" s="1"/>
  <c r="AA21" i="8" s="1"/>
  <c r="AC21" i="8"/>
  <c r="AD21" i="8" s="1"/>
  <c r="AI21" i="8" s="1"/>
  <c r="AQ21" i="8" s="1"/>
  <c r="O21" i="8"/>
  <c r="L22" i="8"/>
  <c r="N21" i="8"/>
  <c r="P969" i="4"/>
  <c r="Q969" i="4" s="1"/>
  <c r="D971" i="4"/>
  <c r="O969" i="4"/>
  <c r="O916" i="4"/>
  <c r="D918" i="4"/>
  <c r="P916" i="4"/>
  <c r="Q916" i="4" s="1"/>
  <c r="O758" i="4"/>
  <c r="D760" i="4"/>
  <c r="P758" i="4"/>
  <c r="Q758" i="4" s="1"/>
  <c r="P75" i="4"/>
  <c r="Q75" i="4" s="1"/>
  <c r="D77" i="4"/>
  <c r="O75" i="4"/>
  <c r="O864" i="4"/>
  <c r="D866" i="4"/>
  <c r="P864" i="4"/>
  <c r="Q864" i="4" s="1"/>
  <c r="P336" i="4"/>
  <c r="Q336" i="4" s="1"/>
  <c r="O336" i="4"/>
  <c r="D338" i="4"/>
  <c r="D391" i="4"/>
  <c r="O389" i="4"/>
  <c r="P389" i="4"/>
  <c r="Q389" i="4" s="1"/>
  <c r="P493" i="4"/>
  <c r="Q493" i="4" s="1"/>
  <c r="O493" i="4"/>
  <c r="D495" i="4"/>
  <c r="D234" i="4"/>
  <c r="P232" i="4"/>
  <c r="Q232" i="4" s="1"/>
  <c r="O232" i="4"/>
  <c r="O652" i="4"/>
  <c r="P652" i="4"/>
  <c r="Q652" i="4" s="1"/>
  <c r="D654" i="4"/>
  <c r="P21" i="4"/>
  <c r="Q21" i="4" s="1"/>
  <c r="O21" i="4"/>
  <c r="D23" i="4"/>
  <c r="P182" i="4"/>
  <c r="Q182" i="4" s="1"/>
  <c r="D184" i="4"/>
  <c r="O182" i="4"/>
  <c r="O284" i="4"/>
  <c r="P284" i="4"/>
  <c r="Q284" i="4" s="1"/>
  <c r="D286" i="4"/>
  <c r="D1081" i="4"/>
  <c r="O1079" i="4"/>
  <c r="P1079" i="4"/>
  <c r="Q1079" i="4" s="1"/>
  <c r="D444" i="4"/>
  <c r="O442" i="4"/>
  <c r="P442" i="4"/>
  <c r="Q442" i="4" s="1"/>
  <c r="P545" i="4"/>
  <c r="Q545" i="4" s="1"/>
  <c r="D547" i="4"/>
  <c r="O545" i="4"/>
  <c r="O1024" i="4"/>
  <c r="D1026" i="4"/>
  <c r="P1024" i="4"/>
  <c r="Q1024" i="4" s="1"/>
  <c r="D128" i="4"/>
  <c r="O126" i="4"/>
  <c r="P126" i="4"/>
  <c r="Q126" i="4" s="1"/>
  <c r="P814" i="4"/>
  <c r="Q814" i="4" s="1"/>
  <c r="D816" i="4"/>
  <c r="O814" i="4"/>
  <c r="O1132" i="4"/>
  <c r="P1132" i="4"/>
  <c r="Q1132" i="4" s="1"/>
  <c r="D1134" i="4"/>
  <c r="P598" i="4"/>
  <c r="Q598" i="4" s="1"/>
  <c r="O598" i="4"/>
  <c r="D600" i="4"/>
  <c r="D708" i="4"/>
  <c r="P706" i="4"/>
  <c r="Q706" i="4" s="1"/>
  <c r="O706" i="4"/>
  <c r="G23" i="1"/>
  <c r="AM21" i="8" l="1"/>
  <c r="AU21" i="8" s="1"/>
  <c r="AL21" i="8"/>
  <c r="AT21" i="8" s="1"/>
  <c r="O22" i="8"/>
  <c r="M22" i="8"/>
  <c r="Y22" i="8" s="1"/>
  <c r="AA22" i="8" s="1"/>
  <c r="N22" i="8"/>
  <c r="AC22" i="8"/>
  <c r="AD22" i="8" s="1"/>
  <c r="AI22" i="8" s="1"/>
  <c r="AQ22" i="8" s="1"/>
  <c r="L23" i="8"/>
  <c r="AH21" i="8"/>
  <c r="AP21" i="8" s="1"/>
  <c r="AG21" i="8"/>
  <c r="AO21" i="8" s="1"/>
  <c r="AJ21" i="8"/>
  <c r="AR21" i="8" s="1"/>
  <c r="V21" i="8"/>
  <c r="AK21" i="8"/>
  <c r="AS21" i="8" s="1"/>
  <c r="AF21" i="8"/>
  <c r="AN21" i="8" s="1"/>
  <c r="P970" i="4"/>
  <c r="Q970" i="4" s="1"/>
  <c r="D972" i="4"/>
  <c r="O970" i="4"/>
  <c r="D655" i="4"/>
  <c r="P653" i="4"/>
  <c r="Q653" i="4" s="1"/>
  <c r="O653" i="4"/>
  <c r="D392" i="4"/>
  <c r="O390" i="4"/>
  <c r="P390" i="4"/>
  <c r="Q390" i="4" s="1"/>
  <c r="P337" i="4"/>
  <c r="Q337" i="4" s="1"/>
  <c r="D339" i="4"/>
  <c r="O337" i="4"/>
  <c r="P917" i="4"/>
  <c r="Q917" i="4" s="1"/>
  <c r="D919" i="4"/>
  <c r="O917" i="4"/>
  <c r="P127" i="4"/>
  <c r="Q127" i="4" s="1"/>
  <c r="D129" i="4"/>
  <c r="O127" i="4"/>
  <c r="O707" i="4"/>
  <c r="P707" i="4"/>
  <c r="Q707" i="4" s="1"/>
  <c r="D709" i="4"/>
  <c r="P285" i="4"/>
  <c r="Q285" i="4" s="1"/>
  <c r="D287" i="4"/>
  <c r="O285" i="4"/>
  <c r="O599" i="4"/>
  <c r="P599" i="4"/>
  <c r="Q599" i="4" s="1"/>
  <c r="D601" i="4"/>
  <c r="D548" i="4"/>
  <c r="O546" i="4"/>
  <c r="P546" i="4"/>
  <c r="Q546" i="4" s="1"/>
  <c r="O494" i="4"/>
  <c r="P494" i="4"/>
  <c r="Q494" i="4" s="1"/>
  <c r="D496" i="4"/>
  <c r="D78" i="4"/>
  <c r="P76" i="4"/>
  <c r="Q76" i="4" s="1"/>
  <c r="O76" i="4"/>
  <c r="D761" i="4"/>
  <c r="P759" i="4"/>
  <c r="Q759" i="4" s="1"/>
  <c r="O759" i="4"/>
  <c r="P1080" i="4"/>
  <c r="Q1080" i="4" s="1"/>
  <c r="O1080" i="4"/>
  <c r="D1082" i="4"/>
  <c r="D1027" i="4"/>
  <c r="P1025" i="4"/>
  <c r="Q1025" i="4" s="1"/>
  <c r="O1025" i="4"/>
  <c r="O233" i="4"/>
  <c r="P233" i="4"/>
  <c r="Q233" i="4" s="1"/>
  <c r="D235" i="4"/>
  <c r="P865" i="4"/>
  <c r="Q865" i="4" s="1"/>
  <c r="D867" i="4"/>
  <c r="O865" i="4"/>
  <c r="O1133" i="4"/>
  <c r="D1135" i="4"/>
  <c r="P1133" i="4"/>
  <c r="Q1133" i="4" s="1"/>
  <c r="D185" i="4"/>
  <c r="O183" i="4"/>
  <c r="P183" i="4"/>
  <c r="Q183" i="4" s="1"/>
  <c r="P22" i="4"/>
  <c r="Q22" i="4" s="1"/>
  <c r="D24" i="4"/>
  <c r="O22" i="4"/>
  <c r="D817" i="4"/>
  <c r="O815" i="4"/>
  <c r="P815" i="4"/>
  <c r="Q815" i="4" s="1"/>
  <c r="D445" i="4"/>
  <c r="P443" i="4"/>
  <c r="Q443" i="4" s="1"/>
  <c r="O443" i="4"/>
  <c r="G24" i="1"/>
  <c r="N23" i="8" l="1"/>
  <c r="O23" i="8"/>
  <c r="L24" i="8"/>
  <c r="M23" i="8"/>
  <c r="Y23" i="8" s="1"/>
  <c r="AA23" i="8" s="1"/>
  <c r="AC23" i="8" s="1"/>
  <c r="AD23" i="8" s="1"/>
  <c r="AI23" i="8" s="1"/>
  <c r="AQ23" i="8" s="1"/>
  <c r="AL22" i="8"/>
  <c r="AT22" i="8" s="1"/>
  <c r="AM22" i="8"/>
  <c r="AU22" i="8" s="1"/>
  <c r="AF22" i="8"/>
  <c r="AN22" i="8" s="1"/>
  <c r="AJ22" i="8"/>
  <c r="AR22" i="8" s="1"/>
  <c r="V22" i="8"/>
  <c r="AG22" i="8"/>
  <c r="AO22" i="8" s="1"/>
  <c r="AH22" i="8"/>
  <c r="AP22" i="8" s="1"/>
  <c r="AK22" i="8"/>
  <c r="AS22" i="8" s="1"/>
  <c r="P971" i="4"/>
  <c r="Q971" i="4" s="1"/>
  <c r="D973" i="4"/>
  <c r="O971" i="4"/>
  <c r="P816" i="4"/>
  <c r="Q816" i="4" s="1"/>
  <c r="O816" i="4"/>
  <c r="D818" i="4"/>
  <c r="O760" i="4"/>
  <c r="P760" i="4"/>
  <c r="Q760" i="4" s="1"/>
  <c r="D762" i="4"/>
  <c r="D602" i="4"/>
  <c r="P600" i="4"/>
  <c r="Q600" i="4" s="1"/>
  <c r="O600" i="4"/>
  <c r="D920" i="4"/>
  <c r="O918" i="4"/>
  <c r="P918" i="4"/>
  <c r="Q918" i="4" s="1"/>
  <c r="D497" i="4"/>
  <c r="O495" i="4"/>
  <c r="P495" i="4"/>
  <c r="Q495" i="4" s="1"/>
  <c r="P708" i="4"/>
  <c r="Q708" i="4" s="1"/>
  <c r="D710" i="4"/>
  <c r="O708" i="4"/>
  <c r="O184" i="4"/>
  <c r="P184" i="4"/>
  <c r="Q184" i="4" s="1"/>
  <c r="D186" i="4"/>
  <c r="D1028" i="4"/>
  <c r="O1026" i="4"/>
  <c r="P1026" i="4"/>
  <c r="Q1026" i="4" s="1"/>
  <c r="O391" i="4"/>
  <c r="D393" i="4"/>
  <c r="P391" i="4"/>
  <c r="Q391" i="4" s="1"/>
  <c r="D1083" i="4"/>
  <c r="O1081" i="4"/>
  <c r="P1081" i="4"/>
  <c r="Q1081" i="4" s="1"/>
  <c r="D1136" i="4"/>
  <c r="P1134" i="4"/>
  <c r="Q1134" i="4" s="1"/>
  <c r="O1134" i="4"/>
  <c r="P547" i="4"/>
  <c r="Q547" i="4" s="1"/>
  <c r="D549" i="4"/>
  <c r="O547" i="4"/>
  <c r="P128" i="4"/>
  <c r="Q128" i="4" s="1"/>
  <c r="O128" i="4"/>
  <c r="D130" i="4"/>
  <c r="O654" i="4"/>
  <c r="P654" i="4"/>
  <c r="Q654" i="4" s="1"/>
  <c r="D656" i="4"/>
  <c r="P444" i="4"/>
  <c r="Q444" i="4" s="1"/>
  <c r="D446" i="4"/>
  <c r="O444" i="4"/>
  <c r="O866" i="4"/>
  <c r="D868" i="4"/>
  <c r="P866" i="4"/>
  <c r="Q866" i="4" s="1"/>
  <c r="P234" i="4"/>
  <c r="Q234" i="4" s="1"/>
  <c r="O234" i="4"/>
  <c r="D236" i="4"/>
  <c r="D25" i="4"/>
  <c r="P23" i="4"/>
  <c r="Q23" i="4" s="1"/>
  <c r="O23" i="4"/>
  <c r="P338" i="4"/>
  <c r="Q338" i="4" s="1"/>
  <c r="O338" i="4"/>
  <c r="D340" i="4"/>
  <c r="P77" i="4"/>
  <c r="Q77" i="4" s="1"/>
  <c r="O77" i="4"/>
  <c r="D79" i="4"/>
  <c r="D288" i="4"/>
  <c r="P286" i="4"/>
  <c r="Q286" i="4" s="1"/>
  <c r="O286" i="4"/>
  <c r="G25" i="1"/>
  <c r="AL23" i="8" l="1"/>
  <c r="AT23" i="8" s="1"/>
  <c r="AM23" i="8"/>
  <c r="AU23" i="8" s="1"/>
  <c r="O24" i="8"/>
  <c r="L25" i="8"/>
  <c r="N24" i="8"/>
  <c r="M24" i="8"/>
  <c r="Y24" i="8" s="1"/>
  <c r="AA24" i="8" s="1"/>
  <c r="AC24" i="8"/>
  <c r="AD24" i="8" s="1"/>
  <c r="AI24" i="8" s="1"/>
  <c r="AQ24" i="8" s="1"/>
  <c r="AF23" i="8"/>
  <c r="AN23" i="8" s="1"/>
  <c r="AJ23" i="8"/>
  <c r="AR23" i="8" s="1"/>
  <c r="V23" i="8"/>
  <c r="AK23" i="8"/>
  <c r="AS23" i="8" s="1"/>
  <c r="AG23" i="8"/>
  <c r="AO23" i="8" s="1"/>
  <c r="AH23" i="8"/>
  <c r="AP23" i="8" s="1"/>
  <c r="P972" i="4"/>
  <c r="Q972" i="4" s="1"/>
  <c r="D974" i="4"/>
  <c r="O972" i="4"/>
  <c r="D237" i="4"/>
  <c r="O235" i="4"/>
  <c r="P235" i="4"/>
  <c r="Q235" i="4" s="1"/>
  <c r="P655" i="4"/>
  <c r="Q655" i="4" s="1"/>
  <c r="D657" i="4"/>
  <c r="O655" i="4"/>
  <c r="O709" i="4"/>
  <c r="P709" i="4"/>
  <c r="Q709" i="4" s="1"/>
  <c r="D711" i="4"/>
  <c r="O287" i="4"/>
  <c r="P287" i="4"/>
  <c r="Q287" i="4" s="1"/>
  <c r="D289" i="4"/>
  <c r="O78" i="4"/>
  <c r="P78" i="4"/>
  <c r="Q78" i="4" s="1"/>
  <c r="D80" i="4"/>
  <c r="D131" i="4"/>
  <c r="O129" i="4"/>
  <c r="P129" i="4"/>
  <c r="Q129" i="4" s="1"/>
  <c r="D869" i="4"/>
  <c r="P867" i="4"/>
  <c r="Q867" i="4" s="1"/>
  <c r="O867" i="4"/>
  <c r="D394" i="4"/>
  <c r="O392" i="4"/>
  <c r="P392" i="4"/>
  <c r="Q392" i="4" s="1"/>
  <c r="O339" i="4"/>
  <c r="P339" i="4"/>
  <c r="Q339" i="4" s="1"/>
  <c r="D341" i="4"/>
  <c r="O919" i="4"/>
  <c r="P919" i="4"/>
  <c r="Q919" i="4" s="1"/>
  <c r="D921" i="4"/>
  <c r="O24" i="4"/>
  <c r="P24" i="4"/>
  <c r="Q24" i="4" s="1"/>
  <c r="D26" i="4"/>
  <c r="D603" i="4"/>
  <c r="O601" i="4"/>
  <c r="P601" i="4"/>
  <c r="Q601" i="4" s="1"/>
  <c r="D819" i="4"/>
  <c r="P817" i="4"/>
  <c r="Q817" i="4" s="1"/>
  <c r="O817" i="4"/>
  <c r="P1082" i="4"/>
  <c r="Q1082" i="4" s="1"/>
  <c r="O1082" i="4"/>
  <c r="D1084" i="4"/>
  <c r="P496" i="4"/>
  <c r="Q496" i="4" s="1"/>
  <c r="O496" i="4"/>
  <c r="D498" i="4"/>
  <c r="D550" i="4"/>
  <c r="O548" i="4"/>
  <c r="P548" i="4"/>
  <c r="Q548" i="4" s="1"/>
  <c r="O1027" i="4"/>
  <c r="P1027" i="4"/>
  <c r="Q1027" i="4" s="1"/>
  <c r="D1029" i="4"/>
  <c r="D187" i="4"/>
  <c r="P185" i="4"/>
  <c r="Q185" i="4" s="1"/>
  <c r="O185" i="4"/>
  <c r="O445" i="4"/>
  <c r="P445" i="4"/>
  <c r="Q445" i="4" s="1"/>
  <c r="D447" i="4"/>
  <c r="O1135" i="4"/>
  <c r="P1135" i="4"/>
  <c r="Q1135" i="4" s="1"/>
  <c r="D1137" i="4"/>
  <c r="O761" i="4"/>
  <c r="D763" i="4"/>
  <c r="P761" i="4"/>
  <c r="Q761" i="4" s="1"/>
  <c r="G26" i="1"/>
  <c r="AM24" i="8" l="1"/>
  <c r="AU24" i="8" s="1"/>
  <c r="AL24" i="8"/>
  <c r="AT24" i="8" s="1"/>
  <c r="L26" i="8"/>
  <c r="M25" i="8"/>
  <c r="Y25" i="8" s="1"/>
  <c r="AA25" i="8" s="1"/>
  <c r="N25" i="8"/>
  <c r="O25" i="8"/>
  <c r="AC25" i="8"/>
  <c r="AD25" i="8" s="1"/>
  <c r="AI25" i="8" s="1"/>
  <c r="AQ25" i="8" s="1"/>
  <c r="V24" i="8"/>
  <c r="AF24" i="8"/>
  <c r="AN24" i="8" s="1"/>
  <c r="AG24" i="8"/>
  <c r="AO24" i="8" s="1"/>
  <c r="AJ24" i="8"/>
  <c r="AR24" i="8" s="1"/>
  <c r="AH24" i="8"/>
  <c r="AP24" i="8" s="1"/>
  <c r="AK24" i="8"/>
  <c r="AS24" i="8" s="1"/>
  <c r="O973" i="4"/>
  <c r="P973" i="4"/>
  <c r="Q973" i="4" s="1"/>
  <c r="D975" i="4"/>
  <c r="D1030" i="4"/>
  <c r="P1028" i="4"/>
  <c r="Q1028" i="4" s="1"/>
  <c r="O1028" i="4"/>
  <c r="O818" i="4"/>
  <c r="D820" i="4"/>
  <c r="P818" i="4"/>
  <c r="Q818" i="4" s="1"/>
  <c r="D81" i="4"/>
  <c r="P79" i="4"/>
  <c r="Q79" i="4" s="1"/>
  <c r="O79" i="4"/>
  <c r="O236" i="4"/>
  <c r="P236" i="4"/>
  <c r="Q236" i="4" s="1"/>
  <c r="D238" i="4"/>
  <c r="D764" i="4"/>
  <c r="O762" i="4"/>
  <c r="P762" i="4"/>
  <c r="Q762" i="4" s="1"/>
  <c r="P340" i="4"/>
  <c r="Q340" i="4" s="1"/>
  <c r="O340" i="4"/>
  <c r="D342" i="4"/>
  <c r="O288" i="4"/>
  <c r="P288" i="4"/>
  <c r="Q288" i="4" s="1"/>
  <c r="D290" i="4"/>
  <c r="D1138" i="4"/>
  <c r="O1136" i="4"/>
  <c r="P1136" i="4"/>
  <c r="Q1136" i="4" s="1"/>
  <c r="O602" i="4"/>
  <c r="P602" i="4"/>
  <c r="Q602" i="4" s="1"/>
  <c r="D604" i="4"/>
  <c r="D551" i="4"/>
  <c r="O549" i="4"/>
  <c r="P549" i="4"/>
  <c r="Q549" i="4" s="1"/>
  <c r="O25" i="4"/>
  <c r="P25" i="4"/>
  <c r="Q25" i="4" s="1"/>
  <c r="D27" i="4"/>
  <c r="P497" i="4"/>
  <c r="Q497" i="4" s="1"/>
  <c r="D499" i="4"/>
  <c r="O497" i="4"/>
  <c r="O710" i="4"/>
  <c r="P710" i="4"/>
  <c r="Q710" i="4" s="1"/>
  <c r="D712" i="4"/>
  <c r="P446" i="4"/>
  <c r="Q446" i="4" s="1"/>
  <c r="O446" i="4"/>
  <c r="D448" i="4"/>
  <c r="P393" i="4"/>
  <c r="Q393" i="4" s="1"/>
  <c r="O393" i="4"/>
  <c r="D395" i="4"/>
  <c r="D1085" i="4"/>
  <c r="O1083" i="4"/>
  <c r="P1083" i="4"/>
  <c r="Q1083" i="4" s="1"/>
  <c r="P920" i="4"/>
  <c r="Q920" i="4" s="1"/>
  <c r="D922" i="4"/>
  <c r="O920" i="4"/>
  <c r="O868" i="4"/>
  <c r="D870" i="4"/>
  <c r="P868" i="4"/>
  <c r="Q868" i="4" s="1"/>
  <c r="D658" i="4"/>
  <c r="O656" i="4"/>
  <c r="P656" i="4"/>
  <c r="Q656" i="4" s="1"/>
  <c r="O186" i="4"/>
  <c r="P186" i="4"/>
  <c r="Q186" i="4" s="1"/>
  <c r="D188" i="4"/>
  <c r="O130" i="4"/>
  <c r="D132" i="4"/>
  <c r="P130" i="4"/>
  <c r="Q130" i="4" s="1"/>
  <c r="G27" i="1"/>
  <c r="V25" i="8" l="1"/>
  <c r="AJ25" i="8"/>
  <c r="AR25" i="8" s="1"/>
  <c r="AG25" i="8"/>
  <c r="AO25" i="8" s="1"/>
  <c r="AH25" i="8"/>
  <c r="AP25" i="8" s="1"/>
  <c r="AF25" i="8"/>
  <c r="AN25" i="8" s="1"/>
  <c r="AK25" i="8"/>
  <c r="AS25" i="8" s="1"/>
  <c r="AL25" i="8"/>
  <c r="AT25" i="8" s="1"/>
  <c r="AM25" i="8"/>
  <c r="AU25" i="8" s="1"/>
  <c r="M26" i="8"/>
  <c r="Y26" i="8" s="1"/>
  <c r="AA26" i="8" s="1"/>
  <c r="AC26" i="8"/>
  <c r="AD26" i="8" s="1"/>
  <c r="AI26" i="8" s="1"/>
  <c r="AQ26" i="8" s="1"/>
  <c r="N26" i="8"/>
  <c r="L27" i="8"/>
  <c r="O26" i="8"/>
  <c r="D976" i="4"/>
  <c r="O974" i="4"/>
  <c r="P974" i="4"/>
  <c r="Q974" i="4" s="1"/>
  <c r="P26" i="4"/>
  <c r="Q26" i="4" s="1"/>
  <c r="D28" i="4"/>
  <c r="O26" i="4"/>
  <c r="D396" i="4"/>
  <c r="O394" i="4"/>
  <c r="P394" i="4"/>
  <c r="Q394" i="4" s="1"/>
  <c r="O819" i="4"/>
  <c r="P819" i="4"/>
  <c r="Q819" i="4" s="1"/>
  <c r="D821" i="4"/>
  <c r="O341" i="4"/>
  <c r="P341" i="4"/>
  <c r="Q341" i="4" s="1"/>
  <c r="D343" i="4"/>
  <c r="D659" i="4"/>
  <c r="O657" i="4"/>
  <c r="P657" i="4"/>
  <c r="Q657" i="4" s="1"/>
  <c r="O447" i="4"/>
  <c r="D449" i="4"/>
  <c r="P447" i="4"/>
  <c r="Q447" i="4" s="1"/>
  <c r="O869" i="4"/>
  <c r="P869" i="4"/>
  <c r="Q869" i="4" s="1"/>
  <c r="D871" i="4"/>
  <c r="O550" i="4"/>
  <c r="P550" i="4"/>
  <c r="Q550" i="4" s="1"/>
  <c r="D552" i="4"/>
  <c r="D1031" i="4"/>
  <c r="P1029" i="4"/>
  <c r="Q1029" i="4" s="1"/>
  <c r="O1029" i="4"/>
  <c r="P131" i="4"/>
  <c r="Q131" i="4" s="1"/>
  <c r="O131" i="4"/>
  <c r="D133" i="4"/>
  <c r="O603" i="4"/>
  <c r="P603" i="4"/>
  <c r="Q603" i="4" s="1"/>
  <c r="D605" i="4"/>
  <c r="O711" i="4"/>
  <c r="D713" i="4"/>
  <c r="P711" i="4"/>
  <c r="Q711" i="4" s="1"/>
  <c r="O763" i="4"/>
  <c r="P763" i="4"/>
  <c r="Q763" i="4" s="1"/>
  <c r="D765" i="4"/>
  <c r="P237" i="4"/>
  <c r="Q237" i="4" s="1"/>
  <c r="O237" i="4"/>
  <c r="D239" i="4"/>
  <c r="O921" i="4"/>
  <c r="P921" i="4"/>
  <c r="Q921" i="4" s="1"/>
  <c r="D923" i="4"/>
  <c r="O187" i="4"/>
  <c r="D189" i="4"/>
  <c r="P187" i="4"/>
  <c r="Q187" i="4" s="1"/>
  <c r="D1139" i="4"/>
  <c r="P1137" i="4"/>
  <c r="Q1137" i="4" s="1"/>
  <c r="O1137" i="4"/>
  <c r="P498" i="4"/>
  <c r="Q498" i="4" s="1"/>
  <c r="O498" i="4"/>
  <c r="D500" i="4"/>
  <c r="P289" i="4"/>
  <c r="Q289" i="4" s="1"/>
  <c r="D291" i="4"/>
  <c r="O289" i="4"/>
  <c r="D1086" i="4"/>
  <c r="O1084" i="4"/>
  <c r="P1084" i="4"/>
  <c r="Q1084" i="4" s="1"/>
  <c r="D82" i="4"/>
  <c r="P80" i="4"/>
  <c r="Q80" i="4" s="1"/>
  <c r="O80" i="4"/>
  <c r="G28" i="1"/>
  <c r="M27" i="8" l="1"/>
  <c r="Y27" i="8" s="1"/>
  <c r="AA27" i="8" s="1"/>
  <c r="AC27" i="8" s="1"/>
  <c r="AD27" i="8" s="1"/>
  <c r="AI27" i="8" s="1"/>
  <c r="AQ27" i="8" s="1"/>
  <c r="N27" i="8"/>
  <c r="L28" i="8"/>
  <c r="O27" i="8"/>
  <c r="AM26" i="8"/>
  <c r="AU26" i="8" s="1"/>
  <c r="AL26" i="8"/>
  <c r="AT26" i="8" s="1"/>
  <c r="AF26" i="8"/>
  <c r="AN26" i="8" s="1"/>
  <c r="AJ26" i="8"/>
  <c r="AR26" i="8" s="1"/>
  <c r="AH26" i="8"/>
  <c r="AP26" i="8" s="1"/>
  <c r="V26" i="8"/>
  <c r="AG26" i="8"/>
  <c r="AO26" i="8" s="1"/>
  <c r="AK26" i="8"/>
  <c r="AS26" i="8" s="1"/>
  <c r="D977" i="4"/>
  <c r="O975" i="4"/>
  <c r="P975" i="4"/>
  <c r="Q975" i="4" s="1"/>
  <c r="D292" i="4"/>
  <c r="P290" i="4"/>
  <c r="Q290" i="4" s="1"/>
  <c r="O290" i="4"/>
  <c r="O870" i="4"/>
  <c r="P870" i="4"/>
  <c r="Q870" i="4" s="1"/>
  <c r="D872" i="4"/>
  <c r="D1140" i="4"/>
  <c r="O1138" i="4"/>
  <c r="P1138" i="4"/>
  <c r="Q1138" i="4" s="1"/>
  <c r="P395" i="4"/>
  <c r="Q395" i="4" s="1"/>
  <c r="O395" i="4"/>
  <c r="D397" i="4"/>
  <c r="O81" i="4"/>
  <c r="P81" i="4"/>
  <c r="Q81" i="4" s="1"/>
  <c r="D83" i="4"/>
  <c r="D766" i="4"/>
  <c r="P764" i="4"/>
  <c r="Q764" i="4" s="1"/>
  <c r="O764" i="4"/>
  <c r="P188" i="4"/>
  <c r="Q188" i="4" s="1"/>
  <c r="D190" i="4"/>
  <c r="O188" i="4"/>
  <c r="O1030" i="4"/>
  <c r="P1030" i="4"/>
  <c r="Q1030" i="4" s="1"/>
  <c r="D1032" i="4"/>
  <c r="O658" i="4"/>
  <c r="P658" i="4"/>
  <c r="Q658" i="4" s="1"/>
  <c r="D660" i="4"/>
  <c r="P27" i="4"/>
  <c r="Q27" i="4" s="1"/>
  <c r="O27" i="4"/>
  <c r="D29" i="4"/>
  <c r="D553" i="4"/>
  <c r="P551" i="4"/>
  <c r="Q551" i="4" s="1"/>
  <c r="O551" i="4"/>
  <c r="O1085" i="4"/>
  <c r="P1085" i="4"/>
  <c r="Q1085" i="4" s="1"/>
  <c r="D1087" i="4"/>
  <c r="D344" i="4"/>
  <c r="P342" i="4"/>
  <c r="Q342" i="4" s="1"/>
  <c r="O342" i="4"/>
  <c r="D714" i="4"/>
  <c r="O712" i="4"/>
  <c r="P712" i="4"/>
  <c r="Q712" i="4" s="1"/>
  <c r="P499" i="4"/>
  <c r="Q499" i="4" s="1"/>
  <c r="D501" i="4"/>
  <c r="O499" i="4"/>
  <c r="P922" i="4"/>
  <c r="Q922" i="4" s="1"/>
  <c r="D924" i="4"/>
  <c r="O922" i="4"/>
  <c r="D606" i="4"/>
  <c r="O604" i="4"/>
  <c r="P604" i="4"/>
  <c r="Q604" i="4" s="1"/>
  <c r="D822" i="4"/>
  <c r="O820" i="4"/>
  <c r="P820" i="4"/>
  <c r="Q820" i="4" s="1"/>
  <c r="P238" i="4"/>
  <c r="Q238" i="4" s="1"/>
  <c r="D240" i="4"/>
  <c r="O238" i="4"/>
  <c r="O132" i="4"/>
  <c r="P132" i="4"/>
  <c r="Q132" i="4" s="1"/>
  <c r="D134" i="4"/>
  <c r="D450" i="4"/>
  <c r="P448" i="4"/>
  <c r="Q448" i="4" s="1"/>
  <c r="O448" i="4"/>
  <c r="G29" i="1"/>
  <c r="AH27" i="8" l="1"/>
  <c r="AP27" i="8" s="1"/>
  <c r="AJ27" i="8"/>
  <c r="AR27" i="8" s="1"/>
  <c r="V27" i="8"/>
  <c r="AF27" i="8"/>
  <c r="AN27" i="8" s="1"/>
  <c r="AG27" i="8"/>
  <c r="AO27" i="8" s="1"/>
  <c r="AK27" i="8"/>
  <c r="AS27" i="8" s="1"/>
  <c r="M28" i="8"/>
  <c r="Y28" i="8" s="1"/>
  <c r="AA28" i="8" s="1"/>
  <c r="AC28" i="8"/>
  <c r="AD28" i="8" s="1"/>
  <c r="AI28" i="8" s="1"/>
  <c r="AQ28" i="8" s="1"/>
  <c r="N28" i="8"/>
  <c r="O28" i="8"/>
  <c r="L29" i="8"/>
  <c r="AL27" i="8"/>
  <c r="AT27" i="8" s="1"/>
  <c r="AM27" i="8"/>
  <c r="AU27" i="8" s="1"/>
  <c r="P976" i="4"/>
  <c r="Q976" i="4" s="1"/>
  <c r="O976" i="4"/>
  <c r="D978" i="4"/>
  <c r="D554" i="4"/>
  <c r="O552" i="4"/>
  <c r="P552" i="4"/>
  <c r="Q552" i="4" s="1"/>
  <c r="O871" i="4"/>
  <c r="P871" i="4"/>
  <c r="Q871" i="4" s="1"/>
  <c r="D873" i="4"/>
  <c r="O765" i="4"/>
  <c r="P765" i="4"/>
  <c r="Q765" i="4" s="1"/>
  <c r="D767" i="4"/>
  <c r="O713" i="4"/>
  <c r="P713" i="4"/>
  <c r="Q713" i="4" s="1"/>
  <c r="D715" i="4"/>
  <c r="D84" i="4"/>
  <c r="P82" i="4"/>
  <c r="Q82" i="4" s="1"/>
  <c r="O82" i="4"/>
  <c r="D823" i="4"/>
  <c r="O821" i="4"/>
  <c r="P821" i="4"/>
  <c r="Q821" i="4" s="1"/>
  <c r="O396" i="4"/>
  <c r="P396" i="4"/>
  <c r="Q396" i="4" s="1"/>
  <c r="D398" i="4"/>
  <c r="O133" i="4"/>
  <c r="D135" i="4"/>
  <c r="P133" i="4"/>
  <c r="Q133" i="4" s="1"/>
  <c r="P343" i="4"/>
  <c r="Q343" i="4" s="1"/>
  <c r="O343" i="4"/>
  <c r="D345" i="4"/>
  <c r="D191" i="4"/>
  <c r="O189" i="4"/>
  <c r="P189" i="4"/>
  <c r="Q189" i="4" s="1"/>
  <c r="O1139" i="4"/>
  <c r="P1139" i="4"/>
  <c r="Q1139" i="4" s="1"/>
  <c r="D1141" i="4"/>
  <c r="D30" i="4"/>
  <c r="O28" i="4"/>
  <c r="P28" i="4"/>
  <c r="Q28" i="4" s="1"/>
  <c r="O659" i="4"/>
  <c r="P659" i="4"/>
  <c r="Q659" i="4" s="1"/>
  <c r="D661" i="4"/>
  <c r="O291" i="4"/>
  <c r="P291" i="4"/>
  <c r="Q291" i="4" s="1"/>
  <c r="D293" i="4"/>
  <c r="O449" i="4"/>
  <c r="D451" i="4"/>
  <c r="P449" i="4"/>
  <c r="Q449" i="4" s="1"/>
  <c r="O605" i="4"/>
  <c r="P605" i="4"/>
  <c r="Q605" i="4" s="1"/>
  <c r="D607" i="4"/>
  <c r="D1033" i="4"/>
  <c r="O1031" i="4"/>
  <c r="P1031" i="4"/>
  <c r="Q1031" i="4" s="1"/>
  <c r="P923" i="4"/>
  <c r="Q923" i="4" s="1"/>
  <c r="D925" i="4"/>
  <c r="O923" i="4"/>
  <c r="D1088" i="4"/>
  <c r="P1086" i="4"/>
  <c r="Q1086" i="4" s="1"/>
  <c r="O1086" i="4"/>
  <c r="O239" i="4"/>
  <c r="P239" i="4"/>
  <c r="Q239" i="4" s="1"/>
  <c r="D241" i="4"/>
  <c r="O500" i="4"/>
  <c r="P500" i="4"/>
  <c r="Q500" i="4" s="1"/>
  <c r="D502" i="4"/>
  <c r="G30" i="1"/>
  <c r="O29" i="8" l="1"/>
  <c r="L30" i="8"/>
  <c r="N29" i="8"/>
  <c r="M29" i="8"/>
  <c r="Y29" i="8" s="1"/>
  <c r="AA29" i="8" s="1"/>
  <c r="AC29" i="8" s="1"/>
  <c r="AD29" i="8" s="1"/>
  <c r="AI29" i="8" s="1"/>
  <c r="AQ29" i="8" s="1"/>
  <c r="V28" i="8"/>
  <c r="AF28" i="8"/>
  <c r="AN28" i="8" s="1"/>
  <c r="AG28" i="8"/>
  <c r="AO28" i="8" s="1"/>
  <c r="AH28" i="8"/>
  <c r="AP28" i="8" s="1"/>
  <c r="AJ28" i="8"/>
  <c r="AR28" i="8" s="1"/>
  <c r="AK28" i="8"/>
  <c r="AS28" i="8" s="1"/>
  <c r="AL28" i="8"/>
  <c r="AT28" i="8" s="1"/>
  <c r="AM28" i="8"/>
  <c r="AU28" i="8" s="1"/>
  <c r="D979" i="4"/>
  <c r="O977" i="4"/>
  <c r="P977" i="4"/>
  <c r="Q977" i="4" s="1"/>
  <c r="O714" i="4"/>
  <c r="D716" i="4"/>
  <c r="P714" i="4"/>
  <c r="Q714" i="4" s="1"/>
  <c r="D1142" i="4"/>
  <c r="O1140" i="4"/>
  <c r="P1140" i="4"/>
  <c r="Q1140" i="4" s="1"/>
  <c r="O450" i="4"/>
  <c r="P450" i="4"/>
  <c r="Q450" i="4" s="1"/>
  <c r="D452" i="4"/>
  <c r="O190" i="4"/>
  <c r="P190" i="4"/>
  <c r="Q190" i="4" s="1"/>
  <c r="D192" i="4"/>
  <c r="P924" i="4"/>
  <c r="Q924" i="4" s="1"/>
  <c r="O924" i="4"/>
  <c r="D926" i="4"/>
  <c r="P660" i="4"/>
  <c r="Q660" i="4" s="1"/>
  <c r="D662" i="4"/>
  <c r="O660" i="4"/>
  <c r="P872" i="4"/>
  <c r="Q872" i="4" s="1"/>
  <c r="O872" i="4"/>
  <c r="D874" i="4"/>
  <c r="D346" i="4"/>
  <c r="P344" i="4"/>
  <c r="Q344" i="4" s="1"/>
  <c r="O344" i="4"/>
  <c r="D503" i="4"/>
  <c r="O501" i="4"/>
  <c r="P501" i="4"/>
  <c r="Q501" i="4" s="1"/>
  <c r="P822" i="4"/>
  <c r="Q822" i="4" s="1"/>
  <c r="O822" i="4"/>
  <c r="D824" i="4"/>
  <c r="D1034" i="4"/>
  <c r="O1032" i="4"/>
  <c r="P1032" i="4"/>
  <c r="Q1032" i="4" s="1"/>
  <c r="P240" i="4"/>
  <c r="Q240" i="4" s="1"/>
  <c r="D242" i="4"/>
  <c r="O240" i="4"/>
  <c r="D608" i="4"/>
  <c r="O606" i="4"/>
  <c r="P606" i="4"/>
  <c r="Q606" i="4" s="1"/>
  <c r="P134" i="4"/>
  <c r="Q134" i="4" s="1"/>
  <c r="D136" i="4"/>
  <c r="O134" i="4"/>
  <c r="D555" i="4"/>
  <c r="P553" i="4"/>
  <c r="Q553" i="4" s="1"/>
  <c r="O553" i="4"/>
  <c r="P29" i="4"/>
  <c r="Q29" i="4" s="1"/>
  <c r="D31" i="4"/>
  <c r="O29" i="4"/>
  <c r="P83" i="4"/>
  <c r="Q83" i="4" s="1"/>
  <c r="D85" i="4"/>
  <c r="O83" i="4"/>
  <c r="O397" i="4"/>
  <c r="D399" i="4"/>
  <c r="P397" i="4"/>
  <c r="Q397" i="4" s="1"/>
  <c r="P292" i="4"/>
  <c r="Q292" i="4" s="1"/>
  <c r="O292" i="4"/>
  <c r="D294" i="4"/>
  <c r="O766" i="4"/>
  <c r="P766" i="4"/>
  <c r="Q766" i="4" s="1"/>
  <c r="D768" i="4"/>
  <c r="D1089" i="4"/>
  <c r="O1087" i="4"/>
  <c r="P1087" i="4"/>
  <c r="Q1087" i="4" s="1"/>
  <c r="G31" i="1"/>
  <c r="AF29" i="8" l="1"/>
  <c r="AN29" i="8" s="1"/>
  <c r="V29" i="8"/>
  <c r="AG29" i="8"/>
  <c r="AO29" i="8" s="1"/>
  <c r="AJ29" i="8"/>
  <c r="AR29" i="8" s="1"/>
  <c r="AH29" i="8"/>
  <c r="AP29" i="8" s="1"/>
  <c r="AK29" i="8"/>
  <c r="AS29" i="8" s="1"/>
  <c r="AL29" i="8"/>
  <c r="AT29" i="8" s="1"/>
  <c r="AM29" i="8"/>
  <c r="AU29" i="8" s="1"/>
  <c r="L31" i="8"/>
  <c r="M30" i="8"/>
  <c r="Y30" i="8" s="1"/>
  <c r="AA30" i="8" s="1"/>
  <c r="AC30" i="8" s="1"/>
  <c r="AD30" i="8" s="1"/>
  <c r="AI30" i="8" s="1"/>
  <c r="AQ30" i="8" s="1"/>
  <c r="N30" i="8"/>
  <c r="O30" i="8"/>
  <c r="O978" i="4"/>
  <c r="P978" i="4"/>
  <c r="Q978" i="4" s="1"/>
  <c r="D980" i="4"/>
  <c r="O30" i="4"/>
  <c r="D32" i="4"/>
  <c r="P30" i="4"/>
  <c r="Q30" i="4" s="1"/>
  <c r="D295" i="4"/>
  <c r="O293" i="4"/>
  <c r="P293" i="4"/>
  <c r="Q293" i="4" s="1"/>
  <c r="P1033" i="4"/>
  <c r="Q1033" i="4" s="1"/>
  <c r="O1033" i="4"/>
  <c r="D1035" i="4"/>
  <c r="O823" i="4"/>
  <c r="P823" i="4"/>
  <c r="Q823" i="4" s="1"/>
  <c r="D825" i="4"/>
  <c r="P661" i="4"/>
  <c r="Q661" i="4" s="1"/>
  <c r="O661" i="4"/>
  <c r="D663" i="4"/>
  <c r="P1141" i="4"/>
  <c r="Q1141" i="4" s="1"/>
  <c r="D1143" i="4"/>
  <c r="O1141" i="4"/>
  <c r="D556" i="4"/>
  <c r="O554" i="4"/>
  <c r="P554" i="4"/>
  <c r="Q554" i="4" s="1"/>
  <c r="D927" i="4"/>
  <c r="P925" i="4"/>
  <c r="Q925" i="4" s="1"/>
  <c r="O925" i="4"/>
  <c r="P715" i="4"/>
  <c r="Q715" i="4" s="1"/>
  <c r="O715" i="4"/>
  <c r="D717" i="4"/>
  <c r="P398" i="4"/>
  <c r="Q398" i="4" s="1"/>
  <c r="O398" i="4"/>
  <c r="D400" i="4"/>
  <c r="P135" i="4"/>
  <c r="Q135" i="4" s="1"/>
  <c r="D137" i="4"/>
  <c r="O135" i="4"/>
  <c r="O191" i="4"/>
  <c r="P191" i="4"/>
  <c r="Q191" i="4" s="1"/>
  <c r="D193" i="4"/>
  <c r="P502" i="4"/>
  <c r="Q502" i="4" s="1"/>
  <c r="D504" i="4"/>
  <c r="O502" i="4"/>
  <c r="D86" i="4"/>
  <c r="O84" i="4"/>
  <c r="P84" i="4"/>
  <c r="Q84" i="4" s="1"/>
  <c r="D609" i="4"/>
  <c r="O607" i="4"/>
  <c r="P607" i="4"/>
  <c r="Q607" i="4" s="1"/>
  <c r="O1088" i="4"/>
  <c r="P1088" i="4"/>
  <c r="Q1088" i="4" s="1"/>
  <c r="D1090" i="4"/>
  <c r="D769" i="4"/>
  <c r="O767" i="4"/>
  <c r="P767" i="4"/>
  <c r="Q767" i="4" s="1"/>
  <c r="P241" i="4"/>
  <c r="Q241" i="4" s="1"/>
  <c r="O241" i="4"/>
  <c r="D243" i="4"/>
  <c r="P345" i="4"/>
  <c r="Q345" i="4" s="1"/>
  <c r="O345" i="4"/>
  <c r="D347" i="4"/>
  <c r="D453" i="4"/>
  <c r="O451" i="4"/>
  <c r="P451" i="4"/>
  <c r="Q451" i="4" s="1"/>
  <c r="P873" i="4"/>
  <c r="Q873" i="4" s="1"/>
  <c r="O873" i="4"/>
  <c r="D875" i="4"/>
  <c r="G32" i="1"/>
  <c r="O31" i="8" l="1"/>
  <c r="L32" i="8"/>
  <c r="M31" i="8"/>
  <c r="Y31" i="8" s="1"/>
  <c r="AA31" i="8" s="1"/>
  <c r="AC31" i="8" s="1"/>
  <c r="AD31" i="8" s="1"/>
  <c r="AI31" i="8" s="1"/>
  <c r="AQ31" i="8" s="1"/>
  <c r="N31" i="8"/>
  <c r="AF30" i="8"/>
  <c r="AN30" i="8" s="1"/>
  <c r="AG30" i="8"/>
  <c r="AO30" i="8" s="1"/>
  <c r="AH30" i="8"/>
  <c r="AP30" i="8" s="1"/>
  <c r="AJ30" i="8"/>
  <c r="AR30" i="8" s="1"/>
  <c r="AK30" i="8"/>
  <c r="AS30" i="8" s="1"/>
  <c r="V30" i="8"/>
  <c r="AL30" i="8"/>
  <c r="AT30" i="8" s="1"/>
  <c r="AM30" i="8"/>
  <c r="AU30" i="8" s="1"/>
  <c r="D981" i="4"/>
  <c r="O979" i="4"/>
  <c r="P979" i="4"/>
  <c r="Q979" i="4" s="1"/>
  <c r="O1142" i="4"/>
  <c r="P1142" i="4"/>
  <c r="Q1142" i="4" s="1"/>
  <c r="D1144" i="4"/>
  <c r="D505" i="4"/>
  <c r="O503" i="4"/>
  <c r="P503" i="4"/>
  <c r="Q503" i="4" s="1"/>
  <c r="O662" i="4"/>
  <c r="P662" i="4"/>
  <c r="Q662" i="4" s="1"/>
  <c r="D664" i="4"/>
  <c r="O294" i="4"/>
  <c r="D296" i="4"/>
  <c r="P294" i="4"/>
  <c r="Q294" i="4" s="1"/>
  <c r="D876" i="4"/>
  <c r="O874" i="4"/>
  <c r="P874" i="4"/>
  <c r="Q874" i="4" s="1"/>
  <c r="P192" i="4"/>
  <c r="Q192" i="4" s="1"/>
  <c r="O192" i="4"/>
  <c r="D194" i="4"/>
  <c r="O716" i="4"/>
  <c r="P716" i="4"/>
  <c r="Q716" i="4" s="1"/>
  <c r="D718" i="4"/>
  <c r="D770" i="4"/>
  <c r="O768" i="4"/>
  <c r="P768" i="4"/>
  <c r="Q768" i="4" s="1"/>
  <c r="O1089" i="4"/>
  <c r="P1089" i="4"/>
  <c r="Q1089" i="4" s="1"/>
  <c r="D1091" i="4"/>
  <c r="O824" i="4"/>
  <c r="P824" i="4"/>
  <c r="Q824" i="4" s="1"/>
  <c r="D826" i="4"/>
  <c r="P31" i="4"/>
  <c r="Q31" i="4" s="1"/>
  <c r="O31" i="4"/>
  <c r="D33" i="4"/>
  <c r="O242" i="4"/>
  <c r="P242" i="4"/>
  <c r="Q242" i="4" s="1"/>
  <c r="D244" i="4"/>
  <c r="D87" i="4"/>
  <c r="O85" i="4"/>
  <c r="P85" i="4"/>
  <c r="Q85" i="4" s="1"/>
  <c r="D401" i="4"/>
  <c r="O399" i="4"/>
  <c r="P399" i="4"/>
  <c r="Q399" i="4" s="1"/>
  <c r="P926" i="4"/>
  <c r="Q926" i="4" s="1"/>
  <c r="O926" i="4"/>
  <c r="D928" i="4"/>
  <c r="D454" i="4"/>
  <c r="O452" i="4"/>
  <c r="P452" i="4"/>
  <c r="Q452" i="4" s="1"/>
  <c r="P346" i="4"/>
  <c r="Q346" i="4" s="1"/>
  <c r="O346" i="4"/>
  <c r="D348" i="4"/>
  <c r="P608" i="4"/>
  <c r="Q608" i="4" s="1"/>
  <c r="D610" i="4"/>
  <c r="O608" i="4"/>
  <c r="D1036" i="4"/>
  <c r="O1034" i="4"/>
  <c r="P1034" i="4"/>
  <c r="Q1034" i="4" s="1"/>
  <c r="O136" i="4"/>
  <c r="P136" i="4"/>
  <c r="Q136" i="4" s="1"/>
  <c r="D138" i="4"/>
  <c r="D557" i="4"/>
  <c r="O555" i="4"/>
  <c r="P555" i="4"/>
  <c r="Q555" i="4" s="1"/>
  <c r="G33" i="1"/>
  <c r="AL31" i="8" l="1"/>
  <c r="AT31" i="8" s="1"/>
  <c r="AM31" i="8"/>
  <c r="AU31" i="8" s="1"/>
  <c r="M32" i="8"/>
  <c r="Y32" i="8" s="1"/>
  <c r="AA32" i="8" s="1"/>
  <c r="AC32" i="8" s="1"/>
  <c r="AD32" i="8" s="1"/>
  <c r="AI32" i="8" s="1"/>
  <c r="AQ32" i="8" s="1"/>
  <c r="L33" i="8"/>
  <c r="O32" i="8"/>
  <c r="N32" i="8"/>
  <c r="AF31" i="8"/>
  <c r="AN31" i="8" s="1"/>
  <c r="V31" i="8"/>
  <c r="AG31" i="8"/>
  <c r="AO31" i="8" s="1"/>
  <c r="AH31" i="8"/>
  <c r="AP31" i="8" s="1"/>
  <c r="AJ31" i="8"/>
  <c r="AR31" i="8" s="1"/>
  <c r="AK31" i="8"/>
  <c r="AS31" i="8" s="1"/>
  <c r="O980" i="4"/>
  <c r="P980" i="4"/>
  <c r="Q980" i="4" s="1"/>
  <c r="D982" i="4"/>
  <c r="O1090" i="4"/>
  <c r="P1090" i="4"/>
  <c r="Q1090" i="4" s="1"/>
  <c r="D1092" i="4"/>
  <c r="D558" i="4"/>
  <c r="O556" i="4"/>
  <c r="P556" i="4"/>
  <c r="Q556" i="4" s="1"/>
  <c r="P875" i="4"/>
  <c r="Q875" i="4" s="1"/>
  <c r="O875" i="4"/>
  <c r="D877" i="4"/>
  <c r="D245" i="4"/>
  <c r="P243" i="4"/>
  <c r="Q243" i="4" s="1"/>
  <c r="O243" i="4"/>
  <c r="P453" i="4"/>
  <c r="Q453" i="4" s="1"/>
  <c r="O453" i="4"/>
  <c r="D455" i="4"/>
  <c r="O927" i="4"/>
  <c r="D929" i="4"/>
  <c r="P927" i="4"/>
  <c r="Q927" i="4" s="1"/>
  <c r="O32" i="4"/>
  <c r="P32" i="4"/>
  <c r="Q32" i="4" s="1"/>
  <c r="D34" i="4"/>
  <c r="P769" i="4"/>
  <c r="Q769" i="4" s="1"/>
  <c r="O769" i="4"/>
  <c r="D771" i="4"/>
  <c r="O825" i="4"/>
  <c r="P825" i="4"/>
  <c r="Q825" i="4" s="1"/>
  <c r="D827" i="4"/>
  <c r="D195" i="4"/>
  <c r="O193" i="4"/>
  <c r="P193" i="4"/>
  <c r="Q193" i="4" s="1"/>
  <c r="D1145" i="4"/>
  <c r="O1143" i="4"/>
  <c r="P1143" i="4"/>
  <c r="Q1143" i="4" s="1"/>
  <c r="P137" i="4"/>
  <c r="Q137" i="4" s="1"/>
  <c r="D139" i="4"/>
  <c r="O137" i="4"/>
  <c r="D88" i="4"/>
  <c r="P86" i="4"/>
  <c r="Q86" i="4" s="1"/>
  <c r="O86" i="4"/>
  <c r="O295" i="4"/>
  <c r="P295" i="4"/>
  <c r="Q295" i="4" s="1"/>
  <c r="D297" i="4"/>
  <c r="D665" i="4"/>
  <c r="O663" i="4"/>
  <c r="P663" i="4"/>
  <c r="Q663" i="4" s="1"/>
  <c r="D719" i="4"/>
  <c r="P717" i="4"/>
  <c r="Q717" i="4" s="1"/>
  <c r="O717" i="4"/>
  <c r="O1035" i="4"/>
  <c r="P1035" i="4"/>
  <c r="Q1035" i="4" s="1"/>
  <c r="D1037" i="4"/>
  <c r="O609" i="4"/>
  <c r="P609" i="4"/>
  <c r="Q609" i="4" s="1"/>
  <c r="D611" i="4"/>
  <c r="O504" i="4"/>
  <c r="P504" i="4"/>
  <c r="Q504" i="4" s="1"/>
  <c r="D506" i="4"/>
  <c r="D349" i="4"/>
  <c r="O347" i="4"/>
  <c r="P347" i="4"/>
  <c r="Q347" i="4" s="1"/>
  <c r="P400" i="4"/>
  <c r="Q400" i="4" s="1"/>
  <c r="D402" i="4"/>
  <c r="O400" i="4"/>
  <c r="G34" i="1"/>
  <c r="AL32" i="8" l="1"/>
  <c r="AT32" i="8" s="1"/>
  <c r="AM32" i="8"/>
  <c r="AU32" i="8" s="1"/>
  <c r="V32" i="8"/>
  <c r="AJ32" i="8"/>
  <c r="AR32" i="8" s="1"/>
  <c r="AF32" i="8"/>
  <c r="AN32" i="8" s="1"/>
  <c r="AG32" i="8"/>
  <c r="AO32" i="8" s="1"/>
  <c r="AH32" i="8"/>
  <c r="AP32" i="8" s="1"/>
  <c r="AK32" i="8"/>
  <c r="AS32" i="8" s="1"/>
  <c r="M33" i="8"/>
  <c r="Y33" i="8" s="1"/>
  <c r="AA33" i="8" s="1"/>
  <c r="N33" i="8"/>
  <c r="O33" i="8"/>
  <c r="AC33" i="8"/>
  <c r="AD33" i="8" s="1"/>
  <c r="AI33" i="8" s="1"/>
  <c r="AQ33" i="8" s="1"/>
  <c r="L34" i="8"/>
  <c r="D983" i="4"/>
  <c r="O981" i="4"/>
  <c r="P981" i="4"/>
  <c r="Q981" i="4" s="1"/>
  <c r="O1036" i="4"/>
  <c r="D1038" i="4"/>
  <c r="P1036" i="4"/>
  <c r="Q1036" i="4" s="1"/>
  <c r="O401" i="4"/>
  <c r="D403" i="4"/>
  <c r="P401" i="4"/>
  <c r="Q401" i="4" s="1"/>
  <c r="O138" i="4"/>
  <c r="P138" i="4"/>
  <c r="Q138" i="4" s="1"/>
  <c r="D140" i="4"/>
  <c r="O718" i="4"/>
  <c r="P718" i="4"/>
  <c r="Q718" i="4" s="1"/>
  <c r="D720" i="4"/>
  <c r="D772" i="4"/>
  <c r="P770" i="4"/>
  <c r="Q770" i="4" s="1"/>
  <c r="O770" i="4"/>
  <c r="O244" i="4"/>
  <c r="P244" i="4"/>
  <c r="Q244" i="4" s="1"/>
  <c r="D246" i="4"/>
  <c r="O876" i="4"/>
  <c r="P876" i="4"/>
  <c r="Q876" i="4" s="1"/>
  <c r="D878" i="4"/>
  <c r="O348" i="4"/>
  <c r="P348" i="4"/>
  <c r="Q348" i="4" s="1"/>
  <c r="D350" i="4"/>
  <c r="O454" i="4"/>
  <c r="P454" i="4"/>
  <c r="Q454" i="4" s="1"/>
  <c r="D456" i="4"/>
  <c r="O87" i="4"/>
  <c r="D89" i="4"/>
  <c r="P87" i="4"/>
  <c r="Q87" i="4" s="1"/>
  <c r="P505" i="4"/>
  <c r="Q505" i="4" s="1"/>
  <c r="O505" i="4"/>
  <c r="D507" i="4"/>
  <c r="O664" i="4"/>
  <c r="P664" i="4"/>
  <c r="Q664" i="4" s="1"/>
  <c r="D666" i="4"/>
  <c r="P1144" i="4"/>
  <c r="Q1144" i="4" s="1"/>
  <c r="O1144" i="4"/>
  <c r="D1146" i="4"/>
  <c r="D35" i="4"/>
  <c r="O33" i="4"/>
  <c r="P33" i="4"/>
  <c r="Q33" i="4" s="1"/>
  <c r="D298" i="4"/>
  <c r="O296" i="4"/>
  <c r="P296" i="4"/>
  <c r="Q296" i="4" s="1"/>
  <c r="P610" i="4"/>
  <c r="Q610" i="4" s="1"/>
  <c r="D612" i="4"/>
  <c r="O610" i="4"/>
  <c r="O194" i="4"/>
  <c r="D196" i="4"/>
  <c r="P194" i="4"/>
  <c r="Q194" i="4" s="1"/>
  <c r="D559" i="4"/>
  <c r="P557" i="4"/>
  <c r="Q557" i="4" s="1"/>
  <c r="O557" i="4"/>
  <c r="O826" i="4"/>
  <c r="D828" i="4"/>
  <c r="P826" i="4"/>
  <c r="Q826" i="4" s="1"/>
  <c r="D930" i="4"/>
  <c r="O928" i="4"/>
  <c r="P928" i="4"/>
  <c r="Q928" i="4" s="1"/>
  <c r="D1093" i="4"/>
  <c r="O1091" i="4"/>
  <c r="P1091" i="4"/>
  <c r="Q1091" i="4" s="1"/>
  <c r="G35" i="1"/>
  <c r="O34" i="8" l="1"/>
  <c r="L35" i="8"/>
  <c r="N34" i="8"/>
  <c r="M34" i="8"/>
  <c r="Y34" i="8" s="1"/>
  <c r="AA34" i="8" s="1"/>
  <c r="AC34" i="8" s="1"/>
  <c r="AD34" i="8" s="1"/>
  <c r="AI34" i="8" s="1"/>
  <c r="AQ34" i="8" s="1"/>
  <c r="AF33" i="8"/>
  <c r="AN33" i="8" s="1"/>
  <c r="AJ33" i="8"/>
  <c r="AR33" i="8" s="1"/>
  <c r="AH33" i="8"/>
  <c r="AP33" i="8" s="1"/>
  <c r="AK33" i="8"/>
  <c r="AS33" i="8" s="1"/>
  <c r="V33" i="8"/>
  <c r="AG33" i="8"/>
  <c r="AO33" i="8" s="1"/>
  <c r="AL33" i="8"/>
  <c r="AT33" i="8" s="1"/>
  <c r="AM33" i="8"/>
  <c r="AU33" i="8" s="1"/>
  <c r="O982" i="4"/>
  <c r="P982" i="4"/>
  <c r="Q982" i="4" s="1"/>
  <c r="D984" i="4"/>
  <c r="D141" i="4"/>
  <c r="O139" i="4"/>
  <c r="P139" i="4"/>
  <c r="Q139" i="4" s="1"/>
  <c r="P34" i="4"/>
  <c r="Q34" i="4" s="1"/>
  <c r="D36" i="4"/>
  <c r="O34" i="4"/>
  <c r="O771" i="4"/>
  <c r="D773" i="4"/>
  <c r="P771" i="4"/>
  <c r="Q771" i="4" s="1"/>
  <c r="P558" i="4"/>
  <c r="Q558" i="4" s="1"/>
  <c r="D560" i="4"/>
  <c r="O558" i="4"/>
  <c r="O1145" i="4"/>
  <c r="P1145" i="4"/>
  <c r="Q1145" i="4" s="1"/>
  <c r="D1147" i="4"/>
  <c r="O719" i="4"/>
  <c r="D721" i="4"/>
  <c r="P719" i="4"/>
  <c r="Q719" i="4" s="1"/>
  <c r="P195" i="4"/>
  <c r="Q195" i="4" s="1"/>
  <c r="O195" i="4"/>
  <c r="D197" i="4"/>
  <c r="O349" i="4"/>
  <c r="D351" i="4"/>
  <c r="P349" i="4"/>
  <c r="Q349" i="4" s="1"/>
  <c r="D1039" i="4"/>
  <c r="P1037" i="4"/>
  <c r="Q1037" i="4" s="1"/>
  <c r="O1037" i="4"/>
  <c r="D667" i="4"/>
  <c r="O665" i="4"/>
  <c r="P665" i="4"/>
  <c r="Q665" i="4" s="1"/>
  <c r="P1092" i="4"/>
  <c r="Q1092" i="4" s="1"/>
  <c r="O1092" i="4"/>
  <c r="D1094" i="4"/>
  <c r="P611" i="4"/>
  <c r="Q611" i="4" s="1"/>
  <c r="O611" i="4"/>
  <c r="D613" i="4"/>
  <c r="P877" i="4"/>
  <c r="Q877" i="4" s="1"/>
  <c r="O877" i="4"/>
  <c r="D879" i="4"/>
  <c r="D508" i="4"/>
  <c r="O506" i="4"/>
  <c r="P506" i="4"/>
  <c r="Q506" i="4" s="1"/>
  <c r="P929" i="4"/>
  <c r="Q929" i="4" s="1"/>
  <c r="D931" i="4"/>
  <c r="O929" i="4"/>
  <c r="P245" i="4"/>
  <c r="Q245" i="4" s="1"/>
  <c r="D247" i="4"/>
  <c r="O245" i="4"/>
  <c r="P827" i="4"/>
  <c r="Q827" i="4" s="1"/>
  <c r="D829" i="4"/>
  <c r="O827" i="4"/>
  <c r="O297" i="4"/>
  <c r="P297" i="4"/>
  <c r="Q297" i="4" s="1"/>
  <c r="D299" i="4"/>
  <c r="D90" i="4"/>
  <c r="O88" i="4"/>
  <c r="P88" i="4"/>
  <c r="Q88" i="4" s="1"/>
  <c r="D457" i="4"/>
  <c r="O455" i="4"/>
  <c r="P455" i="4"/>
  <c r="Q455" i="4" s="1"/>
  <c r="D404" i="4"/>
  <c r="P402" i="4"/>
  <c r="Q402" i="4" s="1"/>
  <c r="O402" i="4"/>
  <c r="G36" i="1"/>
  <c r="AL34" i="8" l="1"/>
  <c r="AT34" i="8" s="1"/>
  <c r="AM34" i="8"/>
  <c r="AU34" i="8" s="1"/>
  <c r="O35" i="8"/>
  <c r="AC35" i="8"/>
  <c r="AD35" i="8" s="1"/>
  <c r="AI35" i="8" s="1"/>
  <c r="AQ35" i="8" s="1"/>
  <c r="L36" i="8"/>
  <c r="M35" i="8"/>
  <c r="Y35" i="8" s="1"/>
  <c r="AA35" i="8" s="1"/>
  <c r="N35" i="8"/>
  <c r="AH34" i="8"/>
  <c r="AP34" i="8" s="1"/>
  <c r="V34" i="8"/>
  <c r="AJ34" i="8"/>
  <c r="AR34" i="8" s="1"/>
  <c r="AG34" i="8"/>
  <c r="AO34" i="8" s="1"/>
  <c r="AK34" i="8"/>
  <c r="AS34" i="8" s="1"/>
  <c r="AF34" i="8"/>
  <c r="AN34" i="8" s="1"/>
  <c r="P983" i="4"/>
  <c r="Q983" i="4" s="1"/>
  <c r="O983" i="4"/>
  <c r="D985" i="4"/>
  <c r="O298" i="4"/>
  <c r="D300" i="4"/>
  <c r="P298" i="4"/>
  <c r="Q298" i="4" s="1"/>
  <c r="D722" i="4"/>
  <c r="O720" i="4"/>
  <c r="P720" i="4"/>
  <c r="Q720" i="4" s="1"/>
  <c r="O828" i="4"/>
  <c r="P828" i="4"/>
  <c r="Q828" i="4" s="1"/>
  <c r="D830" i="4"/>
  <c r="P666" i="4"/>
  <c r="Q666" i="4" s="1"/>
  <c r="D668" i="4"/>
  <c r="O666" i="4"/>
  <c r="P140" i="4"/>
  <c r="Q140" i="4" s="1"/>
  <c r="O140" i="4"/>
  <c r="D142" i="4"/>
  <c r="P403" i="4"/>
  <c r="Q403" i="4" s="1"/>
  <c r="D405" i="4"/>
  <c r="O403" i="4"/>
  <c r="P878" i="4"/>
  <c r="Q878" i="4" s="1"/>
  <c r="O878" i="4"/>
  <c r="D880" i="4"/>
  <c r="O1038" i="4"/>
  <c r="D1040" i="4"/>
  <c r="P1038" i="4"/>
  <c r="Q1038" i="4" s="1"/>
  <c r="O559" i="4"/>
  <c r="D561" i="4"/>
  <c r="P559" i="4"/>
  <c r="Q559" i="4" s="1"/>
  <c r="O612" i="4"/>
  <c r="P612" i="4"/>
  <c r="Q612" i="4" s="1"/>
  <c r="D614" i="4"/>
  <c r="P350" i="4"/>
  <c r="Q350" i="4" s="1"/>
  <c r="D352" i="4"/>
  <c r="O350" i="4"/>
  <c r="D932" i="4"/>
  <c r="P930" i="4"/>
  <c r="Q930" i="4" s="1"/>
  <c r="O930" i="4"/>
  <c r="D198" i="4"/>
  <c r="O196" i="4"/>
  <c r="V159" i="4" s="1"/>
  <c r="P196" i="4"/>
  <c r="Q196" i="4" s="1"/>
  <c r="W159" i="4" s="1"/>
  <c r="O772" i="4"/>
  <c r="P772" i="4"/>
  <c r="Q772" i="4" s="1"/>
  <c r="D774" i="4"/>
  <c r="P35" i="4"/>
  <c r="Q35" i="4" s="1"/>
  <c r="D37" i="4"/>
  <c r="O35" i="4"/>
  <c r="D509" i="4"/>
  <c r="O507" i="4"/>
  <c r="P507" i="4"/>
  <c r="Q507" i="4" s="1"/>
  <c r="D1148" i="4"/>
  <c r="O1146" i="4"/>
  <c r="P1146" i="4"/>
  <c r="Q1146" i="4" s="1"/>
  <c r="P456" i="4"/>
  <c r="Q456" i="4" s="1"/>
  <c r="D458" i="4"/>
  <c r="O456" i="4"/>
  <c r="D248" i="4"/>
  <c r="O246" i="4"/>
  <c r="P246" i="4"/>
  <c r="Q246" i="4" s="1"/>
  <c r="D1095" i="4"/>
  <c r="O1093" i="4"/>
  <c r="P1093" i="4"/>
  <c r="Q1093" i="4" s="1"/>
  <c r="P89" i="4"/>
  <c r="Q89" i="4" s="1"/>
  <c r="O89" i="4"/>
  <c r="D91" i="4"/>
  <c r="G37" i="1"/>
  <c r="L37" i="8" l="1"/>
  <c r="O36" i="8"/>
  <c r="M36" i="8"/>
  <c r="Y36" i="8" s="1"/>
  <c r="AA36" i="8" s="1"/>
  <c r="AC36" i="8" s="1"/>
  <c r="AD36" i="8" s="1"/>
  <c r="AI36" i="8" s="1"/>
  <c r="AQ36" i="8" s="1"/>
  <c r="N36" i="8"/>
  <c r="AF35" i="8"/>
  <c r="AN35" i="8" s="1"/>
  <c r="AG35" i="8"/>
  <c r="AO35" i="8" s="1"/>
  <c r="AK35" i="8"/>
  <c r="AS35" i="8" s="1"/>
  <c r="AJ35" i="8"/>
  <c r="AR35" i="8" s="1"/>
  <c r="V35" i="8"/>
  <c r="AH35" i="8"/>
  <c r="AP35" i="8" s="1"/>
  <c r="AM35" i="8"/>
  <c r="AU35" i="8" s="1"/>
  <c r="AL35" i="8"/>
  <c r="AT35" i="8" s="1"/>
  <c r="D986" i="4"/>
  <c r="O984" i="4"/>
  <c r="P984" i="4"/>
  <c r="Q984" i="4" s="1"/>
  <c r="O508" i="4"/>
  <c r="P508" i="4"/>
  <c r="Q508" i="4" s="1"/>
  <c r="D510" i="4"/>
  <c r="P457" i="4"/>
  <c r="Q457" i="4" s="1"/>
  <c r="O457" i="4"/>
  <c r="D459" i="4"/>
  <c r="O351" i="4"/>
  <c r="P351" i="4"/>
  <c r="Q351" i="4" s="1"/>
  <c r="D353" i="4"/>
  <c r="P36" i="4"/>
  <c r="Q36" i="4" s="1"/>
  <c r="O36" i="4"/>
  <c r="D38" i="4"/>
  <c r="P404" i="4"/>
  <c r="Q404" i="4" s="1"/>
  <c r="D406" i="4"/>
  <c r="O404" i="4"/>
  <c r="P721" i="4"/>
  <c r="Q721" i="4" s="1"/>
  <c r="O721" i="4"/>
  <c r="D723" i="4"/>
  <c r="O613" i="4"/>
  <c r="P613" i="4"/>
  <c r="Q613" i="4" s="1"/>
  <c r="D615" i="4"/>
  <c r="O90" i="4"/>
  <c r="D92" i="4"/>
  <c r="P90" i="4"/>
  <c r="Q90" i="4" s="1"/>
  <c r="O141" i="4"/>
  <c r="P141" i="4"/>
  <c r="Q141" i="4" s="1"/>
  <c r="D143" i="4"/>
  <c r="D301" i="4"/>
  <c r="O299" i="4"/>
  <c r="P299" i="4"/>
  <c r="Q299" i="4" s="1"/>
  <c r="D775" i="4"/>
  <c r="P773" i="4"/>
  <c r="Q773" i="4" s="1"/>
  <c r="O773" i="4"/>
  <c r="O1147" i="4"/>
  <c r="D1149" i="4"/>
  <c r="P1147" i="4"/>
  <c r="Q1147" i="4" s="1"/>
  <c r="O560" i="4"/>
  <c r="P560" i="4"/>
  <c r="Q560" i="4" s="1"/>
  <c r="D562" i="4"/>
  <c r="P667" i="4"/>
  <c r="Q667" i="4" s="1"/>
  <c r="D669" i="4"/>
  <c r="O667" i="4"/>
  <c r="P1094" i="4"/>
  <c r="Q1094" i="4" s="1"/>
  <c r="D1096" i="4"/>
  <c r="O1094" i="4"/>
  <c r="O197" i="4"/>
  <c r="D199" i="4"/>
  <c r="P197" i="4"/>
  <c r="Q197" i="4" s="1"/>
  <c r="O1039" i="4"/>
  <c r="P1039" i="4"/>
  <c r="Q1039" i="4" s="1"/>
  <c r="D1041" i="4"/>
  <c r="D831" i="4"/>
  <c r="P829" i="4"/>
  <c r="Q829" i="4" s="1"/>
  <c r="O829" i="4"/>
  <c r="W791" i="4"/>
  <c r="P879" i="4"/>
  <c r="Q879" i="4" s="1"/>
  <c r="D881" i="4"/>
  <c r="O879" i="4"/>
  <c r="O247" i="4"/>
  <c r="P247" i="4"/>
  <c r="Q247" i="4" s="1"/>
  <c r="D249" i="4"/>
  <c r="D933" i="4"/>
  <c r="O931" i="4"/>
  <c r="P931" i="4"/>
  <c r="Q931" i="4" s="1"/>
  <c r="G38" i="1"/>
  <c r="AM36" i="8" l="1"/>
  <c r="AU36" i="8" s="1"/>
  <c r="AL36" i="8"/>
  <c r="AT36" i="8" s="1"/>
  <c r="AF36" i="8"/>
  <c r="AN36" i="8" s="1"/>
  <c r="V36" i="8"/>
  <c r="AJ36" i="8"/>
  <c r="AR36" i="8" s="1"/>
  <c r="AG36" i="8"/>
  <c r="AO36" i="8" s="1"/>
  <c r="AH36" i="8"/>
  <c r="AP36" i="8" s="1"/>
  <c r="AK36" i="8"/>
  <c r="AS36" i="8" s="1"/>
  <c r="M37" i="8"/>
  <c r="Y37" i="8" s="1"/>
  <c r="AA37" i="8" s="1"/>
  <c r="AC37" i="8" s="1"/>
  <c r="AD37" i="8" s="1"/>
  <c r="AI37" i="8" s="1"/>
  <c r="AQ37" i="8" s="1"/>
  <c r="N37" i="8"/>
  <c r="O37" i="8"/>
  <c r="L38" i="8"/>
  <c r="O985" i="4"/>
  <c r="P985" i="4"/>
  <c r="Q985" i="4" s="1"/>
  <c r="D987" i="4"/>
  <c r="D776" i="4"/>
  <c r="O774" i="4"/>
  <c r="P774" i="4"/>
  <c r="Q774" i="4" s="1"/>
  <c r="P458" i="4"/>
  <c r="Q458" i="4" s="1"/>
  <c r="W421" i="4" s="1"/>
  <c r="D460" i="4"/>
  <c r="O458" i="4"/>
  <c r="V421" i="4" s="1"/>
  <c r="P830" i="4"/>
  <c r="Q830" i="4" s="1"/>
  <c r="O830" i="4"/>
  <c r="D832" i="4"/>
  <c r="P561" i="4"/>
  <c r="Q561" i="4" s="1"/>
  <c r="O561" i="4"/>
  <c r="D563" i="4"/>
  <c r="P722" i="4"/>
  <c r="Q722" i="4" s="1"/>
  <c r="W685" i="4" s="1"/>
  <c r="O722" i="4"/>
  <c r="V685" i="4" s="1"/>
  <c r="D724" i="4"/>
  <c r="D1042" i="4"/>
  <c r="O1040" i="4"/>
  <c r="P1040" i="4"/>
  <c r="Q1040" i="4" s="1"/>
  <c r="D511" i="4"/>
  <c r="O509" i="4"/>
  <c r="P509" i="4"/>
  <c r="Q509" i="4" s="1"/>
  <c r="P932" i="4"/>
  <c r="Q932" i="4" s="1"/>
  <c r="O932" i="4"/>
  <c r="D934" i="4"/>
  <c r="O300" i="4"/>
  <c r="P300" i="4"/>
  <c r="Q300" i="4" s="1"/>
  <c r="D302" i="4"/>
  <c r="O248" i="4"/>
  <c r="D250" i="4"/>
  <c r="P248" i="4"/>
  <c r="Q248" i="4" s="1"/>
  <c r="O142" i="4"/>
  <c r="D144" i="4"/>
  <c r="P142" i="4"/>
  <c r="Q142" i="4" s="1"/>
  <c r="O405" i="4"/>
  <c r="P405" i="4"/>
  <c r="Q405" i="4" s="1"/>
  <c r="D407" i="4"/>
  <c r="O668" i="4"/>
  <c r="P668" i="4"/>
  <c r="Q668" i="4" s="1"/>
  <c r="D670" i="4"/>
  <c r="D616" i="4"/>
  <c r="P614" i="4"/>
  <c r="Q614" i="4" s="1"/>
  <c r="O614" i="4"/>
  <c r="O198" i="4"/>
  <c r="P198" i="4"/>
  <c r="Q198" i="4" s="1"/>
  <c r="D200" i="4"/>
  <c r="D39" i="4"/>
  <c r="O37" i="4"/>
  <c r="P37" i="4"/>
  <c r="Q37" i="4" s="1"/>
  <c r="V791" i="4"/>
  <c r="D1097" i="4"/>
  <c r="O1095" i="4"/>
  <c r="V1057" i="4" s="1"/>
  <c r="P1095" i="4"/>
  <c r="Q1095" i="4" s="1"/>
  <c r="W1057" i="4" s="1"/>
  <c r="D1150" i="4"/>
  <c r="O1148" i="4"/>
  <c r="P1148" i="4"/>
  <c r="Q1148" i="4" s="1"/>
  <c r="O880" i="4"/>
  <c r="P880" i="4"/>
  <c r="Q880" i="4" s="1"/>
  <c r="D882" i="4"/>
  <c r="D93" i="4"/>
  <c r="O91" i="4"/>
  <c r="P91" i="4"/>
  <c r="Q91" i="4" s="1"/>
  <c r="P352" i="4"/>
  <c r="Q352" i="4" s="1"/>
  <c r="O352" i="4"/>
  <c r="D354" i="4"/>
  <c r="G39" i="1"/>
  <c r="N38" i="8" l="1"/>
  <c r="O38" i="8"/>
  <c r="M38" i="8"/>
  <c r="Y38" i="8" s="1"/>
  <c r="AA38" i="8" s="1"/>
  <c r="AC38" i="8" s="1"/>
  <c r="AD38" i="8" s="1"/>
  <c r="AI38" i="8" s="1"/>
  <c r="AQ38" i="8" s="1"/>
  <c r="L39" i="8"/>
  <c r="AJ37" i="8"/>
  <c r="AR37" i="8" s="1"/>
  <c r="V37" i="8"/>
  <c r="AG37" i="8"/>
  <c r="AO37" i="8" s="1"/>
  <c r="AF37" i="8"/>
  <c r="AN37" i="8" s="1"/>
  <c r="AK37" i="8"/>
  <c r="AS37" i="8" s="1"/>
  <c r="AM37" i="8"/>
  <c r="AU37" i="8" s="1"/>
  <c r="AL37" i="8"/>
  <c r="AT37" i="8" s="1"/>
  <c r="P986" i="4"/>
  <c r="Q986" i="4" s="1"/>
  <c r="O986" i="4"/>
  <c r="D988" i="4"/>
  <c r="D355" i="4"/>
  <c r="O353" i="4"/>
  <c r="P353" i="4"/>
  <c r="Q353" i="4" s="1"/>
  <c r="P459" i="4"/>
  <c r="Q459" i="4" s="1"/>
  <c r="D461" i="4"/>
  <c r="O459" i="4"/>
  <c r="D408" i="4"/>
  <c r="O406" i="4"/>
  <c r="P406" i="4"/>
  <c r="Q406" i="4" s="1"/>
  <c r="W369" i="4" s="1"/>
  <c r="O92" i="4"/>
  <c r="V55" i="4" s="1"/>
  <c r="D94" i="4"/>
  <c r="P92" i="4"/>
  <c r="Q92" i="4" s="1"/>
  <c r="W55" i="4" s="1"/>
  <c r="O775" i="4"/>
  <c r="P775" i="4"/>
  <c r="Q775" i="4" s="1"/>
  <c r="D777" i="4"/>
  <c r="D40" i="4"/>
  <c r="O38" i="4"/>
  <c r="P38" i="4"/>
  <c r="Q38" i="4" s="1"/>
  <c r="P933" i="4"/>
  <c r="Q933" i="4" s="1"/>
  <c r="O933" i="4"/>
  <c r="D935" i="4"/>
  <c r="O562" i="4"/>
  <c r="P562" i="4"/>
  <c r="Q562" i="4" s="1"/>
  <c r="D564" i="4"/>
  <c r="W1111" i="4"/>
  <c r="D1151" i="4"/>
  <c r="O1149" i="4"/>
  <c r="P1149" i="4"/>
  <c r="Q1149" i="4" s="1"/>
  <c r="P615" i="4"/>
  <c r="Q615" i="4" s="1"/>
  <c r="D617" i="4"/>
  <c r="O615" i="4"/>
  <c r="D251" i="4"/>
  <c r="O249" i="4"/>
  <c r="V212" i="4" s="1"/>
  <c r="P249" i="4"/>
  <c r="Q249" i="4" s="1"/>
  <c r="W212" i="4" s="1"/>
  <c r="P1096" i="4"/>
  <c r="Q1096" i="4" s="1"/>
  <c r="O1096" i="4"/>
  <c r="D1098" i="4"/>
  <c r="D671" i="4"/>
  <c r="O669" i="4"/>
  <c r="P669" i="4"/>
  <c r="Q669" i="4" s="1"/>
  <c r="W632" i="4" s="1"/>
  <c r="P1041" i="4"/>
  <c r="Q1041" i="4" s="1"/>
  <c r="O1041" i="4"/>
  <c r="D1043" i="4"/>
  <c r="D303" i="4"/>
  <c r="O301" i="4"/>
  <c r="P301" i="4"/>
  <c r="Q301" i="4" s="1"/>
  <c r="D725" i="4"/>
  <c r="P723" i="4"/>
  <c r="Q723" i="4" s="1"/>
  <c r="O723" i="4"/>
  <c r="D883" i="4"/>
  <c r="P881" i="4"/>
  <c r="Q881" i="4" s="1"/>
  <c r="O881" i="4"/>
  <c r="D145" i="4"/>
  <c r="P143" i="4"/>
  <c r="Q143" i="4" s="1"/>
  <c r="O143" i="4"/>
  <c r="D201" i="4"/>
  <c r="O199" i="4"/>
  <c r="P199" i="4"/>
  <c r="Q199" i="4" s="1"/>
  <c r="O831" i="4"/>
  <c r="P831" i="4"/>
  <c r="Q831" i="4" s="1"/>
  <c r="D833" i="4"/>
  <c r="V1111" i="4"/>
  <c r="P510" i="4"/>
  <c r="Q510" i="4" s="1"/>
  <c r="D512" i="4"/>
  <c r="O510" i="4"/>
  <c r="G40" i="1"/>
  <c r="M39" i="8" l="1"/>
  <c r="Y39" i="8" s="1"/>
  <c r="AA39" i="8" s="1"/>
  <c r="AC39" i="8" s="1"/>
  <c r="AD39" i="8" s="1"/>
  <c r="AI39" i="8" s="1"/>
  <c r="AQ39" i="8" s="1"/>
  <c r="O39" i="8"/>
  <c r="L40" i="8"/>
  <c r="N39" i="8"/>
  <c r="AG38" i="8"/>
  <c r="AO38" i="8" s="1"/>
  <c r="V38" i="8"/>
  <c r="AF38" i="8"/>
  <c r="AN38" i="8" s="1"/>
  <c r="AJ38" i="8"/>
  <c r="AR38" i="8" s="1"/>
  <c r="AL38" i="8"/>
  <c r="AT38" i="8" s="1"/>
  <c r="AM38" i="8"/>
  <c r="AU38" i="8" s="1"/>
  <c r="O987" i="4"/>
  <c r="P987" i="4"/>
  <c r="Q987" i="4" s="1"/>
  <c r="D989" i="4"/>
  <c r="O934" i="4"/>
  <c r="P934" i="4"/>
  <c r="Q934" i="4" s="1"/>
  <c r="D936" i="4"/>
  <c r="P407" i="4"/>
  <c r="Q407" i="4" s="1"/>
  <c r="O407" i="4"/>
  <c r="D409" i="4"/>
  <c r="O200" i="4"/>
  <c r="P200" i="4"/>
  <c r="Q200" i="4" s="1"/>
  <c r="D202" i="4"/>
  <c r="D513" i="4"/>
  <c r="O511" i="4"/>
  <c r="V474" i="4" s="1"/>
  <c r="P511" i="4"/>
  <c r="Q511" i="4" s="1"/>
  <c r="W474" i="4" s="1"/>
  <c r="O144" i="4"/>
  <c r="V107" i="4" s="1"/>
  <c r="P144" i="4"/>
  <c r="Q144" i="4" s="1"/>
  <c r="W107" i="4" s="1"/>
  <c r="D146" i="4"/>
  <c r="O39" i="4"/>
  <c r="V2" i="4" s="1"/>
  <c r="D41" i="4"/>
  <c r="P39" i="4"/>
  <c r="Q39" i="4" s="1"/>
  <c r="W2" i="4" s="1"/>
  <c r="D778" i="4"/>
  <c r="P776" i="4"/>
  <c r="Q776" i="4" s="1"/>
  <c r="O776" i="4"/>
  <c r="V738" i="4" s="1"/>
  <c r="V632" i="4"/>
  <c r="W738" i="4"/>
  <c r="D1044" i="4"/>
  <c r="O1042" i="4"/>
  <c r="P1042" i="4"/>
  <c r="Q1042" i="4" s="1"/>
  <c r="W1004" i="4" s="1"/>
  <c r="V1004" i="4"/>
  <c r="D884" i="4"/>
  <c r="O882" i="4"/>
  <c r="V844" i="4" s="1"/>
  <c r="P882" i="4"/>
  <c r="Q882" i="4" s="1"/>
  <c r="O1097" i="4"/>
  <c r="P1097" i="4"/>
  <c r="Q1097" i="4" s="1"/>
  <c r="D1099" i="4"/>
  <c r="D95" i="4"/>
  <c r="O93" i="4"/>
  <c r="P93" i="4"/>
  <c r="Q93" i="4" s="1"/>
  <c r="D565" i="4"/>
  <c r="O563" i="4"/>
  <c r="P563" i="4"/>
  <c r="Q563" i="4" s="1"/>
  <c r="W526" i="4" s="1"/>
  <c r="P250" i="4"/>
  <c r="Q250" i="4" s="1"/>
  <c r="O250" i="4"/>
  <c r="D252" i="4"/>
  <c r="W844" i="4"/>
  <c r="O354" i="4"/>
  <c r="D356" i="4"/>
  <c r="P354" i="4"/>
  <c r="Q354" i="4" s="1"/>
  <c r="W317" i="4" s="1"/>
  <c r="O302" i="4"/>
  <c r="V265" i="4" s="1"/>
  <c r="P302" i="4"/>
  <c r="Q302" i="4" s="1"/>
  <c r="W265" i="4" s="1"/>
  <c r="D304" i="4"/>
  <c r="D618" i="4"/>
  <c r="O616" i="4"/>
  <c r="V579" i="4" s="1"/>
  <c r="P616" i="4"/>
  <c r="Q616" i="4" s="1"/>
  <c r="W579" i="4" s="1"/>
  <c r="D462" i="4"/>
  <c r="O460" i="4"/>
  <c r="P460" i="4"/>
  <c r="Q460" i="4" s="1"/>
  <c r="O670" i="4"/>
  <c r="P670" i="4"/>
  <c r="Q670" i="4" s="1"/>
  <c r="D672" i="4"/>
  <c r="O1150" i="4"/>
  <c r="P1150" i="4"/>
  <c r="Q1150" i="4" s="1"/>
  <c r="D1152" i="4"/>
  <c r="P832" i="4"/>
  <c r="Q832" i="4" s="1"/>
  <c r="O832" i="4"/>
  <c r="D834" i="4"/>
  <c r="O724" i="4"/>
  <c r="D726" i="4"/>
  <c r="P724" i="4"/>
  <c r="Q724" i="4" s="1"/>
  <c r="V369" i="4"/>
  <c r="G41" i="1"/>
  <c r="AM39" i="8" l="1"/>
  <c r="AU39" i="8" s="1"/>
  <c r="AL39" i="8"/>
  <c r="AT39" i="8" s="1"/>
  <c r="N40" i="8"/>
  <c r="L41" i="8"/>
  <c r="O40" i="8"/>
  <c r="M40" i="8"/>
  <c r="Y40" i="8" s="1"/>
  <c r="AA40" i="8" s="1"/>
  <c r="AC40" i="8" s="1"/>
  <c r="AD40" i="8" s="1"/>
  <c r="AI40" i="8" s="1"/>
  <c r="AQ40" i="8" s="1"/>
  <c r="AF39" i="8"/>
  <c r="AN39" i="8" s="1"/>
  <c r="AG39" i="8"/>
  <c r="AO39" i="8" s="1"/>
  <c r="AJ39" i="8"/>
  <c r="AR39" i="8" s="1"/>
  <c r="V39" i="8"/>
  <c r="O988" i="4"/>
  <c r="D990" i="4"/>
  <c r="P988" i="4"/>
  <c r="Q988" i="4" s="1"/>
  <c r="W950" i="4" s="1"/>
  <c r="V950" i="4"/>
  <c r="D410" i="4"/>
  <c r="O408" i="4"/>
  <c r="P408" i="4"/>
  <c r="Q408" i="4" s="1"/>
  <c r="O1151" i="4"/>
  <c r="P1151" i="4"/>
  <c r="Q1151" i="4" s="1"/>
  <c r="D1153" i="4"/>
  <c r="V526" i="4"/>
  <c r="O564" i="4"/>
  <c r="P564" i="4"/>
  <c r="Q564" i="4" s="1"/>
  <c r="D566" i="4"/>
  <c r="D1045" i="4"/>
  <c r="P1043" i="4"/>
  <c r="Q1043" i="4" s="1"/>
  <c r="O1043" i="4"/>
  <c r="O145" i="4"/>
  <c r="P145" i="4"/>
  <c r="Q145" i="4" s="1"/>
  <c r="D147" i="4"/>
  <c r="O833" i="4"/>
  <c r="D835" i="4"/>
  <c r="P833" i="4"/>
  <c r="Q833" i="4" s="1"/>
  <c r="O883" i="4"/>
  <c r="P883" i="4"/>
  <c r="Q883" i="4" s="1"/>
  <c r="D885" i="4"/>
  <c r="O303" i="4"/>
  <c r="P303" i="4"/>
  <c r="Q303" i="4" s="1"/>
  <c r="D305" i="4"/>
  <c r="O40" i="4"/>
  <c r="P40" i="4"/>
  <c r="Q40" i="4" s="1"/>
  <c r="D42" i="4"/>
  <c r="D673" i="4"/>
  <c r="O671" i="4"/>
  <c r="P671" i="4"/>
  <c r="Q671" i="4" s="1"/>
  <c r="O777" i="4"/>
  <c r="P777" i="4"/>
  <c r="Q777" i="4" s="1"/>
  <c r="D779" i="4"/>
  <c r="D203" i="4"/>
  <c r="O201" i="4"/>
  <c r="P201" i="4"/>
  <c r="Q201" i="4" s="1"/>
  <c r="O617" i="4"/>
  <c r="D619" i="4"/>
  <c r="P617" i="4"/>
  <c r="Q617" i="4" s="1"/>
  <c r="P935" i="4"/>
  <c r="Q935" i="4" s="1"/>
  <c r="W897" i="4" s="1"/>
  <c r="O935" i="4"/>
  <c r="V897" i="4" s="1"/>
  <c r="D937" i="4"/>
  <c r="O355" i="4"/>
  <c r="P355" i="4"/>
  <c r="Q355" i="4" s="1"/>
  <c r="D357" i="4"/>
  <c r="V317" i="4"/>
  <c r="D96" i="4"/>
  <c r="O94" i="4"/>
  <c r="P94" i="4"/>
  <c r="Q94" i="4" s="1"/>
  <c r="O1098" i="4"/>
  <c r="D1100" i="4"/>
  <c r="P1098" i="4"/>
  <c r="Q1098" i="4" s="1"/>
  <c r="O725" i="4"/>
  <c r="P725" i="4"/>
  <c r="Q725" i="4" s="1"/>
  <c r="D727" i="4"/>
  <c r="O461" i="4"/>
  <c r="D463" i="4"/>
  <c r="P461" i="4"/>
  <c r="Q461" i="4" s="1"/>
  <c r="D253" i="4"/>
  <c r="O251" i="4"/>
  <c r="P251" i="4"/>
  <c r="Q251" i="4" s="1"/>
  <c r="O512" i="4"/>
  <c r="P512" i="4"/>
  <c r="Q512" i="4" s="1"/>
  <c r="D514" i="4"/>
  <c r="G42" i="1"/>
  <c r="AJ40" i="8" l="1"/>
  <c r="AR40" i="8" s="1"/>
  <c r="AG40" i="8"/>
  <c r="AO40" i="8" s="1"/>
  <c r="V40" i="8"/>
  <c r="AF40" i="8"/>
  <c r="AN40" i="8" s="1"/>
  <c r="N41" i="8"/>
  <c r="L42" i="8"/>
  <c r="O41" i="8"/>
  <c r="M41" i="8"/>
  <c r="Y41" i="8" s="1"/>
  <c r="AA41" i="8" s="1"/>
  <c r="AC41" i="8" s="1"/>
  <c r="AD41" i="8" s="1"/>
  <c r="AI41" i="8" s="1"/>
  <c r="AQ41" i="8" s="1"/>
  <c r="AL40" i="8"/>
  <c r="AT40" i="8" s="1"/>
  <c r="AM40" i="8"/>
  <c r="AU40" i="8" s="1"/>
  <c r="O989" i="4"/>
  <c r="P989" i="4"/>
  <c r="Q989" i="4" s="1"/>
  <c r="D991" i="4"/>
  <c r="O95" i="4"/>
  <c r="D97" i="4"/>
  <c r="P95" i="4"/>
  <c r="Q95" i="4" s="1"/>
  <c r="D1154" i="4"/>
  <c r="P1152" i="4"/>
  <c r="Q1152" i="4" s="1"/>
  <c r="O1152" i="4"/>
  <c r="P884" i="4"/>
  <c r="Q884" i="4" s="1"/>
  <c r="O884" i="4"/>
  <c r="D886" i="4"/>
  <c r="O252" i="4"/>
  <c r="P252" i="4"/>
  <c r="Q252" i="4" s="1"/>
  <c r="D254" i="4"/>
  <c r="P202" i="4"/>
  <c r="Q202" i="4" s="1"/>
  <c r="D204" i="4"/>
  <c r="O202" i="4"/>
  <c r="O778" i="4"/>
  <c r="P778" i="4"/>
  <c r="Q778" i="4" s="1"/>
  <c r="D780" i="4"/>
  <c r="D148" i="4"/>
  <c r="O146" i="4"/>
  <c r="P146" i="4"/>
  <c r="Q146" i="4" s="1"/>
  <c r="D464" i="4"/>
  <c r="P462" i="4"/>
  <c r="Q462" i="4" s="1"/>
  <c r="O462" i="4"/>
  <c r="D358" i="4"/>
  <c r="P356" i="4"/>
  <c r="Q356" i="4" s="1"/>
  <c r="O356" i="4"/>
  <c r="O672" i="4"/>
  <c r="P672" i="4"/>
  <c r="Q672" i="4" s="1"/>
  <c r="D674" i="4"/>
  <c r="D728" i="4"/>
  <c r="O726" i="4"/>
  <c r="P726" i="4"/>
  <c r="Q726" i="4" s="1"/>
  <c r="D836" i="4"/>
  <c r="O834" i="4"/>
  <c r="P834" i="4"/>
  <c r="Q834" i="4" s="1"/>
  <c r="D411" i="4"/>
  <c r="O409" i="4"/>
  <c r="P409" i="4"/>
  <c r="Q409" i="4" s="1"/>
  <c r="O936" i="4"/>
  <c r="P936" i="4"/>
  <c r="Q936" i="4" s="1"/>
  <c r="D938" i="4"/>
  <c r="D567" i="4"/>
  <c r="P565" i="4"/>
  <c r="Q565" i="4" s="1"/>
  <c r="O565" i="4"/>
  <c r="D515" i="4"/>
  <c r="O513" i="4"/>
  <c r="P513" i="4"/>
  <c r="Q513" i="4" s="1"/>
  <c r="O1099" i="4"/>
  <c r="D1101" i="4"/>
  <c r="P1099" i="4"/>
  <c r="Q1099" i="4" s="1"/>
  <c r="D620" i="4"/>
  <c r="O618" i="4"/>
  <c r="P618" i="4"/>
  <c r="Q618" i="4" s="1"/>
  <c r="P41" i="4"/>
  <c r="Q41" i="4" s="1"/>
  <c r="D43" i="4"/>
  <c r="O41" i="4"/>
  <c r="D306" i="4"/>
  <c r="O304" i="4"/>
  <c r="P304" i="4"/>
  <c r="Q304" i="4" s="1"/>
  <c r="D1046" i="4"/>
  <c r="O1044" i="4"/>
  <c r="P1044" i="4"/>
  <c r="Q1044" i="4" s="1"/>
  <c r="G43" i="1"/>
  <c r="AG41" i="8" l="1"/>
  <c r="AO41" i="8" s="1"/>
  <c r="AJ41" i="8"/>
  <c r="AR41" i="8" s="1"/>
  <c r="V41" i="8"/>
  <c r="AF41" i="8"/>
  <c r="AN41" i="8" s="1"/>
  <c r="M42" i="8"/>
  <c r="Y42" i="8" s="1"/>
  <c r="AA42" i="8" s="1"/>
  <c r="N42" i="8"/>
  <c r="L43" i="8"/>
  <c r="AC42" i="8"/>
  <c r="AD42" i="8" s="1"/>
  <c r="AI42" i="8" s="1"/>
  <c r="AQ42" i="8" s="1"/>
  <c r="O42" i="8"/>
  <c r="AL41" i="8"/>
  <c r="AT41" i="8" s="1"/>
  <c r="AM41" i="8"/>
  <c r="AU41" i="8" s="1"/>
  <c r="D992" i="4"/>
  <c r="O990" i="4"/>
  <c r="P990" i="4"/>
  <c r="Q990" i="4" s="1"/>
  <c r="D621" i="4"/>
  <c r="P619" i="4"/>
  <c r="Q619" i="4" s="1"/>
  <c r="O619" i="4"/>
  <c r="O1045" i="4"/>
  <c r="P1045" i="4"/>
  <c r="Q1045" i="4" s="1"/>
  <c r="D1047" i="4"/>
  <c r="D255" i="4"/>
  <c r="O253" i="4"/>
  <c r="P253" i="4"/>
  <c r="Q253" i="4" s="1"/>
  <c r="D98" i="4"/>
  <c r="P96" i="4"/>
  <c r="Q96" i="4" s="1"/>
  <c r="O96" i="4"/>
  <c r="P410" i="4"/>
  <c r="Q410" i="4" s="1"/>
  <c r="O410" i="4"/>
  <c r="D412" i="4"/>
  <c r="P357" i="4"/>
  <c r="Q357" i="4" s="1"/>
  <c r="D359" i="4"/>
  <c r="O357" i="4"/>
  <c r="D1102" i="4"/>
  <c r="O1100" i="4"/>
  <c r="P1100" i="4"/>
  <c r="Q1100" i="4" s="1"/>
  <c r="O203" i="4"/>
  <c r="D205" i="4"/>
  <c r="P203" i="4"/>
  <c r="Q203" i="4" s="1"/>
  <c r="O1153" i="4"/>
  <c r="D1155" i="4"/>
  <c r="P1153" i="4"/>
  <c r="Q1153" i="4" s="1"/>
  <c r="P305" i="4"/>
  <c r="Q305" i="4" s="1"/>
  <c r="O305" i="4"/>
  <c r="D307" i="4"/>
  <c r="D44" i="4"/>
  <c r="P42" i="4"/>
  <c r="Q42" i="4" s="1"/>
  <c r="O42" i="4"/>
  <c r="D516" i="4"/>
  <c r="P514" i="4"/>
  <c r="Q514" i="4" s="1"/>
  <c r="O514" i="4"/>
  <c r="O673" i="4"/>
  <c r="P673" i="4"/>
  <c r="Q673" i="4" s="1"/>
  <c r="D675" i="4"/>
  <c r="D887" i="4"/>
  <c r="O885" i="4"/>
  <c r="P885" i="4"/>
  <c r="Q885" i="4" s="1"/>
  <c r="O835" i="4"/>
  <c r="P835" i="4"/>
  <c r="Q835" i="4" s="1"/>
  <c r="D837" i="4"/>
  <c r="P147" i="4"/>
  <c r="Q147" i="4" s="1"/>
  <c r="O147" i="4"/>
  <c r="D149" i="4"/>
  <c r="O566" i="4"/>
  <c r="P566" i="4"/>
  <c r="Q566" i="4" s="1"/>
  <c r="D568" i="4"/>
  <c r="D939" i="4"/>
  <c r="O937" i="4"/>
  <c r="P937" i="4"/>
  <c r="Q937" i="4" s="1"/>
  <c r="D465" i="4"/>
  <c r="O463" i="4"/>
  <c r="P463" i="4"/>
  <c r="Q463" i="4" s="1"/>
  <c r="O727" i="4"/>
  <c r="P727" i="4"/>
  <c r="Q727" i="4" s="1"/>
  <c r="D729" i="4"/>
  <c r="D781" i="4"/>
  <c r="P779" i="4"/>
  <c r="Q779" i="4" s="1"/>
  <c r="O779" i="4"/>
  <c r="G44" i="1"/>
  <c r="AJ42" i="8" l="1"/>
  <c r="AR42" i="8" s="1"/>
  <c r="V42" i="8"/>
  <c r="AF42" i="8"/>
  <c r="AN42" i="8" s="1"/>
  <c r="AG42" i="8"/>
  <c r="AO42" i="8" s="1"/>
  <c r="AL42" i="8"/>
  <c r="AT42" i="8" s="1"/>
  <c r="AM42" i="8"/>
  <c r="AU42" i="8" s="1"/>
  <c r="O43" i="8"/>
  <c r="M43" i="8"/>
  <c r="Y43" i="8" s="1"/>
  <c r="AA43" i="8" s="1"/>
  <c r="AC43" i="8" s="1"/>
  <c r="AD43" i="8" s="1"/>
  <c r="AI43" i="8" s="1"/>
  <c r="AQ43" i="8" s="1"/>
  <c r="L44" i="8"/>
  <c r="N43" i="8"/>
  <c r="O991" i="4"/>
  <c r="P991" i="4"/>
  <c r="Q991" i="4" s="1"/>
  <c r="D993" i="4"/>
  <c r="P306" i="4"/>
  <c r="Q306" i="4" s="1"/>
  <c r="D308" i="4"/>
  <c r="O306" i="4"/>
  <c r="P938" i="4"/>
  <c r="Q938" i="4" s="1"/>
  <c r="D940" i="4"/>
  <c r="O938" i="4"/>
  <c r="D782" i="4"/>
  <c r="O780" i="4"/>
  <c r="P780" i="4"/>
  <c r="Q780" i="4" s="1"/>
  <c r="O728" i="4"/>
  <c r="P728" i="4"/>
  <c r="Q728" i="4" s="1"/>
  <c r="D730" i="4"/>
  <c r="D206" i="4"/>
  <c r="P204" i="4"/>
  <c r="Q204" i="4" s="1"/>
  <c r="O204" i="4"/>
  <c r="P358" i="4"/>
  <c r="Q358" i="4" s="1"/>
  <c r="O358" i="4"/>
  <c r="D360" i="4"/>
  <c r="D569" i="4"/>
  <c r="O567" i="4"/>
  <c r="P567" i="4"/>
  <c r="Q567" i="4" s="1"/>
  <c r="O97" i="4"/>
  <c r="P97" i="4"/>
  <c r="Q97" i="4" s="1"/>
  <c r="D99" i="4"/>
  <c r="O836" i="4"/>
  <c r="P836" i="4"/>
  <c r="Q836" i="4" s="1"/>
  <c r="D838" i="4"/>
  <c r="D256" i="4"/>
  <c r="O254" i="4"/>
  <c r="P254" i="4"/>
  <c r="Q254" i="4" s="1"/>
  <c r="O886" i="4"/>
  <c r="P886" i="4"/>
  <c r="Q886" i="4" s="1"/>
  <c r="D888" i="4"/>
  <c r="P411" i="4"/>
  <c r="Q411" i="4" s="1"/>
  <c r="O411" i="4"/>
  <c r="D413" i="4"/>
  <c r="O620" i="4"/>
  <c r="P620" i="4"/>
  <c r="Q620" i="4" s="1"/>
  <c r="D622" i="4"/>
  <c r="P464" i="4"/>
  <c r="Q464" i="4" s="1"/>
  <c r="O464" i="4"/>
  <c r="D466" i="4"/>
  <c r="P1101" i="4"/>
  <c r="Q1101" i="4" s="1"/>
  <c r="D1103" i="4"/>
  <c r="O1101" i="4"/>
  <c r="D1048" i="4"/>
  <c r="O1046" i="4"/>
  <c r="P1046" i="4"/>
  <c r="Q1046" i="4" s="1"/>
  <c r="P674" i="4"/>
  <c r="Q674" i="4" s="1"/>
  <c r="D676" i="4"/>
  <c r="O674" i="4"/>
  <c r="O1154" i="4"/>
  <c r="P1154" i="4"/>
  <c r="Q1154" i="4" s="1"/>
  <c r="D1156" i="4"/>
  <c r="P148" i="4"/>
  <c r="Q148" i="4" s="1"/>
  <c r="D150" i="4"/>
  <c r="O148" i="4"/>
  <c r="P515" i="4"/>
  <c r="Q515" i="4" s="1"/>
  <c r="O515" i="4"/>
  <c r="D517" i="4"/>
  <c r="D45" i="4"/>
  <c r="O43" i="4"/>
  <c r="P43" i="4"/>
  <c r="Q43" i="4" s="1"/>
  <c r="G45" i="1"/>
  <c r="AM43" i="8" l="1"/>
  <c r="AU43" i="8" s="1"/>
  <c r="AL43" i="8"/>
  <c r="AT43" i="8" s="1"/>
  <c r="N44" i="8"/>
  <c r="L45" i="8"/>
  <c r="O44" i="8"/>
  <c r="M44" i="8"/>
  <c r="Y44" i="8" s="1"/>
  <c r="AA44" i="8" s="1"/>
  <c r="AC44" i="8" s="1"/>
  <c r="AD44" i="8" s="1"/>
  <c r="AI44" i="8" s="1"/>
  <c r="AQ44" i="8" s="1"/>
  <c r="AJ43" i="8"/>
  <c r="AR43" i="8" s="1"/>
  <c r="V43" i="8"/>
  <c r="AF43" i="8"/>
  <c r="AN43" i="8" s="1"/>
  <c r="AG43" i="8"/>
  <c r="AO43" i="8" s="1"/>
  <c r="D994" i="4"/>
  <c r="P992" i="4"/>
  <c r="Q992" i="4" s="1"/>
  <c r="O992" i="4"/>
  <c r="O44" i="4"/>
  <c r="D46" i="4"/>
  <c r="P44" i="4"/>
  <c r="Q44" i="4" s="1"/>
  <c r="P412" i="4"/>
  <c r="Q412" i="4" s="1"/>
  <c r="O412" i="4"/>
  <c r="D414" i="4"/>
  <c r="D207" i="4"/>
  <c r="O205" i="4"/>
  <c r="P205" i="4"/>
  <c r="Q205" i="4" s="1"/>
  <c r="P149" i="4"/>
  <c r="Q149" i="4" s="1"/>
  <c r="D151" i="4"/>
  <c r="O149" i="4"/>
  <c r="P568" i="4"/>
  <c r="Q568" i="4" s="1"/>
  <c r="O568" i="4"/>
  <c r="D570" i="4"/>
  <c r="D100" i="4"/>
  <c r="P98" i="4"/>
  <c r="Q98" i="4" s="1"/>
  <c r="O98" i="4"/>
  <c r="O887" i="4"/>
  <c r="P887" i="4"/>
  <c r="Q887" i="4" s="1"/>
  <c r="D889" i="4"/>
  <c r="P1155" i="4"/>
  <c r="Q1155" i="4" s="1"/>
  <c r="D1157" i="4"/>
  <c r="O1155" i="4"/>
  <c r="D257" i="4"/>
  <c r="P255" i="4"/>
  <c r="Q255" i="4" s="1"/>
  <c r="O255" i="4"/>
  <c r="O621" i="4"/>
  <c r="D623" i="4"/>
  <c r="P621" i="4"/>
  <c r="Q621" i="4" s="1"/>
  <c r="O939" i="4"/>
  <c r="P939" i="4"/>
  <c r="Q939" i="4" s="1"/>
  <c r="D941" i="4"/>
  <c r="D731" i="4"/>
  <c r="P729" i="4"/>
  <c r="Q729" i="4" s="1"/>
  <c r="O729" i="4"/>
  <c r="D1104" i="4"/>
  <c r="P1102" i="4"/>
  <c r="Q1102" i="4" s="1"/>
  <c r="O1102" i="4"/>
  <c r="P465" i="4"/>
  <c r="Q465" i="4" s="1"/>
  <c r="O465" i="4"/>
  <c r="D467" i="4"/>
  <c r="O359" i="4"/>
  <c r="P359" i="4"/>
  <c r="Q359" i="4" s="1"/>
  <c r="D361" i="4"/>
  <c r="O781" i="4"/>
  <c r="D783" i="4"/>
  <c r="P781" i="4"/>
  <c r="Q781" i="4" s="1"/>
  <c r="D309" i="4"/>
  <c r="P307" i="4"/>
  <c r="Q307" i="4" s="1"/>
  <c r="O307" i="4"/>
  <c r="O516" i="4"/>
  <c r="P516" i="4"/>
  <c r="Q516" i="4" s="1"/>
  <c r="D518" i="4"/>
  <c r="P1047" i="4"/>
  <c r="Q1047" i="4" s="1"/>
  <c r="O1047" i="4"/>
  <c r="D1049" i="4"/>
  <c r="O837" i="4"/>
  <c r="P837" i="4"/>
  <c r="Q837" i="4" s="1"/>
  <c r="D839" i="4"/>
  <c r="P675" i="4"/>
  <c r="Q675" i="4" s="1"/>
  <c r="O675" i="4"/>
  <c r="D677" i="4"/>
  <c r="G46" i="1"/>
  <c r="AG44" i="8" l="1"/>
  <c r="AO44" i="8" s="1"/>
  <c r="V44" i="8"/>
  <c r="AF44" i="8"/>
  <c r="AN44" i="8" s="1"/>
  <c r="AJ44" i="8"/>
  <c r="AR44" i="8" s="1"/>
  <c r="L46" i="8"/>
  <c r="M45" i="8"/>
  <c r="Y45" i="8" s="1"/>
  <c r="AA45" i="8" s="1"/>
  <c r="AC45" i="8" s="1"/>
  <c r="AD45" i="8" s="1"/>
  <c r="AI45" i="8" s="1"/>
  <c r="AQ45" i="8" s="1"/>
  <c r="N45" i="8"/>
  <c r="O45" i="8"/>
  <c r="AM44" i="8"/>
  <c r="AU44" i="8" s="1"/>
  <c r="AL44" i="8"/>
  <c r="AT44" i="8" s="1"/>
  <c r="P993" i="4"/>
  <c r="Q993" i="4" s="1"/>
  <c r="D995" i="4"/>
  <c r="O993" i="4"/>
  <c r="O1103" i="4"/>
  <c r="P1103" i="4"/>
  <c r="Q1103" i="4" s="1"/>
  <c r="D1105" i="4"/>
  <c r="O1156" i="4"/>
  <c r="P1156" i="4"/>
  <c r="Q1156" i="4" s="1"/>
  <c r="D1158" i="4"/>
  <c r="O466" i="4"/>
  <c r="D468" i="4"/>
  <c r="P466" i="4"/>
  <c r="Q466" i="4" s="1"/>
  <c r="D101" i="4"/>
  <c r="O99" i="4"/>
  <c r="P99" i="4"/>
  <c r="Q99" i="4" s="1"/>
  <c r="D519" i="4"/>
  <c r="O517" i="4"/>
  <c r="P517" i="4"/>
  <c r="Q517" i="4" s="1"/>
  <c r="D624" i="4"/>
  <c r="O622" i="4"/>
  <c r="P622" i="4"/>
  <c r="Q622" i="4" s="1"/>
  <c r="O569" i="4"/>
  <c r="P569" i="4"/>
  <c r="Q569" i="4" s="1"/>
  <c r="D571" i="4"/>
  <c r="D47" i="4"/>
  <c r="O45" i="4"/>
  <c r="P45" i="4"/>
  <c r="Q45" i="4" s="1"/>
  <c r="D784" i="4"/>
  <c r="O782" i="4"/>
  <c r="P782" i="4"/>
  <c r="Q782" i="4" s="1"/>
  <c r="D1050" i="4"/>
  <c r="O1048" i="4"/>
  <c r="P1048" i="4"/>
  <c r="Q1048" i="4" s="1"/>
  <c r="O676" i="4"/>
  <c r="P676" i="4"/>
  <c r="Q676" i="4" s="1"/>
  <c r="D678" i="4"/>
  <c r="P256" i="4"/>
  <c r="Q256" i="4" s="1"/>
  <c r="O256" i="4"/>
  <c r="D258" i="4"/>
  <c r="D152" i="4"/>
  <c r="O150" i="4"/>
  <c r="P150" i="4"/>
  <c r="Q150" i="4" s="1"/>
  <c r="P308" i="4"/>
  <c r="Q308" i="4" s="1"/>
  <c r="O308" i="4"/>
  <c r="D310" i="4"/>
  <c r="D840" i="4"/>
  <c r="O838" i="4"/>
  <c r="P838" i="4"/>
  <c r="Q838" i="4" s="1"/>
  <c r="P888" i="4"/>
  <c r="Q888" i="4" s="1"/>
  <c r="O888" i="4"/>
  <c r="D890" i="4"/>
  <c r="O206" i="4"/>
  <c r="D208" i="4"/>
  <c r="P206" i="4"/>
  <c r="Q206" i="4" s="1"/>
  <c r="D362" i="4"/>
  <c r="P360" i="4"/>
  <c r="Q360" i="4" s="1"/>
  <c r="O360" i="4"/>
  <c r="O730" i="4"/>
  <c r="P730" i="4"/>
  <c r="Q730" i="4" s="1"/>
  <c r="D732" i="4"/>
  <c r="D942" i="4"/>
  <c r="O940" i="4"/>
  <c r="P940" i="4"/>
  <c r="Q940" i="4" s="1"/>
  <c r="P413" i="4"/>
  <c r="Q413" i="4" s="1"/>
  <c r="O413" i="4"/>
  <c r="D415" i="4"/>
  <c r="G47" i="1"/>
  <c r="V45" i="8" l="1"/>
  <c r="AG45" i="8"/>
  <c r="AO45" i="8" s="1"/>
  <c r="AJ45" i="8"/>
  <c r="AR45" i="8" s="1"/>
  <c r="AF45" i="8"/>
  <c r="AN45" i="8" s="1"/>
  <c r="AM45" i="8"/>
  <c r="AU45" i="8" s="1"/>
  <c r="AL45" i="8"/>
  <c r="AT45" i="8" s="1"/>
  <c r="L47" i="8"/>
  <c r="M46" i="8"/>
  <c r="Y46" i="8" s="1"/>
  <c r="AA46" i="8" s="1"/>
  <c r="AC46" i="8" s="1"/>
  <c r="AD46" i="8" s="1"/>
  <c r="AI46" i="8" s="1"/>
  <c r="AQ46" i="8" s="1"/>
  <c r="O46" i="8"/>
  <c r="N46" i="8"/>
  <c r="O994" i="4"/>
  <c r="D996" i="4"/>
  <c r="P994" i="4"/>
  <c r="Q994" i="4" s="1"/>
  <c r="O731" i="4"/>
  <c r="P731" i="4"/>
  <c r="Q731" i="4" s="1"/>
  <c r="D733" i="4"/>
  <c r="O840" i="4"/>
  <c r="O839" i="4"/>
  <c r="U791" i="4" s="1" a="1"/>
  <c r="U791" i="4" s="1"/>
  <c r="P839" i="4"/>
  <c r="Q839" i="4" s="1"/>
  <c r="P207" i="4"/>
  <c r="Q207" i="4" s="1"/>
  <c r="O208" i="4"/>
  <c r="O207" i="4"/>
  <c r="U159" i="4" s="1" a="1"/>
  <c r="U159" i="4" s="1"/>
  <c r="D153" i="4"/>
  <c r="P151" i="4"/>
  <c r="Q151" i="4" s="1"/>
  <c r="O151" i="4"/>
  <c r="P783" i="4"/>
  <c r="Q783" i="4" s="1"/>
  <c r="O783" i="4"/>
  <c r="D785" i="4"/>
  <c r="D891" i="4"/>
  <c r="O889" i="4"/>
  <c r="P889" i="4"/>
  <c r="Q889" i="4" s="1"/>
  <c r="O257" i="4"/>
  <c r="P257" i="4"/>
  <c r="Q257" i="4" s="1"/>
  <c r="D259" i="4"/>
  <c r="O623" i="4"/>
  <c r="D625" i="4"/>
  <c r="P623" i="4"/>
  <c r="Q623" i="4" s="1"/>
  <c r="D1106" i="4"/>
  <c r="O1104" i="4"/>
  <c r="P1104" i="4"/>
  <c r="Q1104" i="4" s="1"/>
  <c r="P414" i="4"/>
  <c r="Q414" i="4" s="1"/>
  <c r="O414" i="4"/>
  <c r="D416" i="4"/>
  <c r="O1157" i="4"/>
  <c r="D1159" i="4"/>
  <c r="P1157" i="4"/>
  <c r="Q1157" i="4" s="1"/>
  <c r="O941" i="4"/>
  <c r="P941" i="4"/>
  <c r="Q941" i="4" s="1"/>
  <c r="D943" i="4"/>
  <c r="O677" i="4"/>
  <c r="P677" i="4"/>
  <c r="Q677" i="4" s="1"/>
  <c r="D679" i="4"/>
  <c r="O518" i="4"/>
  <c r="P518" i="4"/>
  <c r="Q518" i="4" s="1"/>
  <c r="D520" i="4"/>
  <c r="O46" i="4"/>
  <c r="D48" i="4"/>
  <c r="P46" i="4"/>
  <c r="Q46" i="4" s="1"/>
  <c r="P467" i="4"/>
  <c r="Q467" i="4" s="1"/>
  <c r="D469" i="4"/>
  <c r="O467" i="4"/>
  <c r="O100" i="4"/>
  <c r="D102" i="4"/>
  <c r="P100" i="4"/>
  <c r="Q100" i="4" s="1"/>
  <c r="O309" i="4"/>
  <c r="P309" i="4"/>
  <c r="Q309" i="4" s="1"/>
  <c r="D311" i="4"/>
  <c r="O361" i="4"/>
  <c r="D363" i="4"/>
  <c r="P361" i="4"/>
  <c r="Q361" i="4" s="1"/>
  <c r="D1051" i="4"/>
  <c r="O1049" i="4"/>
  <c r="P1049" i="4"/>
  <c r="Q1049" i="4" s="1"/>
  <c r="P570" i="4"/>
  <c r="Q570" i="4" s="1"/>
  <c r="D572" i="4"/>
  <c r="O570" i="4"/>
  <c r="G48" i="1"/>
  <c r="AM46" i="8" l="1"/>
  <c r="AU46" i="8" s="1"/>
  <c r="AL46" i="8"/>
  <c r="AT46" i="8" s="1"/>
  <c r="AF46" i="8"/>
  <c r="AN46" i="8" s="1"/>
  <c r="AJ46" i="8"/>
  <c r="AR46" i="8" s="1"/>
  <c r="AG46" i="8"/>
  <c r="AO46" i="8" s="1"/>
  <c r="V46" i="8"/>
  <c r="N47" i="8"/>
  <c r="O47" i="8"/>
  <c r="M47" i="8"/>
  <c r="Y47" i="8" s="1"/>
  <c r="AA47" i="8" s="1"/>
  <c r="AC47" i="8" s="1"/>
  <c r="AD47" i="8" s="1"/>
  <c r="AI47" i="8" s="1"/>
  <c r="AQ47" i="8" s="1"/>
  <c r="L48" i="8"/>
  <c r="O995" i="4"/>
  <c r="P995" i="4"/>
  <c r="Q995" i="4" s="1"/>
  <c r="D997" i="4"/>
  <c r="X159" i="4"/>
  <c r="X791" i="4"/>
  <c r="O415" i="4"/>
  <c r="P415" i="4"/>
  <c r="Q415" i="4" s="1"/>
  <c r="D417" i="4"/>
  <c r="P732" i="4"/>
  <c r="Q732" i="4" s="1"/>
  <c r="O732" i="4"/>
  <c r="D734" i="4"/>
  <c r="O890" i="4"/>
  <c r="P890" i="4"/>
  <c r="Q890" i="4" s="1"/>
  <c r="D892" i="4"/>
  <c r="O784" i="4"/>
  <c r="P784" i="4"/>
  <c r="Q784" i="4" s="1"/>
  <c r="D786" i="4"/>
  <c r="O468" i="4"/>
  <c r="P468" i="4"/>
  <c r="Q468" i="4" s="1"/>
  <c r="D470" i="4"/>
  <c r="O1106" i="4"/>
  <c r="O1105" i="4"/>
  <c r="U1057" i="4" s="1" a="1"/>
  <c r="U1057" i="4" s="1"/>
  <c r="P1105" i="4"/>
  <c r="Q1105" i="4" s="1"/>
  <c r="O1050" i="4"/>
  <c r="P1050" i="4"/>
  <c r="Q1050" i="4" s="1"/>
  <c r="D1052" i="4"/>
  <c r="D944" i="4"/>
  <c r="O942" i="4"/>
  <c r="P942" i="4"/>
  <c r="Q942" i="4" s="1"/>
  <c r="D49" i="4"/>
  <c r="O47" i="4"/>
  <c r="P47" i="4"/>
  <c r="Q47" i="4" s="1"/>
  <c r="D312" i="4"/>
  <c r="P310" i="4"/>
  <c r="Q310" i="4" s="1"/>
  <c r="O310" i="4"/>
  <c r="D521" i="4"/>
  <c r="O519" i="4"/>
  <c r="P519" i="4"/>
  <c r="Q519" i="4" s="1"/>
  <c r="P1158" i="4"/>
  <c r="Q1158" i="4" s="1"/>
  <c r="D1160" i="4"/>
  <c r="O1158" i="4"/>
  <c r="D103" i="4"/>
  <c r="O101" i="4"/>
  <c r="P101" i="4"/>
  <c r="Q101" i="4" s="1"/>
  <c r="D573" i="4"/>
  <c r="O571" i="4"/>
  <c r="P571" i="4"/>
  <c r="Q571" i="4" s="1"/>
  <c r="O678" i="4"/>
  <c r="P678" i="4"/>
  <c r="Q678" i="4" s="1"/>
  <c r="D680" i="4"/>
  <c r="O152" i="4"/>
  <c r="D154" i="4"/>
  <c r="P152" i="4"/>
  <c r="Q152" i="4" s="1"/>
  <c r="P624" i="4"/>
  <c r="Q624" i="4" s="1"/>
  <c r="D626" i="4"/>
  <c r="O624" i="4"/>
  <c r="O362" i="4"/>
  <c r="P362" i="4"/>
  <c r="Q362" i="4" s="1"/>
  <c r="D364" i="4"/>
  <c r="O258" i="4"/>
  <c r="D260" i="4"/>
  <c r="P258" i="4"/>
  <c r="Q258" i="4" s="1"/>
  <c r="G49" i="1"/>
  <c r="L49" i="8" l="1"/>
  <c r="M48" i="8"/>
  <c r="Y48" i="8" s="1"/>
  <c r="AA48" i="8" s="1"/>
  <c r="AC48" i="8"/>
  <c r="AD48" i="8" s="1"/>
  <c r="AI48" i="8" s="1"/>
  <c r="AQ48" i="8" s="1"/>
  <c r="N48" i="8"/>
  <c r="O48" i="8"/>
  <c r="AG47" i="8"/>
  <c r="AO47" i="8" s="1"/>
  <c r="AJ47" i="8"/>
  <c r="AR47" i="8" s="1"/>
  <c r="V47" i="8"/>
  <c r="AF47" i="8"/>
  <c r="AN47" i="8" s="1"/>
  <c r="AL47" i="8"/>
  <c r="AT47" i="8" s="1"/>
  <c r="AM47" i="8"/>
  <c r="AU47" i="8" s="1"/>
  <c r="D998" i="4"/>
  <c r="O996" i="4"/>
  <c r="P996" i="4"/>
  <c r="Q996" i="4" s="1"/>
  <c r="U685" i="4" a="1"/>
  <c r="U685" i="4" s="1"/>
  <c r="D155" i="4"/>
  <c r="O153" i="4"/>
  <c r="P153" i="4"/>
  <c r="Q153" i="4" s="1"/>
  <c r="O1160" i="4"/>
  <c r="O1159" i="4"/>
  <c r="U1111" i="4" s="1" a="1"/>
  <c r="U1111" i="4" s="1"/>
  <c r="P1159" i="4"/>
  <c r="Q1159" i="4" s="1"/>
  <c r="P943" i="4"/>
  <c r="Q943" i="4" s="1"/>
  <c r="O943" i="4"/>
  <c r="D945" i="4"/>
  <c r="D787" i="4"/>
  <c r="O785" i="4"/>
  <c r="P785" i="4"/>
  <c r="Q785" i="4" s="1"/>
  <c r="D681" i="4"/>
  <c r="O679" i="4"/>
  <c r="P679" i="4"/>
  <c r="Q679" i="4" s="1"/>
  <c r="D1053" i="4"/>
  <c r="O1051" i="4"/>
  <c r="P1051" i="4"/>
  <c r="Q1051" i="4" s="1"/>
  <c r="Y791" i="4"/>
  <c r="AA791" i="4"/>
  <c r="P259" i="4"/>
  <c r="Q259" i="4" s="1"/>
  <c r="D261" i="4"/>
  <c r="O259" i="4"/>
  <c r="P891" i="4"/>
  <c r="Q891" i="4" s="1"/>
  <c r="D893" i="4"/>
  <c r="O891" i="4"/>
  <c r="O520" i="4"/>
  <c r="P520" i="4"/>
  <c r="Q520" i="4" s="1"/>
  <c r="D522" i="4"/>
  <c r="O363" i="4"/>
  <c r="P363" i="4"/>
  <c r="Q363" i="4" s="1"/>
  <c r="D365" i="4"/>
  <c r="X1057" i="4"/>
  <c r="Y159" i="4"/>
  <c r="AA159" i="4"/>
  <c r="O572" i="4"/>
  <c r="P572" i="4"/>
  <c r="Q572" i="4" s="1"/>
  <c r="D574" i="4"/>
  <c r="D313" i="4"/>
  <c r="O311" i="4"/>
  <c r="P311" i="4"/>
  <c r="Q311" i="4" s="1"/>
  <c r="O469" i="4"/>
  <c r="U421" i="4" s="1" a="1"/>
  <c r="U421" i="4" s="1"/>
  <c r="P469" i="4"/>
  <c r="Q469" i="4" s="1"/>
  <c r="O470" i="4"/>
  <c r="O734" i="4"/>
  <c r="O733" i="4"/>
  <c r="P733" i="4"/>
  <c r="Q733" i="4" s="1"/>
  <c r="P625" i="4"/>
  <c r="Q625" i="4" s="1"/>
  <c r="D627" i="4"/>
  <c r="O625" i="4"/>
  <c r="P102" i="4"/>
  <c r="Q102" i="4" s="1"/>
  <c r="O102" i="4"/>
  <c r="D104" i="4"/>
  <c r="D50" i="4"/>
  <c r="O48" i="4"/>
  <c r="P48" i="4"/>
  <c r="Q48" i="4" s="1"/>
  <c r="D418" i="4"/>
  <c r="P416" i="4"/>
  <c r="Q416" i="4" s="1"/>
  <c r="O416" i="4"/>
  <c r="G50" i="1"/>
  <c r="M49" i="8" l="1"/>
  <c r="Y49" i="8" s="1"/>
  <c r="AA49" i="8" s="1"/>
  <c r="AC49" i="8" s="1"/>
  <c r="AD49" i="8" s="1"/>
  <c r="AI49" i="8" s="1"/>
  <c r="AQ49" i="8" s="1"/>
  <c r="N49" i="8"/>
  <c r="O49" i="8"/>
  <c r="L50" i="8"/>
  <c r="AG48" i="8"/>
  <c r="AO48" i="8" s="1"/>
  <c r="AJ48" i="8"/>
  <c r="AR48" i="8" s="1"/>
  <c r="V48" i="8"/>
  <c r="AF48" i="8"/>
  <c r="AN48" i="8" s="1"/>
  <c r="AL48" i="8"/>
  <c r="AT48" i="8" s="1"/>
  <c r="AM48" i="8"/>
  <c r="AU48" i="8" s="1"/>
  <c r="D999" i="4"/>
  <c r="O997" i="4"/>
  <c r="P997" i="4"/>
  <c r="Q997" i="4" s="1"/>
  <c r="U632" i="4" a="1"/>
  <c r="U632" i="4" s="1"/>
  <c r="U738" i="4" a="1"/>
  <c r="U738" i="4" s="1"/>
  <c r="X421" i="4"/>
  <c r="P521" i="4"/>
  <c r="Q521" i="4" s="1"/>
  <c r="D523" i="4"/>
  <c r="O521" i="4"/>
  <c r="O1052" i="4"/>
  <c r="P1052" i="4"/>
  <c r="Q1052" i="4" s="1"/>
  <c r="O1053" i="4"/>
  <c r="D51" i="4"/>
  <c r="O49" i="4"/>
  <c r="P49" i="4"/>
  <c r="Q49" i="4" s="1"/>
  <c r="P103" i="4"/>
  <c r="Q103" i="4" s="1"/>
  <c r="O103" i="4"/>
  <c r="U55" i="4" s="1" a="1"/>
  <c r="U55" i="4" s="1"/>
  <c r="O104" i="4"/>
  <c r="O312" i="4"/>
  <c r="D314" i="4"/>
  <c r="P312" i="4"/>
  <c r="Q312" i="4" s="1"/>
  <c r="O681" i="4"/>
  <c r="O680" i="4"/>
  <c r="P680" i="4"/>
  <c r="Q680" i="4" s="1"/>
  <c r="P573" i="4"/>
  <c r="Q573" i="4" s="1"/>
  <c r="O573" i="4"/>
  <c r="D575" i="4"/>
  <c r="O893" i="4"/>
  <c r="P892" i="4"/>
  <c r="Q892" i="4" s="1"/>
  <c r="O892" i="4"/>
  <c r="U844" i="4" s="1" a="1"/>
  <c r="U844" i="4" s="1"/>
  <c r="O154" i="4"/>
  <c r="P154" i="4"/>
  <c r="Q154" i="4" s="1"/>
  <c r="D156" i="4"/>
  <c r="O786" i="4"/>
  <c r="O787" i="4"/>
  <c r="P786" i="4"/>
  <c r="Q786" i="4" s="1"/>
  <c r="P626" i="4"/>
  <c r="Q626" i="4" s="1"/>
  <c r="O626" i="4"/>
  <c r="D628" i="4"/>
  <c r="AB159" i="4"/>
  <c r="O944" i="4"/>
  <c r="D946" i="4"/>
  <c r="P944" i="4"/>
  <c r="Q944" i="4" s="1"/>
  <c r="AK159" i="4"/>
  <c r="Z159" i="4"/>
  <c r="BE159" i="4" s="1"/>
  <c r="O260" i="4"/>
  <c r="U212" i="4" s="1" a="1"/>
  <c r="U212" i="4" s="1"/>
  <c r="P260" i="4"/>
  <c r="Q260" i="4" s="1"/>
  <c r="O261" i="4"/>
  <c r="X685" i="4"/>
  <c r="Y1057" i="4"/>
  <c r="AA1057" i="4"/>
  <c r="AB791" i="4"/>
  <c r="O364" i="4"/>
  <c r="P364" i="4"/>
  <c r="Q364" i="4" s="1"/>
  <c r="D366" i="4"/>
  <c r="Z791" i="4"/>
  <c r="BE791" i="4" s="1"/>
  <c r="AK791" i="4"/>
  <c r="X1111" i="4"/>
  <c r="O418" i="4"/>
  <c r="P417" i="4"/>
  <c r="Q417" i="4" s="1"/>
  <c r="O417" i="4"/>
  <c r="U369" i="4" s="1" a="1"/>
  <c r="U369" i="4" s="1"/>
  <c r="U1004" i="4" a="1"/>
  <c r="U1004" i="4" s="1"/>
  <c r="G51" i="1"/>
  <c r="L50" i="1"/>
  <c r="H50" i="1"/>
  <c r="H48" i="1"/>
  <c r="AJ49" i="8" l="1"/>
  <c r="AR49" i="8" s="1"/>
  <c r="AG49" i="8"/>
  <c r="AO49" i="8" s="1"/>
  <c r="AF49" i="8"/>
  <c r="AN49" i="8" s="1"/>
  <c r="V49" i="8"/>
  <c r="AL49" i="8"/>
  <c r="AT49" i="8" s="1"/>
  <c r="AM49" i="8"/>
  <c r="AU49" i="8" s="1"/>
  <c r="N50" i="8"/>
  <c r="O50" i="8"/>
  <c r="L51" i="8"/>
  <c r="M50" i="8"/>
  <c r="Y50" i="8" s="1"/>
  <c r="AA50" i="8" s="1"/>
  <c r="AC50" i="8" s="1"/>
  <c r="AD50" i="8" s="1"/>
  <c r="AI50" i="8" s="1"/>
  <c r="AQ50" i="8" s="1"/>
  <c r="O999" i="4"/>
  <c r="O998" i="4"/>
  <c r="U950" i="4" s="1" a="1"/>
  <c r="U950" i="4" s="1"/>
  <c r="X950" i="4" s="1"/>
  <c r="P998" i="4"/>
  <c r="Q998" i="4" s="1"/>
  <c r="X844" i="4"/>
  <c r="X212" i="4"/>
  <c r="U107" i="4" a="1"/>
  <c r="U107" i="4" s="1"/>
  <c r="X55" i="4"/>
  <c r="Y1111" i="4"/>
  <c r="AA1111" i="4"/>
  <c r="P155" i="4"/>
  <c r="Q155" i="4" s="1"/>
  <c r="O155" i="4"/>
  <c r="O156" i="4"/>
  <c r="O313" i="4"/>
  <c r="P313" i="4"/>
  <c r="Q313" i="4" s="1"/>
  <c r="O314" i="4"/>
  <c r="U265" i="4" s="1" a="1"/>
  <c r="U265" i="4" s="1"/>
  <c r="O523" i="4"/>
  <c r="O522" i="4"/>
  <c r="U474" i="4" s="1" a="1"/>
  <c r="U474" i="4" s="1"/>
  <c r="P522" i="4"/>
  <c r="Q522" i="4" s="1"/>
  <c r="O365" i="4"/>
  <c r="U317" i="4" s="1" a="1"/>
  <c r="U317" i="4" s="1"/>
  <c r="O366" i="4"/>
  <c r="P365" i="4"/>
  <c r="Q365" i="4" s="1"/>
  <c r="Y421" i="4"/>
  <c r="AA421" i="4"/>
  <c r="O945" i="4"/>
  <c r="O946" i="4"/>
  <c r="P945" i="4"/>
  <c r="Q945" i="4" s="1"/>
  <c r="X738" i="4"/>
  <c r="AU791" i="4"/>
  <c r="BC791" i="4" s="1"/>
  <c r="AO791" i="4"/>
  <c r="AW791" i="4" s="1"/>
  <c r="AR791" i="4"/>
  <c r="AZ791" i="4" s="1"/>
  <c r="AS791" i="4"/>
  <c r="BA791" i="4" s="1"/>
  <c r="AV791" i="4"/>
  <c r="BD791" i="4" s="1"/>
  <c r="AF791" i="4"/>
  <c r="AP791" i="4"/>
  <c r="AX791" i="4" s="1"/>
  <c r="AQ791" i="4"/>
  <c r="AY791" i="4" s="1"/>
  <c r="AI159" i="4"/>
  <c r="AL159" i="4" s="1"/>
  <c r="AT159" i="4" s="1"/>
  <c r="BB159" i="4" s="1"/>
  <c r="AI791" i="4"/>
  <c r="AL791" i="4" s="1"/>
  <c r="AT791" i="4" s="1"/>
  <c r="BB791" i="4" s="1"/>
  <c r="AV159" i="4"/>
  <c r="BD159" i="4" s="1"/>
  <c r="AU159" i="4"/>
  <c r="BC159" i="4" s="1"/>
  <c r="AO159" i="4"/>
  <c r="AW159" i="4" s="1"/>
  <c r="AR159" i="4"/>
  <c r="AZ159" i="4" s="1"/>
  <c r="AS159" i="4"/>
  <c r="BA159" i="4" s="1"/>
  <c r="AF159" i="4"/>
  <c r="AP159" i="4"/>
  <c r="AX159" i="4" s="1"/>
  <c r="AQ159" i="4"/>
  <c r="AY159" i="4" s="1"/>
  <c r="O575" i="4"/>
  <c r="O574" i="4"/>
  <c r="U526" i="4" s="1" a="1"/>
  <c r="U526" i="4" s="1"/>
  <c r="P574" i="4"/>
  <c r="Q574" i="4" s="1"/>
  <c r="X1004" i="4"/>
  <c r="AB1057" i="4"/>
  <c r="O627" i="4"/>
  <c r="U579" i="4" s="1" a="1"/>
  <c r="U579" i="4" s="1"/>
  <c r="P627" i="4"/>
  <c r="Q627" i="4" s="1"/>
  <c r="O628" i="4"/>
  <c r="Z1057" i="4"/>
  <c r="BE1057" i="4" s="1"/>
  <c r="AK1057" i="4"/>
  <c r="X369" i="4"/>
  <c r="Y685" i="4"/>
  <c r="AA685" i="4"/>
  <c r="P50" i="4"/>
  <c r="Q50" i="4" s="1"/>
  <c r="O50" i="4"/>
  <c r="U2" i="4" s="1" a="1"/>
  <c r="U2" i="4" s="1"/>
  <c r="O51" i="4"/>
  <c r="X632" i="4"/>
  <c r="H51" i="1"/>
  <c r="L51" i="1"/>
  <c r="H3" i="1"/>
  <c r="H6" i="1"/>
  <c r="H5" i="1"/>
  <c r="H4" i="1"/>
  <c r="H2" i="1"/>
  <c r="H8" i="1"/>
  <c r="H7" i="1"/>
  <c r="L12" i="1"/>
  <c r="L13" i="1"/>
  <c r="L3" i="1"/>
  <c r="L2" i="1"/>
  <c r="L5" i="1"/>
  <c r="L4" i="1"/>
  <c r="L6" i="1"/>
  <c r="L7" i="1"/>
  <c r="L8" i="1"/>
  <c r="L9" i="1"/>
  <c r="L10" i="1"/>
  <c r="L11" i="1"/>
  <c r="H10" i="1"/>
  <c r="L14" i="1"/>
  <c r="H9" i="1"/>
  <c r="L15" i="1"/>
  <c r="L16" i="1"/>
  <c r="L17" i="1"/>
  <c r="H11" i="1"/>
  <c r="L18" i="1"/>
  <c r="H13" i="1"/>
  <c r="H12" i="1"/>
  <c r="L19" i="1"/>
  <c r="L20" i="1"/>
  <c r="H14" i="1"/>
  <c r="L21" i="1"/>
  <c r="L22" i="1"/>
  <c r="H16" i="1"/>
  <c r="H15" i="1"/>
  <c r="H17" i="1"/>
  <c r="L23" i="1"/>
  <c r="H19" i="1"/>
  <c r="H18" i="1"/>
  <c r="L24" i="1"/>
  <c r="H20" i="1"/>
  <c r="L25" i="1"/>
  <c r="L26" i="1"/>
  <c r="L27" i="1"/>
  <c r="L28" i="1"/>
  <c r="H21" i="1"/>
  <c r="H25" i="1"/>
  <c r="L29" i="1"/>
  <c r="H23" i="1"/>
  <c r="L30" i="1"/>
  <c r="H22" i="1"/>
  <c r="L31" i="1"/>
  <c r="L32" i="1"/>
  <c r="H24" i="1"/>
  <c r="L33" i="1"/>
  <c r="H29" i="1"/>
  <c r="L34" i="1"/>
  <c r="H26" i="1"/>
  <c r="H27" i="1"/>
  <c r="L35" i="1"/>
  <c r="H28" i="1"/>
  <c r="L36" i="1"/>
  <c r="H30" i="1"/>
  <c r="H32" i="1"/>
  <c r="H31" i="1"/>
  <c r="L37" i="1"/>
  <c r="H33" i="1"/>
  <c r="L38" i="1"/>
  <c r="H34" i="1"/>
  <c r="L39" i="1"/>
  <c r="H35" i="1"/>
  <c r="L40" i="1"/>
  <c r="L41" i="1"/>
  <c r="H36" i="1"/>
  <c r="L42" i="1"/>
  <c r="H37" i="1"/>
  <c r="H38" i="1"/>
  <c r="L43" i="1"/>
  <c r="H40" i="1"/>
  <c r="L44" i="1"/>
  <c r="H39" i="1"/>
  <c r="L45" i="1"/>
  <c r="H42" i="1"/>
  <c r="H41" i="1"/>
  <c r="L46" i="1"/>
  <c r="L47" i="1"/>
  <c r="L48" i="1"/>
  <c r="L49" i="1"/>
  <c r="H49" i="1"/>
  <c r="H47" i="1"/>
  <c r="H44" i="1"/>
  <c r="H46" i="1"/>
  <c r="H43" i="1"/>
  <c r="H45" i="1"/>
  <c r="V50" i="8" l="1"/>
  <c r="AJ50" i="8"/>
  <c r="AR50" i="8" s="1"/>
  <c r="AG50" i="8"/>
  <c r="AO50" i="8" s="1"/>
  <c r="AF50" i="8"/>
  <c r="AN50" i="8" s="1"/>
  <c r="M51" i="8"/>
  <c r="Y51" i="8" s="1"/>
  <c r="AA51" i="8" s="1"/>
  <c r="AC51" i="8" s="1"/>
  <c r="AD51" i="8" s="1"/>
  <c r="AI51" i="8" s="1"/>
  <c r="AQ51" i="8" s="1"/>
  <c r="N51" i="8"/>
  <c r="O51" i="8"/>
  <c r="L52" i="8"/>
  <c r="AM50" i="8"/>
  <c r="AU50" i="8" s="1"/>
  <c r="AL50" i="8"/>
  <c r="AT50" i="8" s="1"/>
  <c r="U897" i="4" a="1"/>
  <c r="U897" i="4" s="1"/>
  <c r="X474" i="4"/>
  <c r="X265" i="4"/>
  <c r="X579" i="4"/>
  <c r="X897" i="4"/>
  <c r="X2" i="4"/>
  <c r="X317" i="4"/>
  <c r="Y369" i="4"/>
  <c r="AA369" i="4"/>
  <c r="AK1111" i="4"/>
  <c r="Z1111" i="4"/>
  <c r="BE1111" i="4" s="1"/>
  <c r="AA55" i="4"/>
  <c r="Y55" i="4"/>
  <c r="X107" i="4"/>
  <c r="Y212" i="4"/>
  <c r="AA212" i="4"/>
  <c r="AA738" i="4"/>
  <c r="Y738" i="4"/>
  <c r="AI1057" i="4"/>
  <c r="AL1057" i="4" s="1"/>
  <c r="AT1057" i="4" s="1"/>
  <c r="BB1057" i="4" s="1"/>
  <c r="AA632" i="4"/>
  <c r="Y632" i="4"/>
  <c r="AS1057" i="4"/>
  <c r="BA1057" i="4" s="1"/>
  <c r="AU1057" i="4"/>
  <c r="BC1057" i="4" s="1"/>
  <c r="AV1057" i="4"/>
  <c r="BD1057" i="4" s="1"/>
  <c r="AF1057" i="4"/>
  <c r="AR1057" i="4" s="1"/>
  <c r="AZ1057" i="4" s="1"/>
  <c r="AO1057" i="4"/>
  <c r="AW1057" i="4" s="1"/>
  <c r="AP1057" i="4"/>
  <c r="AX1057" i="4" s="1"/>
  <c r="AQ1057" i="4"/>
  <c r="AY1057" i="4" s="1"/>
  <c r="Y1004" i="4"/>
  <c r="AA1004" i="4"/>
  <c r="Y950" i="4"/>
  <c r="AA950" i="4"/>
  <c r="AB421" i="4"/>
  <c r="AB685" i="4"/>
  <c r="X526" i="4"/>
  <c r="AK421" i="4"/>
  <c r="Z421" i="4"/>
  <c r="BE421" i="4" s="1"/>
  <c r="Y844" i="4"/>
  <c r="AA844" i="4"/>
  <c r="AK685" i="4"/>
  <c r="Z685" i="4"/>
  <c r="BE685" i="4" s="1"/>
  <c r="AB1111" i="4"/>
  <c r="O52" i="8" l="1"/>
  <c r="L53" i="8"/>
  <c r="M52" i="8"/>
  <c r="Y52" i="8" s="1"/>
  <c r="AA52" i="8" s="1"/>
  <c r="AC52" i="8" s="1"/>
  <c r="AD52" i="8" s="1"/>
  <c r="AI52" i="8" s="1"/>
  <c r="AQ52" i="8" s="1"/>
  <c r="N52" i="8"/>
  <c r="AJ51" i="8"/>
  <c r="AR51" i="8" s="1"/>
  <c r="AG51" i="8"/>
  <c r="AO51" i="8" s="1"/>
  <c r="AF51" i="8"/>
  <c r="AN51" i="8" s="1"/>
  <c r="V51" i="8"/>
  <c r="AM51" i="8"/>
  <c r="AU51" i="8" s="1"/>
  <c r="AL51" i="8"/>
  <c r="AT51" i="8" s="1"/>
  <c r="AI1111" i="4"/>
  <c r="AI421" i="4"/>
  <c r="AK632" i="4"/>
  <c r="Z632" i="4"/>
  <c r="BE632" i="4" s="1"/>
  <c r="AI369" i="4"/>
  <c r="AB369" i="4"/>
  <c r="AO421" i="4"/>
  <c r="AW421" i="4" s="1"/>
  <c r="AV421" i="4"/>
  <c r="BD421" i="4" s="1"/>
  <c r="AF421" i="4"/>
  <c r="AR421" i="4" s="1"/>
  <c r="AZ421" i="4" s="1"/>
  <c r="AU421" i="4"/>
  <c r="BC421" i="4" s="1"/>
  <c r="AS421" i="4"/>
  <c r="BA421" i="4" s="1"/>
  <c r="AP421" i="4"/>
  <c r="AX421" i="4" s="1"/>
  <c r="AQ421" i="4"/>
  <c r="AY421" i="4" s="1"/>
  <c r="AB632" i="4"/>
  <c r="AI632" i="4"/>
  <c r="Z369" i="4"/>
  <c r="BE369" i="4" s="1"/>
  <c r="AK369" i="4"/>
  <c r="AB950" i="4"/>
  <c r="AI950" i="4"/>
  <c r="Y317" i="4"/>
  <c r="AA317" i="4"/>
  <c r="AP1111" i="4"/>
  <c r="AX1111" i="4" s="1"/>
  <c r="AV1111" i="4"/>
  <c r="BD1111" i="4" s="1"/>
  <c r="AF1111" i="4"/>
  <c r="AO1111" i="4"/>
  <c r="AW1111" i="4" s="1"/>
  <c r="AR1111" i="4"/>
  <c r="AZ1111" i="4" s="1"/>
  <c r="AS1111" i="4"/>
  <c r="BA1111" i="4" s="1"/>
  <c r="AU1111" i="4"/>
  <c r="BC1111" i="4" s="1"/>
  <c r="AQ1111" i="4"/>
  <c r="AY1111" i="4" s="1"/>
  <c r="Z950" i="4"/>
  <c r="BE950" i="4" s="1"/>
  <c r="AK950" i="4"/>
  <c r="Z738" i="4"/>
  <c r="BE738" i="4" s="1"/>
  <c r="AK738" i="4"/>
  <c r="AB1004" i="4"/>
  <c r="AB738" i="4"/>
  <c r="AI738" i="4"/>
  <c r="Z1004" i="4"/>
  <c r="BE1004" i="4" s="1"/>
  <c r="AK1004" i="4"/>
  <c r="AB212" i="4"/>
  <c r="Y2" i="4"/>
  <c r="AA2" i="4"/>
  <c r="AB844" i="4"/>
  <c r="Z212" i="4"/>
  <c r="BE212" i="4" s="1"/>
  <c r="AK212" i="4"/>
  <c r="Z844" i="4"/>
  <c r="BE844" i="4" s="1"/>
  <c r="AK844" i="4"/>
  <c r="Y897" i="4"/>
  <c r="AA897" i="4"/>
  <c r="Y107" i="4"/>
  <c r="AA107" i="4"/>
  <c r="AL421" i="4"/>
  <c r="AT421" i="4" s="1"/>
  <c r="BB421" i="4" s="1"/>
  <c r="AA579" i="4"/>
  <c r="Y579" i="4"/>
  <c r="AK55" i="4"/>
  <c r="Z55" i="4"/>
  <c r="BE55" i="4" s="1"/>
  <c r="AA265" i="4"/>
  <c r="Y265" i="4"/>
  <c r="AA526" i="4"/>
  <c r="Y526" i="4"/>
  <c r="AB55" i="4"/>
  <c r="AI685" i="4"/>
  <c r="AL685" i="4" s="1"/>
  <c r="AT685" i="4" s="1"/>
  <c r="BB685" i="4" s="1"/>
  <c r="AU685" i="4"/>
  <c r="BC685" i="4" s="1"/>
  <c r="AO685" i="4"/>
  <c r="AW685" i="4" s="1"/>
  <c r="AF685" i="4"/>
  <c r="AR685" i="4" s="1"/>
  <c r="AZ685" i="4" s="1"/>
  <c r="AP685" i="4"/>
  <c r="AX685" i="4" s="1"/>
  <c r="AV685" i="4"/>
  <c r="BD685" i="4" s="1"/>
  <c r="AQ685" i="4"/>
  <c r="AY685" i="4" s="1"/>
  <c r="AS685" i="4"/>
  <c r="BA685" i="4" s="1"/>
  <c r="AL1111" i="4"/>
  <c r="AT1111" i="4" s="1"/>
  <c r="BB1111" i="4" s="1"/>
  <c r="AA474" i="4"/>
  <c r="Y474" i="4"/>
  <c r="V52" i="8" l="1"/>
  <c r="AF52" i="8"/>
  <c r="AN52" i="8" s="1"/>
  <c r="AG52" i="8"/>
  <c r="AO52" i="8" s="1"/>
  <c r="AJ52" i="8"/>
  <c r="AR52" i="8" s="1"/>
  <c r="AL52" i="8"/>
  <c r="AT52" i="8" s="1"/>
  <c r="AM52" i="8"/>
  <c r="AU52" i="8" s="1"/>
  <c r="O53" i="8"/>
  <c r="M53" i="8"/>
  <c r="Y53" i="8" s="1"/>
  <c r="AA53" i="8" s="1"/>
  <c r="AC53" i="8"/>
  <c r="AD53" i="8" s="1"/>
  <c r="AI53" i="8" s="1"/>
  <c r="AQ53" i="8" s="1"/>
  <c r="L54" i="8"/>
  <c r="N53" i="8"/>
  <c r="AI212" i="4"/>
  <c r="AI55" i="4"/>
  <c r="Z579" i="4"/>
  <c r="BE579" i="4" s="1"/>
  <c r="AK579" i="4"/>
  <c r="AK2" i="4"/>
  <c r="Z2" i="4"/>
  <c r="BE2" i="4" s="1"/>
  <c r="AB579" i="4"/>
  <c r="AF212" i="4"/>
  <c r="AO212" i="4"/>
  <c r="AW212" i="4" s="1"/>
  <c r="AV212" i="4"/>
  <c r="BD212" i="4" s="1"/>
  <c r="AS212" i="4"/>
  <c r="BA212" i="4" s="1"/>
  <c r="AU212" i="4"/>
  <c r="BC212" i="4" s="1"/>
  <c r="AP212" i="4"/>
  <c r="AX212" i="4" s="1"/>
  <c r="AR212" i="4"/>
  <c r="AZ212" i="4" s="1"/>
  <c r="AQ212" i="4"/>
  <c r="AY212" i="4" s="1"/>
  <c r="AS632" i="4"/>
  <c r="BA632" i="4" s="1"/>
  <c r="AO632" i="4"/>
  <c r="AW632" i="4" s="1"/>
  <c r="AU632" i="4"/>
  <c r="BC632" i="4" s="1"/>
  <c r="AV632" i="4"/>
  <c r="BD632" i="4" s="1"/>
  <c r="AF632" i="4"/>
  <c r="AR632" i="4" s="1"/>
  <c r="AZ632" i="4" s="1"/>
  <c r="AP632" i="4"/>
  <c r="AX632" i="4" s="1"/>
  <c r="AQ632" i="4"/>
  <c r="AY632" i="4" s="1"/>
  <c r="AB107" i="4"/>
  <c r="Z107" i="4"/>
  <c r="BE107" i="4" s="1"/>
  <c r="AK107" i="4"/>
  <c r="AI897" i="4"/>
  <c r="AB897" i="4"/>
  <c r="AK897" i="4"/>
  <c r="Z897" i="4"/>
  <c r="BE897" i="4" s="1"/>
  <c r="AF55" i="4"/>
  <c r="AS55" i="4"/>
  <c r="BA55" i="4" s="1"/>
  <c r="AO55" i="4"/>
  <c r="AW55" i="4" s="1"/>
  <c r="AP55" i="4"/>
  <c r="AX55" i="4" s="1"/>
  <c r="AV55" i="4"/>
  <c r="BD55" i="4" s="1"/>
  <c r="AR55" i="4"/>
  <c r="AZ55" i="4" s="1"/>
  <c r="AU55" i="4"/>
  <c r="BC55" i="4" s="1"/>
  <c r="AQ55" i="4"/>
  <c r="AY55" i="4" s="1"/>
  <c r="AP738" i="4"/>
  <c r="AX738" i="4" s="1"/>
  <c r="AF738" i="4"/>
  <c r="AU738" i="4"/>
  <c r="BC738" i="4" s="1"/>
  <c r="AV738" i="4"/>
  <c r="BD738" i="4" s="1"/>
  <c r="AR738" i="4"/>
  <c r="AZ738" i="4" s="1"/>
  <c r="AS738" i="4"/>
  <c r="BA738" i="4" s="1"/>
  <c r="AO738" i="4"/>
  <c r="AW738" i="4" s="1"/>
  <c r="AQ738" i="4"/>
  <c r="AY738" i="4" s="1"/>
  <c r="Z474" i="4"/>
  <c r="BE474" i="4" s="1"/>
  <c r="AK474" i="4"/>
  <c r="Z526" i="4"/>
  <c r="BE526" i="4" s="1"/>
  <c r="AK526" i="4"/>
  <c r="AF1004" i="4"/>
  <c r="AR1004" i="4" s="1"/>
  <c r="AZ1004" i="4" s="1"/>
  <c r="AO1004" i="4"/>
  <c r="AW1004" i="4" s="1"/>
  <c r="AP1004" i="4"/>
  <c r="AX1004" i="4" s="1"/>
  <c r="AS1004" i="4"/>
  <c r="BA1004" i="4" s="1"/>
  <c r="AU1004" i="4"/>
  <c r="BC1004" i="4" s="1"/>
  <c r="AV1004" i="4"/>
  <c r="BD1004" i="4" s="1"/>
  <c r="AQ1004" i="4"/>
  <c r="AY1004" i="4" s="1"/>
  <c r="AB317" i="4"/>
  <c r="AB474" i="4"/>
  <c r="AB526" i="4"/>
  <c r="AL212" i="4"/>
  <c r="AT212" i="4" s="1"/>
  <c r="BB212" i="4" s="1"/>
  <c r="AI1004" i="4"/>
  <c r="AL1004" i="4" s="1"/>
  <c r="AT1004" i="4" s="1"/>
  <c r="BB1004" i="4" s="1"/>
  <c r="AK317" i="4"/>
  <c r="Z317" i="4"/>
  <c r="BE317" i="4" s="1"/>
  <c r="Z265" i="4"/>
  <c r="BE265" i="4" s="1"/>
  <c r="AK265" i="4"/>
  <c r="AL738" i="4"/>
  <c r="AT738" i="4" s="1"/>
  <c r="BB738" i="4" s="1"/>
  <c r="AR369" i="4"/>
  <c r="AZ369" i="4" s="1"/>
  <c r="AO369" i="4"/>
  <c r="AW369" i="4" s="1"/>
  <c r="AP369" i="4"/>
  <c r="AX369" i="4" s="1"/>
  <c r="AQ369" i="4"/>
  <c r="AY369" i="4" s="1"/>
  <c r="AF369" i="4"/>
  <c r="AU369" i="4"/>
  <c r="BC369" i="4" s="1"/>
  <c r="AV369" i="4"/>
  <c r="BD369" i="4" s="1"/>
  <c r="AS369" i="4"/>
  <c r="BA369" i="4" s="1"/>
  <c r="AB265" i="4"/>
  <c r="AI844" i="4"/>
  <c r="AL844" i="4" s="1"/>
  <c r="AT844" i="4" s="1"/>
  <c r="BB844" i="4" s="1"/>
  <c r="AF950" i="4"/>
  <c r="AV950" i="4"/>
  <c r="BD950" i="4" s="1"/>
  <c r="AR950" i="4"/>
  <c r="AZ950" i="4" s="1"/>
  <c r="AO950" i="4"/>
  <c r="AW950" i="4" s="1"/>
  <c r="AP950" i="4"/>
  <c r="AX950" i="4" s="1"/>
  <c r="AQ950" i="4"/>
  <c r="AY950" i="4" s="1"/>
  <c r="AS950" i="4"/>
  <c r="BA950" i="4" s="1"/>
  <c r="AU950" i="4"/>
  <c r="BC950" i="4" s="1"/>
  <c r="AU844" i="4"/>
  <c r="BC844" i="4" s="1"/>
  <c r="AS844" i="4"/>
  <c r="BA844" i="4" s="1"/>
  <c r="AF844" i="4"/>
  <c r="AR844" i="4" s="1"/>
  <c r="AZ844" i="4" s="1"/>
  <c r="AO844" i="4"/>
  <c r="AW844" i="4" s="1"/>
  <c r="AP844" i="4"/>
  <c r="AX844" i="4" s="1"/>
  <c r="AQ844" i="4"/>
  <c r="AY844" i="4" s="1"/>
  <c r="AV844" i="4"/>
  <c r="BD844" i="4" s="1"/>
  <c r="AL950" i="4"/>
  <c r="AT950" i="4" s="1"/>
  <c r="BB950" i="4" s="1"/>
  <c r="AL369" i="4"/>
  <c r="AT369" i="4" s="1"/>
  <c r="BB369" i="4" s="1"/>
  <c r="AL55" i="4"/>
  <c r="AT55" i="4" s="1"/>
  <c r="BB55" i="4" s="1"/>
  <c r="AI2" i="4"/>
  <c r="AB2" i="4"/>
  <c r="AL632" i="4"/>
  <c r="AT632" i="4" s="1"/>
  <c r="BB632" i="4" s="1"/>
  <c r="AM53" i="8" l="1"/>
  <c r="AU53" i="8" s="1"/>
  <c r="AL53" i="8"/>
  <c r="AT53" i="8" s="1"/>
  <c r="M54" i="8"/>
  <c r="Y54" i="8" s="1"/>
  <c r="AA54" i="8" s="1"/>
  <c r="AC54" i="8" s="1"/>
  <c r="AD54" i="8" s="1"/>
  <c r="AI54" i="8" s="1"/>
  <c r="AQ54" i="8" s="1"/>
  <c r="L55" i="8"/>
  <c r="O54" i="8"/>
  <c r="N54" i="8"/>
  <c r="V53" i="8"/>
  <c r="AF53" i="8"/>
  <c r="AN53" i="8" s="1"/>
  <c r="AJ53" i="8"/>
  <c r="AR53" i="8" s="1"/>
  <c r="AG53" i="8"/>
  <c r="AO53" i="8" s="1"/>
  <c r="AI579" i="4"/>
  <c r="AI526" i="4"/>
  <c r="AL474" i="4"/>
  <c r="AT474" i="4" s="1"/>
  <c r="BB474" i="4" s="1"/>
  <c r="AI474" i="4"/>
  <c r="AI265" i="4"/>
  <c r="AO265" i="4"/>
  <c r="AW265" i="4" s="1"/>
  <c r="AU265" i="4"/>
  <c r="BC265" i="4" s="1"/>
  <c r="AV265" i="4"/>
  <c r="BD265" i="4" s="1"/>
  <c r="AF265" i="4"/>
  <c r="AS265" i="4"/>
  <c r="BA265" i="4" s="1"/>
  <c r="AR265" i="4"/>
  <c r="AZ265" i="4" s="1"/>
  <c r="AP265" i="4"/>
  <c r="AX265" i="4" s="1"/>
  <c r="AQ265" i="4"/>
  <c r="AY265" i="4" s="1"/>
  <c r="AL526" i="4"/>
  <c r="AT526" i="4" s="1"/>
  <c r="BB526" i="4" s="1"/>
  <c r="AI107" i="4"/>
  <c r="AL107" i="4" s="1"/>
  <c r="AT107" i="4" s="1"/>
  <c r="BB107" i="4" s="1"/>
  <c r="AF526" i="4"/>
  <c r="AR526" i="4" s="1"/>
  <c r="AZ526" i="4" s="1"/>
  <c r="AV526" i="4"/>
  <c r="BD526" i="4" s="1"/>
  <c r="AP526" i="4"/>
  <c r="AX526" i="4" s="1"/>
  <c r="AO526" i="4"/>
  <c r="AW526" i="4" s="1"/>
  <c r="AS526" i="4"/>
  <c r="BA526" i="4" s="1"/>
  <c r="AU526" i="4"/>
  <c r="BC526" i="4" s="1"/>
  <c r="AQ526" i="4"/>
  <c r="AY526" i="4" s="1"/>
  <c r="AO107" i="4"/>
  <c r="AW107" i="4" s="1"/>
  <c r="AP107" i="4"/>
  <c r="AX107" i="4" s="1"/>
  <c r="AF107" i="4"/>
  <c r="AR107" i="4"/>
  <c r="AZ107" i="4" s="1"/>
  <c r="AS107" i="4"/>
  <c r="BA107" i="4" s="1"/>
  <c r="AU107" i="4"/>
  <c r="BC107" i="4" s="1"/>
  <c r="AV107" i="4"/>
  <c r="BD107" i="4" s="1"/>
  <c r="AQ107" i="4"/>
  <c r="AY107" i="4" s="1"/>
  <c r="AP474" i="4"/>
  <c r="AX474" i="4" s="1"/>
  <c r="AS474" i="4"/>
  <c r="BA474" i="4" s="1"/>
  <c r="AF474" i="4"/>
  <c r="AR474" i="4" s="1"/>
  <c r="AZ474" i="4" s="1"/>
  <c r="AV474" i="4"/>
  <c r="BD474" i="4" s="1"/>
  <c r="AU474" i="4"/>
  <c r="BC474" i="4" s="1"/>
  <c r="AO474" i="4"/>
  <c r="AW474" i="4" s="1"/>
  <c r="AQ474" i="4"/>
  <c r="AY474" i="4" s="1"/>
  <c r="AU2" i="4"/>
  <c r="BC2" i="4" s="1"/>
  <c r="AS2" i="4"/>
  <c r="BA2" i="4" s="1"/>
  <c r="AP2" i="4"/>
  <c r="AX2" i="4" s="1"/>
  <c r="AO2" i="4"/>
  <c r="AW2" i="4" s="1"/>
  <c r="AR2" i="4"/>
  <c r="AZ2" i="4" s="1"/>
  <c r="AV2" i="4"/>
  <c r="BD2" i="4" s="1"/>
  <c r="AF2" i="4"/>
  <c r="AQ2" i="4"/>
  <c r="AY2" i="4" s="1"/>
  <c r="AF317" i="4"/>
  <c r="AV317" i="4"/>
  <c r="BD317" i="4" s="1"/>
  <c r="AU317" i="4"/>
  <c r="BC317" i="4" s="1"/>
  <c r="AR317" i="4"/>
  <c r="AZ317" i="4" s="1"/>
  <c r="AQ317" i="4"/>
  <c r="AY317" i="4" s="1"/>
  <c r="AS317" i="4"/>
  <c r="BA317" i="4" s="1"/>
  <c r="AO317" i="4"/>
  <c r="AW317" i="4" s="1"/>
  <c r="AP317" i="4"/>
  <c r="AX317" i="4" s="1"/>
  <c r="AP579" i="4"/>
  <c r="AX579" i="4" s="1"/>
  <c r="AO579" i="4"/>
  <c r="AW579" i="4" s="1"/>
  <c r="AU579" i="4"/>
  <c r="BC579" i="4" s="1"/>
  <c r="AV579" i="4"/>
  <c r="BD579" i="4" s="1"/>
  <c r="AF579" i="4"/>
  <c r="AR579" i="4" s="1"/>
  <c r="AZ579" i="4" s="1"/>
  <c r="AS579" i="4"/>
  <c r="BA579" i="4" s="1"/>
  <c r="AQ579" i="4"/>
  <c r="AY579" i="4" s="1"/>
  <c r="AI317" i="4"/>
  <c r="AL317" i="4" s="1"/>
  <c r="AT317" i="4" s="1"/>
  <c r="BB317" i="4" s="1"/>
  <c r="AL2" i="4"/>
  <c r="AT2" i="4" s="1"/>
  <c r="BB2" i="4" s="1"/>
  <c r="AL265" i="4"/>
  <c r="AT265" i="4" s="1"/>
  <c r="BB265" i="4" s="1"/>
  <c r="AL897" i="4"/>
  <c r="AT897" i="4" s="1"/>
  <c r="BB897" i="4" s="1"/>
  <c r="AL579" i="4"/>
  <c r="AT579" i="4" s="1"/>
  <c r="BB579" i="4" s="1"/>
  <c r="AU897" i="4"/>
  <c r="BC897" i="4" s="1"/>
  <c r="AV897" i="4"/>
  <c r="BD897" i="4" s="1"/>
  <c r="AP897" i="4"/>
  <c r="AX897" i="4" s="1"/>
  <c r="AR897" i="4"/>
  <c r="AZ897" i="4" s="1"/>
  <c r="AS897" i="4"/>
  <c r="BA897" i="4" s="1"/>
  <c r="AF897" i="4"/>
  <c r="AO897" i="4"/>
  <c r="AW897" i="4" s="1"/>
  <c r="AQ897" i="4"/>
  <c r="AY897" i="4" s="1"/>
  <c r="M55" i="8" l="1"/>
  <c r="Y55" i="8" s="1"/>
  <c r="AA55" i="8" s="1"/>
  <c r="AC55" i="8" s="1"/>
  <c r="AD55" i="8" s="1"/>
  <c r="AI55" i="8" s="1"/>
  <c r="AQ55" i="8" s="1"/>
  <c r="L56" i="8"/>
  <c r="O55" i="8"/>
  <c r="N55" i="8"/>
  <c r="AL54" i="8"/>
  <c r="AT54" i="8" s="1"/>
  <c r="AM54" i="8"/>
  <c r="AU54" i="8" s="1"/>
  <c r="AG54" i="8"/>
  <c r="AO54" i="8" s="1"/>
  <c r="V54" i="8"/>
  <c r="AF54" i="8"/>
  <c r="AN54" i="8" s="1"/>
  <c r="AJ54" i="8"/>
  <c r="AR54" i="8" s="1"/>
  <c r="M56" i="8" l="1"/>
  <c r="Y56" i="8" s="1"/>
  <c r="AA56" i="8" s="1"/>
  <c r="N56" i="8"/>
  <c r="AC56" i="8"/>
  <c r="AD56" i="8" s="1"/>
  <c r="AI56" i="8" s="1"/>
  <c r="AQ56" i="8" s="1"/>
  <c r="O56" i="8"/>
  <c r="L57" i="8"/>
  <c r="AL55" i="8"/>
  <c r="AT55" i="8" s="1"/>
  <c r="AM55" i="8"/>
  <c r="AU55" i="8" s="1"/>
  <c r="AG55" i="8"/>
  <c r="AO55" i="8" s="1"/>
  <c r="AJ55" i="8"/>
  <c r="AR55" i="8" s="1"/>
  <c r="AF55" i="8"/>
  <c r="AN55" i="8" s="1"/>
  <c r="V55" i="8"/>
  <c r="V56" i="8" l="1"/>
  <c r="AG56" i="8"/>
  <c r="AO56" i="8" s="1"/>
  <c r="AJ56" i="8"/>
  <c r="AR56" i="8" s="1"/>
  <c r="AF56" i="8"/>
  <c r="AN56" i="8" s="1"/>
  <c r="AL56" i="8"/>
  <c r="AT56" i="8" s="1"/>
  <c r="AM56" i="8"/>
  <c r="AU56" i="8" s="1"/>
  <c r="O57" i="8"/>
  <c r="M57" i="8"/>
  <c r="Y57" i="8" s="1"/>
  <c r="AA57" i="8" s="1"/>
  <c r="N57" i="8"/>
  <c r="AC57" i="8"/>
  <c r="AD57" i="8" s="1"/>
  <c r="AI57" i="8" s="1"/>
  <c r="AQ57" i="8" s="1"/>
  <c r="L58" i="8"/>
  <c r="N58" i="8" l="1"/>
  <c r="O58" i="8"/>
  <c r="L59" i="8"/>
  <c r="M58" i="8"/>
  <c r="Y58" i="8" s="1"/>
  <c r="AA58" i="8" s="1"/>
  <c r="AC58" i="8" s="1"/>
  <c r="AD58" i="8" s="1"/>
  <c r="AI58" i="8" s="1"/>
  <c r="AQ58" i="8" s="1"/>
  <c r="AL57" i="8"/>
  <c r="AT57" i="8" s="1"/>
  <c r="AM57" i="8"/>
  <c r="AU57" i="8" s="1"/>
  <c r="AJ57" i="8"/>
  <c r="AR57" i="8" s="1"/>
  <c r="V57" i="8"/>
  <c r="AF57" i="8"/>
  <c r="AN57" i="8" s="1"/>
  <c r="AG57" i="8"/>
  <c r="AO57" i="8" s="1"/>
  <c r="M59" i="8" l="1"/>
  <c r="Y59" i="8" s="1"/>
  <c r="AA59" i="8" s="1"/>
  <c r="AC59" i="8"/>
  <c r="AD59" i="8" s="1"/>
  <c r="AI59" i="8" s="1"/>
  <c r="AQ59" i="8" s="1"/>
  <c r="N59" i="8"/>
  <c r="L60" i="8"/>
  <c r="O59" i="8"/>
  <c r="V58" i="8"/>
  <c r="AF58" i="8"/>
  <c r="AN58" i="8" s="1"/>
  <c r="AG58" i="8"/>
  <c r="AO58" i="8" s="1"/>
  <c r="AJ58" i="8"/>
  <c r="AR58" i="8" s="1"/>
  <c r="AM58" i="8"/>
  <c r="AU58" i="8" s="1"/>
  <c r="AL58" i="8"/>
  <c r="AT58" i="8" s="1"/>
  <c r="L61" i="8" l="1"/>
  <c r="M60" i="8"/>
  <c r="Y60" i="8" s="1"/>
  <c r="AA60" i="8" s="1"/>
  <c r="AC60" i="8"/>
  <c r="AD60" i="8" s="1"/>
  <c r="AI60" i="8" s="1"/>
  <c r="AQ60" i="8" s="1"/>
  <c r="N60" i="8"/>
  <c r="O60" i="8"/>
  <c r="AM59" i="8"/>
  <c r="AU59" i="8" s="1"/>
  <c r="AL59" i="8"/>
  <c r="AT59" i="8" s="1"/>
  <c r="AF59" i="8"/>
  <c r="AN59" i="8" s="1"/>
  <c r="V59" i="8"/>
  <c r="AG59" i="8"/>
  <c r="AO59" i="8" s="1"/>
  <c r="AJ59" i="8"/>
  <c r="AR59" i="8" s="1"/>
  <c r="L62" i="8" l="1"/>
  <c r="M61" i="8"/>
  <c r="Y61" i="8" s="1"/>
  <c r="AA61" i="8" s="1"/>
  <c r="AC61" i="8" s="1"/>
  <c r="AD61" i="8" s="1"/>
  <c r="AI61" i="8" s="1"/>
  <c r="AQ61" i="8" s="1"/>
  <c r="N61" i="8"/>
  <c r="O61" i="8"/>
  <c r="AL60" i="8"/>
  <c r="AT60" i="8" s="1"/>
  <c r="AM60" i="8"/>
  <c r="AU60" i="8" s="1"/>
  <c r="AF60" i="8"/>
  <c r="AN60" i="8" s="1"/>
  <c r="AG60" i="8"/>
  <c r="AO60" i="8" s="1"/>
  <c r="AJ60" i="8"/>
  <c r="AR60" i="8" s="1"/>
  <c r="V60" i="8"/>
  <c r="V61" i="8" l="1"/>
  <c r="AF61" i="8"/>
  <c r="AN61" i="8" s="1"/>
  <c r="AG61" i="8"/>
  <c r="AO61" i="8" s="1"/>
  <c r="AJ61" i="8"/>
  <c r="AR61" i="8" s="1"/>
  <c r="AL61" i="8"/>
  <c r="AT61" i="8" s="1"/>
  <c r="AM61" i="8"/>
  <c r="AU61" i="8" s="1"/>
  <c r="M62" i="8"/>
  <c r="Y62" i="8" s="1"/>
  <c r="AA62" i="8" s="1"/>
  <c r="L63" i="8"/>
  <c r="N62" i="8"/>
  <c r="O62" i="8"/>
  <c r="AC62" i="8"/>
  <c r="AD62" i="8" s="1"/>
  <c r="AI62" i="8" s="1"/>
  <c r="AQ62" i="8" s="1"/>
  <c r="AG62" i="8" l="1"/>
  <c r="AO62" i="8" s="1"/>
  <c r="AJ62" i="8"/>
  <c r="AR62" i="8" s="1"/>
  <c r="AF62" i="8"/>
  <c r="AN62" i="8" s="1"/>
  <c r="V62" i="8"/>
  <c r="AL62" i="8"/>
  <c r="AT62" i="8" s="1"/>
  <c r="AM62" i="8"/>
  <c r="AU62" i="8" s="1"/>
  <c r="M63" i="8"/>
  <c r="Y63" i="8" s="1"/>
  <c r="AA63" i="8" s="1"/>
  <c r="N63" i="8"/>
  <c r="AC63" i="8"/>
  <c r="AD63" i="8" s="1"/>
  <c r="AI63" i="8" s="1"/>
  <c r="AQ63" i="8" s="1"/>
  <c r="O63" i="8"/>
  <c r="L64" i="8"/>
  <c r="O64" i="8" l="1"/>
  <c r="M64" i="8"/>
  <c r="Y64" i="8" s="1"/>
  <c r="AA64" i="8" s="1"/>
  <c r="AC64" i="8" s="1"/>
  <c r="AD64" i="8" s="1"/>
  <c r="AI64" i="8" s="1"/>
  <c r="AQ64" i="8" s="1"/>
  <c r="N64" i="8"/>
  <c r="L65" i="8"/>
  <c r="V63" i="8"/>
  <c r="AJ63" i="8"/>
  <c r="AR63" i="8" s="1"/>
  <c r="AG63" i="8"/>
  <c r="AO63" i="8" s="1"/>
  <c r="AF63" i="8"/>
  <c r="AN63" i="8" s="1"/>
  <c r="AL63" i="8"/>
  <c r="AT63" i="8" s="1"/>
  <c r="AM63" i="8"/>
  <c r="AU63" i="8" s="1"/>
  <c r="N65" i="8" l="1"/>
  <c r="O65" i="8"/>
  <c r="M65" i="8"/>
  <c r="Y65" i="8" s="1"/>
  <c r="AA65" i="8" s="1"/>
  <c r="AC65" i="8" s="1"/>
  <c r="AD65" i="8" s="1"/>
  <c r="AI65" i="8" s="1"/>
  <c r="AQ65" i="8" s="1"/>
  <c r="L66" i="8"/>
  <c r="AL64" i="8"/>
  <c r="AT64" i="8" s="1"/>
  <c r="AM64" i="8"/>
  <c r="AU64" i="8" s="1"/>
  <c r="AJ64" i="8"/>
  <c r="AR64" i="8" s="1"/>
  <c r="V64" i="8"/>
  <c r="AG64" i="8"/>
  <c r="AO64" i="8" s="1"/>
  <c r="AF64" i="8"/>
  <c r="AN64" i="8" s="1"/>
  <c r="AF65" i="8" l="1"/>
  <c r="AN65" i="8" s="1"/>
  <c r="AJ65" i="8"/>
  <c r="AR65" i="8" s="1"/>
  <c r="V65" i="8"/>
  <c r="AG65" i="8"/>
  <c r="AO65" i="8" s="1"/>
  <c r="AL65" i="8"/>
  <c r="AT65" i="8" s="1"/>
  <c r="AM65" i="8"/>
  <c r="AU65" i="8" s="1"/>
  <c r="L67" i="8"/>
  <c r="O66" i="8"/>
  <c r="N66" i="8"/>
  <c r="M66" i="8"/>
  <c r="Y66" i="8" s="1"/>
  <c r="AA66" i="8" s="1"/>
  <c r="AC66" i="8" s="1"/>
  <c r="AD66" i="8" s="1"/>
  <c r="AI66" i="8" s="1"/>
  <c r="AQ66" i="8" s="1"/>
  <c r="AM66" i="8" l="1"/>
  <c r="AU66" i="8" s="1"/>
  <c r="AL66" i="8"/>
  <c r="AT66" i="8" s="1"/>
  <c r="AF66" i="8"/>
  <c r="AN66" i="8" s="1"/>
  <c r="AG66" i="8"/>
  <c r="AO66" i="8" s="1"/>
  <c r="V66" i="8"/>
  <c r="AJ66" i="8"/>
  <c r="AR66" i="8" s="1"/>
  <c r="L68" i="8"/>
  <c r="M67" i="8"/>
  <c r="Y67" i="8" s="1"/>
  <c r="AA67" i="8" s="1"/>
  <c r="N67" i="8"/>
  <c r="O67" i="8"/>
  <c r="AC67" i="8"/>
  <c r="AD67" i="8" s="1"/>
  <c r="AI67" i="8" s="1"/>
  <c r="AQ67" i="8" s="1"/>
  <c r="AG67" i="8" l="1"/>
  <c r="AO67" i="8" s="1"/>
  <c r="V67" i="8"/>
  <c r="AF67" i="8"/>
  <c r="AN67" i="8" s="1"/>
  <c r="AJ67" i="8"/>
  <c r="AR67" i="8" s="1"/>
  <c r="AL67" i="8"/>
  <c r="AT67" i="8" s="1"/>
  <c r="AM67" i="8"/>
  <c r="AU67" i="8" s="1"/>
  <c r="M68" i="8"/>
  <c r="Y68" i="8" s="1"/>
  <c r="AA68" i="8" s="1"/>
  <c r="N68" i="8"/>
  <c r="O68" i="8"/>
  <c r="AC68" i="8"/>
  <c r="AD68" i="8" s="1"/>
  <c r="AI68" i="8" s="1"/>
  <c r="AQ68" i="8" s="1"/>
  <c r="L69" i="8"/>
  <c r="M69" i="8" l="1"/>
  <c r="Y69" i="8" s="1"/>
  <c r="AA69" i="8" s="1"/>
  <c r="L70" i="8"/>
  <c r="AC69" i="8"/>
  <c r="AD69" i="8" s="1"/>
  <c r="AI69" i="8" s="1"/>
  <c r="AQ69" i="8" s="1"/>
  <c r="N69" i="8"/>
  <c r="O69" i="8"/>
  <c r="AJ68" i="8"/>
  <c r="AR68" i="8" s="1"/>
  <c r="AF68" i="8"/>
  <c r="AN68" i="8" s="1"/>
  <c r="AG68" i="8"/>
  <c r="AO68" i="8" s="1"/>
  <c r="V68" i="8"/>
  <c r="AL68" i="8"/>
  <c r="AT68" i="8" s="1"/>
  <c r="AM68" i="8"/>
  <c r="AU68" i="8" s="1"/>
  <c r="AM69" i="8" l="1"/>
  <c r="AU69" i="8" s="1"/>
  <c r="AL69" i="8"/>
  <c r="AT69" i="8" s="1"/>
  <c r="N70" i="8"/>
  <c r="AC70" i="8"/>
  <c r="AD70" i="8" s="1"/>
  <c r="AI70" i="8" s="1"/>
  <c r="AQ70" i="8" s="1"/>
  <c r="M70" i="8"/>
  <c r="Y70" i="8" s="1"/>
  <c r="AA70" i="8" s="1"/>
  <c r="O70" i="8"/>
  <c r="L71" i="8"/>
  <c r="AG69" i="8"/>
  <c r="AO69" i="8" s="1"/>
  <c r="AJ69" i="8"/>
  <c r="AR69" i="8" s="1"/>
  <c r="V69" i="8"/>
  <c r="AF69" i="8"/>
  <c r="AN69" i="8" s="1"/>
  <c r="AL70" i="8" l="1"/>
  <c r="AT70" i="8" s="1"/>
  <c r="AM70" i="8"/>
  <c r="AU70" i="8" s="1"/>
  <c r="O71" i="8"/>
  <c r="AC71" i="8"/>
  <c r="AD71" i="8" s="1"/>
  <c r="AI71" i="8" s="1"/>
  <c r="AQ71" i="8" s="1"/>
  <c r="L72" i="8"/>
  <c r="M71" i="8"/>
  <c r="Y71" i="8" s="1"/>
  <c r="AA71" i="8" s="1"/>
  <c r="N71" i="8"/>
  <c r="V70" i="8"/>
  <c r="AJ70" i="8"/>
  <c r="AR70" i="8" s="1"/>
  <c r="AF70" i="8"/>
  <c r="AN70" i="8" s="1"/>
  <c r="AG70" i="8"/>
  <c r="AO70" i="8" s="1"/>
  <c r="AJ71" i="8" l="1"/>
  <c r="AR71" i="8" s="1"/>
  <c r="V71" i="8"/>
  <c r="AF71" i="8"/>
  <c r="AN71" i="8" s="1"/>
  <c r="AG71" i="8"/>
  <c r="AO71" i="8" s="1"/>
  <c r="AM71" i="8"/>
  <c r="AU71" i="8" s="1"/>
  <c r="AL71" i="8"/>
  <c r="AT71" i="8" s="1"/>
  <c r="N72" i="8"/>
  <c r="O72" i="8"/>
  <c r="M72" i="8"/>
  <c r="Y72" i="8" s="1"/>
  <c r="AA72" i="8" s="1"/>
  <c r="AC72" i="8" s="1"/>
  <c r="AD72" i="8" s="1"/>
  <c r="AI72" i="8" s="1"/>
  <c r="AQ72" i="8" s="1"/>
  <c r="L73" i="8"/>
  <c r="O73" i="8" l="1"/>
  <c r="L74" i="8"/>
  <c r="M73" i="8"/>
  <c r="Y73" i="8" s="1"/>
  <c r="AA73" i="8" s="1"/>
  <c r="AC73" i="8" s="1"/>
  <c r="AD73" i="8" s="1"/>
  <c r="AI73" i="8" s="1"/>
  <c r="AQ73" i="8" s="1"/>
  <c r="N73" i="8"/>
  <c r="AG72" i="8"/>
  <c r="AO72" i="8" s="1"/>
  <c r="AF72" i="8"/>
  <c r="AN72" i="8" s="1"/>
  <c r="V72" i="8"/>
  <c r="AJ72" i="8"/>
  <c r="AR72" i="8" s="1"/>
  <c r="AM72" i="8"/>
  <c r="AU72" i="8" s="1"/>
  <c r="AL72" i="8"/>
  <c r="AT72" i="8" s="1"/>
  <c r="N74" i="8" l="1"/>
  <c r="O74" i="8"/>
  <c r="M74" i="8"/>
  <c r="Y74" i="8" s="1"/>
  <c r="AA74" i="8" s="1"/>
  <c r="AC74" i="8" s="1"/>
  <c r="AD74" i="8" s="1"/>
  <c r="AI74" i="8" s="1"/>
  <c r="AQ74" i="8" s="1"/>
  <c r="L75" i="8"/>
  <c r="AF73" i="8"/>
  <c r="AN73" i="8" s="1"/>
  <c r="V73" i="8"/>
  <c r="AJ73" i="8"/>
  <c r="AR73" i="8" s="1"/>
  <c r="AG73" i="8"/>
  <c r="AO73" i="8" s="1"/>
  <c r="AM73" i="8"/>
  <c r="AU73" i="8" s="1"/>
  <c r="AL73" i="8"/>
  <c r="AT73" i="8" s="1"/>
  <c r="AG74" i="8" l="1"/>
  <c r="AO74" i="8" s="1"/>
  <c r="AJ74" i="8"/>
  <c r="AR74" i="8" s="1"/>
  <c r="AF74" i="8"/>
  <c r="AN74" i="8" s="1"/>
  <c r="V74" i="8"/>
  <c r="AM74" i="8"/>
  <c r="AU74" i="8" s="1"/>
  <c r="AL74" i="8"/>
  <c r="AT74" i="8" s="1"/>
  <c r="N75" i="8"/>
  <c r="L76" i="8"/>
  <c r="M75" i="8"/>
  <c r="Y75" i="8" s="1"/>
  <c r="AA75" i="8" s="1"/>
  <c r="AC75" i="8" s="1"/>
  <c r="AD75" i="8" s="1"/>
  <c r="AI75" i="8" s="1"/>
  <c r="AQ75" i="8" s="1"/>
  <c r="O75" i="8"/>
  <c r="V75" i="8" l="1"/>
  <c r="AJ75" i="8"/>
  <c r="AR75" i="8" s="1"/>
  <c r="AF75" i="8"/>
  <c r="AN75" i="8" s="1"/>
  <c r="AG75" i="8"/>
  <c r="AO75" i="8" s="1"/>
  <c r="M76" i="8"/>
  <c r="Y76" i="8" s="1"/>
  <c r="AA76" i="8" s="1"/>
  <c r="L77" i="8"/>
  <c r="AC76" i="8"/>
  <c r="AD76" i="8" s="1"/>
  <c r="AI76" i="8" s="1"/>
  <c r="AQ76" i="8" s="1"/>
  <c r="O76" i="8"/>
  <c r="N76" i="8"/>
  <c r="AL75" i="8"/>
  <c r="AT75" i="8" s="1"/>
  <c r="AM75" i="8"/>
  <c r="AU75" i="8" s="1"/>
  <c r="AL76" i="8" l="1"/>
  <c r="AT76" i="8" s="1"/>
  <c r="AM76" i="8"/>
  <c r="AU76" i="8" s="1"/>
  <c r="M77" i="8"/>
  <c r="Y77" i="8" s="1"/>
  <c r="AA77" i="8" s="1"/>
  <c r="AC77" i="8" s="1"/>
  <c r="AD77" i="8" s="1"/>
  <c r="AI77" i="8" s="1"/>
  <c r="AQ77" i="8" s="1"/>
  <c r="N77" i="8"/>
  <c r="O77" i="8"/>
  <c r="L78" i="8"/>
  <c r="AG76" i="8"/>
  <c r="AO76" i="8" s="1"/>
  <c r="AJ76" i="8"/>
  <c r="AR76" i="8" s="1"/>
  <c r="AF76" i="8"/>
  <c r="AN76" i="8" s="1"/>
  <c r="V76" i="8"/>
  <c r="O78" i="8" l="1"/>
  <c r="N78" i="8"/>
  <c r="M78" i="8"/>
  <c r="Y78" i="8" s="1"/>
  <c r="AA78" i="8" s="1"/>
  <c r="AC78" i="8" s="1"/>
  <c r="AD78" i="8" s="1"/>
  <c r="AI78" i="8" s="1"/>
  <c r="AQ78" i="8" s="1"/>
  <c r="L79" i="8"/>
  <c r="V77" i="8"/>
  <c r="AG77" i="8"/>
  <c r="AO77" i="8" s="1"/>
  <c r="AJ77" i="8"/>
  <c r="AR77" i="8" s="1"/>
  <c r="AF77" i="8"/>
  <c r="AN77" i="8" s="1"/>
  <c r="AL77" i="8"/>
  <c r="AT77" i="8" s="1"/>
  <c r="AM77" i="8"/>
  <c r="AU77" i="8" s="1"/>
  <c r="AL78" i="8" l="1"/>
  <c r="AT78" i="8" s="1"/>
  <c r="AM78" i="8"/>
  <c r="AU78" i="8" s="1"/>
  <c r="AJ78" i="8"/>
  <c r="AR78" i="8" s="1"/>
  <c r="AF78" i="8"/>
  <c r="AN78" i="8" s="1"/>
  <c r="AG78" i="8"/>
  <c r="AO78" i="8" s="1"/>
  <c r="V78" i="8"/>
  <c r="N79" i="8"/>
  <c r="M79" i="8"/>
  <c r="Y79" i="8" s="1"/>
  <c r="AA79" i="8" s="1"/>
  <c r="AC79" i="8" s="1"/>
  <c r="AD79" i="8" s="1"/>
  <c r="AI79" i="8" s="1"/>
  <c r="AQ79" i="8" s="1"/>
  <c r="O79" i="8"/>
  <c r="L80" i="8"/>
  <c r="M80" i="8" l="1"/>
  <c r="Y80" i="8" s="1"/>
  <c r="AA80" i="8" s="1"/>
  <c r="AC80" i="8" s="1"/>
  <c r="AD80" i="8" s="1"/>
  <c r="AI80" i="8" s="1"/>
  <c r="AQ80" i="8" s="1"/>
  <c r="N80" i="8"/>
  <c r="O80" i="8"/>
  <c r="L81" i="8"/>
  <c r="AL79" i="8"/>
  <c r="AT79" i="8" s="1"/>
  <c r="AM79" i="8"/>
  <c r="AU79" i="8" s="1"/>
  <c r="AF79" i="8"/>
  <c r="AN79" i="8" s="1"/>
  <c r="AG79" i="8"/>
  <c r="AO79" i="8" s="1"/>
  <c r="V79" i="8"/>
  <c r="AJ79" i="8"/>
  <c r="AR79" i="8" s="1"/>
  <c r="AM80" i="8" l="1"/>
  <c r="AU80" i="8" s="1"/>
  <c r="AL80" i="8"/>
  <c r="AT80" i="8" s="1"/>
  <c r="M81" i="8"/>
  <c r="Y81" i="8" s="1"/>
  <c r="AA81" i="8" s="1"/>
  <c r="AC81" i="8" s="1"/>
  <c r="AD81" i="8" s="1"/>
  <c r="AI81" i="8" s="1"/>
  <c r="AQ81" i="8" s="1"/>
  <c r="N81" i="8"/>
  <c r="L82" i="8"/>
  <c r="O81" i="8"/>
  <c r="AF80" i="8"/>
  <c r="AN80" i="8" s="1"/>
  <c r="V80" i="8"/>
  <c r="AG80" i="8"/>
  <c r="AO80" i="8" s="1"/>
  <c r="AJ80" i="8"/>
  <c r="AR80" i="8" s="1"/>
  <c r="AG81" i="8" l="1"/>
  <c r="AO81" i="8" s="1"/>
  <c r="AF81" i="8"/>
  <c r="AN81" i="8" s="1"/>
  <c r="V81" i="8"/>
  <c r="AJ81" i="8"/>
  <c r="AR81" i="8" s="1"/>
  <c r="N82" i="8"/>
  <c r="L83" i="8"/>
  <c r="M82" i="8"/>
  <c r="Y82" i="8" s="1"/>
  <c r="AA82" i="8" s="1"/>
  <c r="AC82" i="8" s="1"/>
  <c r="AD82" i="8" s="1"/>
  <c r="AI82" i="8" s="1"/>
  <c r="AQ82" i="8" s="1"/>
  <c r="O82" i="8"/>
  <c r="AL81" i="8"/>
  <c r="AT81" i="8" s="1"/>
  <c r="AM81" i="8"/>
  <c r="AU81" i="8" s="1"/>
  <c r="V82" i="8" l="1"/>
  <c r="AF82" i="8"/>
  <c r="AN82" i="8" s="1"/>
  <c r="AJ82" i="8"/>
  <c r="AR82" i="8" s="1"/>
  <c r="AG82" i="8"/>
  <c r="AO82" i="8" s="1"/>
  <c r="M83" i="8"/>
  <c r="Y83" i="8" s="1"/>
  <c r="AA83" i="8" s="1"/>
  <c r="L84" i="8"/>
  <c r="AC83" i="8"/>
  <c r="AD83" i="8" s="1"/>
  <c r="AI83" i="8" s="1"/>
  <c r="AQ83" i="8" s="1"/>
  <c r="N83" i="8"/>
  <c r="O83" i="8"/>
  <c r="AL82" i="8"/>
  <c r="AT82" i="8" s="1"/>
  <c r="AM82" i="8"/>
  <c r="AU82" i="8" s="1"/>
  <c r="AG83" i="8" l="1"/>
  <c r="AO83" i="8" s="1"/>
  <c r="AJ83" i="8"/>
  <c r="AR83" i="8" s="1"/>
  <c r="AF83" i="8"/>
  <c r="AN83" i="8" s="1"/>
  <c r="V83" i="8"/>
  <c r="AL83" i="8"/>
  <c r="AT83" i="8" s="1"/>
  <c r="AM83" i="8"/>
  <c r="AU83" i="8" s="1"/>
  <c r="L85" i="8"/>
  <c r="M84" i="8"/>
  <c r="Y84" i="8" s="1"/>
  <c r="AA84" i="8" s="1"/>
  <c r="N84" i="8"/>
  <c r="AC84" i="8"/>
  <c r="AD84" i="8" s="1"/>
  <c r="AI84" i="8" s="1"/>
  <c r="AQ84" i="8" s="1"/>
  <c r="O84" i="8"/>
  <c r="V84" i="8" l="1"/>
  <c r="AG84" i="8"/>
  <c r="AO84" i="8" s="1"/>
  <c r="AJ84" i="8"/>
  <c r="AR84" i="8" s="1"/>
  <c r="AF84" i="8"/>
  <c r="AN84" i="8" s="1"/>
  <c r="AL84" i="8"/>
  <c r="AT84" i="8" s="1"/>
  <c r="AM84" i="8"/>
  <c r="AU84" i="8" s="1"/>
  <c r="O85" i="8"/>
  <c r="N85" i="8"/>
  <c r="L86" i="8"/>
  <c r="M85" i="8"/>
  <c r="Y85" i="8" s="1"/>
  <c r="AA85" i="8" s="1"/>
  <c r="AC85" i="8"/>
  <c r="AD85" i="8" s="1"/>
  <c r="AI85" i="8" s="1"/>
  <c r="AQ85" i="8" s="1"/>
  <c r="N86" i="8" l="1"/>
  <c r="M86" i="8"/>
  <c r="Y86" i="8" s="1"/>
  <c r="AA86" i="8" s="1"/>
  <c r="AC86" i="8" s="1"/>
  <c r="AD86" i="8" s="1"/>
  <c r="AI86" i="8" s="1"/>
  <c r="AQ86" i="8" s="1"/>
  <c r="O86" i="8"/>
  <c r="L87" i="8"/>
  <c r="AL85" i="8"/>
  <c r="AT85" i="8" s="1"/>
  <c r="AM85" i="8"/>
  <c r="AU85" i="8" s="1"/>
  <c r="AJ85" i="8"/>
  <c r="AR85" i="8" s="1"/>
  <c r="AF85" i="8"/>
  <c r="AN85" i="8" s="1"/>
  <c r="AG85" i="8"/>
  <c r="AO85" i="8" s="1"/>
  <c r="V85" i="8"/>
  <c r="AL86" i="8" l="1"/>
  <c r="AT86" i="8" s="1"/>
  <c r="AM86" i="8"/>
  <c r="AU86" i="8" s="1"/>
  <c r="AC87" i="8"/>
  <c r="AD87" i="8" s="1"/>
  <c r="AI87" i="8" s="1"/>
  <c r="AQ87" i="8" s="1"/>
  <c r="M87" i="8"/>
  <c r="Y87" i="8" s="1"/>
  <c r="AA87" i="8" s="1"/>
  <c r="N87" i="8"/>
  <c r="O87" i="8"/>
  <c r="L88" i="8"/>
  <c r="AF86" i="8"/>
  <c r="AN86" i="8" s="1"/>
  <c r="AG86" i="8"/>
  <c r="AO86" i="8" s="1"/>
  <c r="V86" i="8"/>
  <c r="AJ86" i="8"/>
  <c r="AR86" i="8" s="1"/>
  <c r="L89" i="8" l="1"/>
  <c r="M88" i="8"/>
  <c r="Y88" i="8" s="1"/>
  <c r="AA88" i="8" s="1"/>
  <c r="AC88" i="8" s="1"/>
  <c r="AD88" i="8" s="1"/>
  <c r="AI88" i="8" s="1"/>
  <c r="AQ88" i="8" s="1"/>
  <c r="N88" i="8"/>
  <c r="O88" i="8"/>
  <c r="AF87" i="8"/>
  <c r="AN87" i="8" s="1"/>
  <c r="V87" i="8"/>
  <c r="AG87" i="8"/>
  <c r="AO87" i="8" s="1"/>
  <c r="AJ87" i="8"/>
  <c r="AR87" i="8" s="1"/>
  <c r="AM87" i="8"/>
  <c r="AU87" i="8" s="1"/>
  <c r="AL87" i="8"/>
  <c r="AT87" i="8" s="1"/>
  <c r="AL88" i="8" l="1"/>
  <c r="AT88" i="8" s="1"/>
  <c r="AM88" i="8"/>
  <c r="AU88" i="8" s="1"/>
  <c r="N89" i="8"/>
  <c r="M89" i="8"/>
  <c r="Y89" i="8" s="1"/>
  <c r="AA89" i="8" s="1"/>
  <c r="AC89" i="8" s="1"/>
  <c r="AD89" i="8" s="1"/>
  <c r="AI89" i="8" s="1"/>
  <c r="AQ89" i="8" s="1"/>
  <c r="L90" i="8"/>
  <c r="O89" i="8"/>
  <c r="AF88" i="8"/>
  <c r="AN88" i="8" s="1"/>
  <c r="AG88" i="8"/>
  <c r="AO88" i="8" s="1"/>
  <c r="AJ88" i="8"/>
  <c r="AR88" i="8" s="1"/>
  <c r="V88" i="8"/>
  <c r="V89" i="8" l="1"/>
  <c r="AF89" i="8"/>
  <c r="AN89" i="8" s="1"/>
  <c r="AG89" i="8"/>
  <c r="AO89" i="8" s="1"/>
  <c r="AJ89" i="8"/>
  <c r="AR89" i="8" s="1"/>
  <c r="M90" i="8"/>
  <c r="Y90" i="8" s="1"/>
  <c r="AA90" i="8" s="1"/>
  <c r="L91" i="8"/>
  <c r="AC90" i="8"/>
  <c r="AD90" i="8" s="1"/>
  <c r="AI90" i="8" s="1"/>
  <c r="AQ90" i="8" s="1"/>
  <c r="N90" i="8"/>
  <c r="O90" i="8"/>
  <c r="AL89" i="8"/>
  <c r="AT89" i="8" s="1"/>
  <c r="AM89" i="8"/>
  <c r="AU89" i="8" s="1"/>
  <c r="AG90" i="8" l="1"/>
  <c r="AO90" i="8" s="1"/>
  <c r="AJ90" i="8"/>
  <c r="AR90" i="8" s="1"/>
  <c r="V90" i="8"/>
  <c r="AF90" i="8"/>
  <c r="AN90" i="8" s="1"/>
  <c r="L92" i="8"/>
  <c r="N91" i="8"/>
  <c r="O91" i="8"/>
  <c r="M91" i="8"/>
  <c r="Y91" i="8" s="1"/>
  <c r="AA91" i="8" s="1"/>
  <c r="AC91" i="8" s="1"/>
  <c r="AD91" i="8" s="1"/>
  <c r="AI91" i="8" s="1"/>
  <c r="AQ91" i="8" s="1"/>
  <c r="AL90" i="8"/>
  <c r="AT90" i="8" s="1"/>
  <c r="AM90" i="8"/>
  <c r="AU90" i="8" s="1"/>
  <c r="V91" i="8" l="1"/>
  <c r="AG91" i="8"/>
  <c r="AO91" i="8" s="1"/>
  <c r="AJ91" i="8"/>
  <c r="AR91" i="8" s="1"/>
  <c r="AF91" i="8"/>
  <c r="AN91" i="8" s="1"/>
  <c r="AL91" i="8"/>
  <c r="AT91" i="8" s="1"/>
  <c r="AM91" i="8"/>
  <c r="AU91" i="8" s="1"/>
  <c r="O92" i="8"/>
  <c r="N92" i="8"/>
  <c r="L93" i="8"/>
  <c r="M92" i="8"/>
  <c r="Y92" i="8" s="1"/>
  <c r="AA92" i="8" s="1"/>
  <c r="AC92" i="8" s="1"/>
  <c r="AD92" i="8" s="1"/>
  <c r="AI92" i="8" s="1"/>
  <c r="AQ92" i="8" s="1"/>
  <c r="N93" i="8" l="1"/>
  <c r="M93" i="8"/>
  <c r="Y93" i="8" s="1"/>
  <c r="AA93" i="8" s="1"/>
  <c r="AC93" i="8" s="1"/>
  <c r="AD93" i="8" s="1"/>
  <c r="AI93" i="8" s="1"/>
  <c r="AQ93" i="8" s="1"/>
  <c r="O93" i="8"/>
  <c r="L94" i="8"/>
  <c r="AL92" i="8"/>
  <c r="AT92" i="8" s="1"/>
  <c r="AM92" i="8"/>
  <c r="AU92" i="8" s="1"/>
  <c r="AJ92" i="8"/>
  <c r="AR92" i="8" s="1"/>
  <c r="AF92" i="8"/>
  <c r="AN92" i="8" s="1"/>
  <c r="AG92" i="8"/>
  <c r="AO92" i="8" s="1"/>
  <c r="V92" i="8"/>
  <c r="AL93" i="8" l="1"/>
  <c r="AT93" i="8" s="1"/>
  <c r="AM93" i="8"/>
  <c r="AU93" i="8" s="1"/>
  <c r="AC94" i="8"/>
  <c r="AD94" i="8" s="1"/>
  <c r="AI94" i="8" s="1"/>
  <c r="AQ94" i="8" s="1"/>
  <c r="M94" i="8"/>
  <c r="Y94" i="8" s="1"/>
  <c r="AA94" i="8" s="1"/>
  <c r="O94" i="8"/>
  <c r="L95" i="8"/>
  <c r="N94" i="8"/>
  <c r="AF93" i="8"/>
  <c r="AN93" i="8" s="1"/>
  <c r="AG93" i="8"/>
  <c r="AO93" i="8" s="1"/>
  <c r="V93" i="8"/>
  <c r="AJ93" i="8"/>
  <c r="AR93" i="8" s="1"/>
  <c r="AM94" i="8" l="1"/>
  <c r="AU94" i="8" s="1"/>
  <c r="AL94" i="8"/>
  <c r="AT94" i="8" s="1"/>
  <c r="AC95" i="8"/>
  <c r="AD95" i="8" s="1"/>
  <c r="AI95" i="8" s="1"/>
  <c r="AQ95" i="8" s="1"/>
  <c r="L96" i="8"/>
  <c r="O95" i="8"/>
  <c r="M95" i="8"/>
  <c r="Y95" i="8" s="1"/>
  <c r="AA95" i="8" s="1"/>
  <c r="N95" i="8"/>
  <c r="AF94" i="8"/>
  <c r="AN94" i="8" s="1"/>
  <c r="V94" i="8"/>
  <c r="AG94" i="8"/>
  <c r="AO94" i="8" s="1"/>
  <c r="AJ94" i="8"/>
  <c r="AR94" i="8" s="1"/>
  <c r="AL95" i="8" l="1"/>
  <c r="AT95" i="8" s="1"/>
  <c r="AM95" i="8"/>
  <c r="AU95" i="8" s="1"/>
  <c r="AJ95" i="8"/>
  <c r="AR95" i="8" s="1"/>
  <c r="AF95" i="8"/>
  <c r="AN95" i="8" s="1"/>
  <c r="AG95" i="8"/>
  <c r="AO95" i="8" s="1"/>
  <c r="V95" i="8"/>
  <c r="N96" i="8"/>
  <c r="M96" i="8"/>
  <c r="Y96" i="8" s="1"/>
  <c r="AA96" i="8" s="1"/>
  <c r="AC96" i="8" s="1"/>
  <c r="AD96" i="8" s="1"/>
  <c r="AI96" i="8" s="1"/>
  <c r="AQ96" i="8" s="1"/>
  <c r="L97" i="8"/>
  <c r="O96" i="8"/>
  <c r="AJ96" i="8" l="1"/>
  <c r="AR96" i="8" s="1"/>
  <c r="V96" i="8"/>
  <c r="AF96" i="8"/>
  <c r="AN96" i="8" s="1"/>
  <c r="AG96" i="8"/>
  <c r="AO96" i="8" s="1"/>
  <c r="L98" i="8"/>
  <c r="O97" i="8"/>
  <c r="M97" i="8"/>
  <c r="Y97" i="8" s="1"/>
  <c r="AA97" i="8" s="1"/>
  <c r="N97" i="8"/>
  <c r="AC97" i="8"/>
  <c r="AD97" i="8" s="1"/>
  <c r="AI97" i="8" s="1"/>
  <c r="AQ97" i="8" s="1"/>
  <c r="AL96" i="8"/>
  <c r="AT96" i="8" s="1"/>
  <c r="AM96" i="8"/>
  <c r="AU96" i="8" s="1"/>
  <c r="AM97" i="8" l="1"/>
  <c r="AU97" i="8" s="1"/>
  <c r="AL97" i="8"/>
  <c r="AT97" i="8" s="1"/>
  <c r="AG97" i="8"/>
  <c r="AO97" i="8" s="1"/>
  <c r="AF97" i="8"/>
  <c r="AN97" i="8" s="1"/>
  <c r="AJ97" i="8"/>
  <c r="AR97" i="8" s="1"/>
  <c r="V97" i="8"/>
  <c r="N98" i="8"/>
  <c r="L99" i="8"/>
  <c r="M98" i="8"/>
  <c r="Y98" i="8" s="1"/>
  <c r="AA98" i="8" s="1"/>
  <c r="AC98" i="8" s="1"/>
  <c r="AD98" i="8" s="1"/>
  <c r="AI98" i="8" s="1"/>
  <c r="AQ98" i="8" s="1"/>
  <c r="O98" i="8"/>
  <c r="V98" i="8" l="1"/>
  <c r="AF98" i="8"/>
  <c r="AN98" i="8" s="1"/>
  <c r="AG98" i="8"/>
  <c r="AO98" i="8" s="1"/>
  <c r="AJ98" i="8"/>
  <c r="AR98" i="8" s="1"/>
  <c r="M99" i="8"/>
  <c r="Y99" i="8" s="1"/>
  <c r="AA99" i="8" s="1"/>
  <c r="L100" i="8"/>
  <c r="AC99" i="8"/>
  <c r="AD99" i="8" s="1"/>
  <c r="AI99" i="8" s="1"/>
  <c r="AQ99" i="8" s="1"/>
  <c r="O99" i="8"/>
  <c r="N99" i="8"/>
  <c r="AM98" i="8"/>
  <c r="AU98" i="8" s="1"/>
  <c r="AL98" i="8"/>
  <c r="AT98" i="8" s="1"/>
  <c r="AL99" i="8" l="1"/>
  <c r="AT99" i="8" s="1"/>
  <c r="AM99" i="8"/>
  <c r="AU99" i="8" s="1"/>
  <c r="AJ99" i="8"/>
  <c r="AR99" i="8" s="1"/>
  <c r="AG99" i="8"/>
  <c r="AO99" i="8" s="1"/>
  <c r="AF99" i="8"/>
  <c r="AN99" i="8" s="1"/>
  <c r="V99" i="8"/>
  <c r="N100" i="8"/>
  <c r="M100" i="8"/>
  <c r="Y100" i="8" s="1"/>
  <c r="AA100" i="8" s="1"/>
  <c r="AC100" i="8" s="1"/>
  <c r="AD100" i="8" s="1"/>
  <c r="AI100" i="8" s="1"/>
  <c r="AQ100" i="8" s="1"/>
  <c r="O100" i="8"/>
  <c r="L101" i="8"/>
  <c r="N101" i="8" l="1"/>
  <c r="AC101" i="8"/>
  <c r="AD101" i="8" s="1"/>
  <c r="AI101" i="8" s="1"/>
  <c r="AQ101" i="8" s="1"/>
  <c r="L102" i="8"/>
  <c r="O101" i="8"/>
  <c r="M101" i="8"/>
  <c r="Y101" i="8" s="1"/>
  <c r="AA101" i="8" s="1"/>
  <c r="AJ100" i="8"/>
  <c r="AR100" i="8" s="1"/>
  <c r="V100" i="8"/>
  <c r="AF100" i="8"/>
  <c r="AN100" i="8" s="1"/>
  <c r="AG100" i="8"/>
  <c r="AO100" i="8" s="1"/>
  <c r="AM100" i="8"/>
  <c r="AU100" i="8" s="1"/>
  <c r="AL100" i="8"/>
  <c r="AT100" i="8" s="1"/>
  <c r="L103" i="8" l="1"/>
  <c r="M102" i="8"/>
  <c r="Y102" i="8" s="1"/>
  <c r="AA102" i="8" s="1"/>
  <c r="AC102" i="8" s="1"/>
  <c r="AD102" i="8" s="1"/>
  <c r="AI102" i="8" s="1"/>
  <c r="AQ102" i="8" s="1"/>
  <c r="N102" i="8"/>
  <c r="O102" i="8"/>
  <c r="AL101" i="8"/>
  <c r="AT101" i="8" s="1"/>
  <c r="AM101" i="8"/>
  <c r="AU101" i="8" s="1"/>
  <c r="AF101" i="8"/>
  <c r="AN101" i="8" s="1"/>
  <c r="AJ101" i="8"/>
  <c r="AR101" i="8" s="1"/>
  <c r="V101" i="8"/>
  <c r="AG101" i="8"/>
  <c r="AO101" i="8" s="1"/>
  <c r="AL102" i="8" l="1"/>
  <c r="AT102" i="8" s="1"/>
  <c r="AM102" i="8"/>
  <c r="AU102" i="8" s="1"/>
  <c r="L104" i="8"/>
  <c r="N103" i="8"/>
  <c r="O103" i="8"/>
  <c r="M103" i="8"/>
  <c r="Y103" i="8" s="1"/>
  <c r="AA103" i="8" s="1"/>
  <c r="AC103" i="8" s="1"/>
  <c r="AD103" i="8" s="1"/>
  <c r="AI103" i="8" s="1"/>
  <c r="AQ103" i="8" s="1"/>
  <c r="AG102" i="8"/>
  <c r="AO102" i="8" s="1"/>
  <c r="AJ102" i="8"/>
  <c r="AR102" i="8" s="1"/>
  <c r="V102" i="8"/>
  <c r="AF102" i="8"/>
  <c r="AN102" i="8" s="1"/>
  <c r="AL103" i="8" l="1"/>
  <c r="AT103" i="8" s="1"/>
  <c r="AM103" i="8"/>
  <c r="AU103" i="8" s="1"/>
  <c r="AF103" i="8"/>
  <c r="AN103" i="8" s="1"/>
  <c r="V103" i="8"/>
  <c r="AJ103" i="8"/>
  <c r="AR103" i="8" s="1"/>
  <c r="AG103" i="8"/>
  <c r="AO103" i="8" s="1"/>
  <c r="M104" i="8"/>
  <c r="Y104" i="8" s="1"/>
  <c r="AA104" i="8" s="1"/>
  <c r="AC104" i="8" s="1"/>
  <c r="AD104" i="8" s="1"/>
  <c r="AI104" i="8" s="1"/>
  <c r="AQ104" i="8" s="1"/>
  <c r="L105" i="8"/>
  <c r="N104" i="8"/>
  <c r="O104" i="8"/>
  <c r="AJ104" i="8" l="1"/>
  <c r="AR104" i="8" s="1"/>
  <c r="AG104" i="8"/>
  <c r="AO104" i="8" s="1"/>
  <c r="AF104" i="8"/>
  <c r="AN104" i="8" s="1"/>
  <c r="V104" i="8"/>
  <c r="AL104" i="8"/>
  <c r="AT104" i="8" s="1"/>
  <c r="AM104" i="8"/>
  <c r="AU104" i="8" s="1"/>
  <c r="N105" i="8"/>
  <c r="L106" i="8"/>
  <c r="O105" i="8"/>
  <c r="M105" i="8"/>
  <c r="Y105" i="8" s="1"/>
  <c r="AA105" i="8" s="1"/>
  <c r="AC105" i="8" s="1"/>
  <c r="AD105" i="8" s="1"/>
  <c r="AI105" i="8" s="1"/>
  <c r="AQ105" i="8" s="1"/>
  <c r="AF105" i="8" l="1"/>
  <c r="AN105" i="8" s="1"/>
  <c r="AG105" i="8"/>
  <c r="AO105" i="8" s="1"/>
  <c r="V105" i="8"/>
  <c r="AJ105" i="8"/>
  <c r="AR105" i="8" s="1"/>
  <c r="M106" i="8"/>
  <c r="Y106" i="8" s="1"/>
  <c r="AA106" i="8" s="1"/>
  <c r="AC106" i="8" s="1"/>
  <c r="AD106" i="8" s="1"/>
  <c r="AI106" i="8" s="1"/>
  <c r="AQ106" i="8" s="1"/>
  <c r="N106" i="8"/>
  <c r="L107" i="8"/>
  <c r="O106" i="8"/>
  <c r="AM105" i="8"/>
  <c r="AU105" i="8" s="1"/>
  <c r="AL105" i="8"/>
  <c r="AT105" i="8" s="1"/>
  <c r="AM106" i="8" l="1"/>
  <c r="AU106" i="8" s="1"/>
  <c r="AL106" i="8"/>
  <c r="AT106" i="8" s="1"/>
  <c r="AG106" i="8"/>
  <c r="AO106" i="8" s="1"/>
  <c r="AF106" i="8"/>
  <c r="AN106" i="8" s="1"/>
  <c r="V106" i="8"/>
  <c r="AJ106" i="8"/>
  <c r="AR106" i="8" s="1"/>
  <c r="L108" i="8"/>
  <c r="N107" i="8"/>
  <c r="O107" i="8"/>
  <c r="M107" i="8"/>
  <c r="Y107" i="8" s="1"/>
  <c r="AA107" i="8" s="1"/>
  <c r="AC107" i="8" s="1"/>
  <c r="AD107" i="8" s="1"/>
  <c r="AI107" i="8" s="1"/>
  <c r="AQ107" i="8" s="1"/>
  <c r="V107" i="8" l="1"/>
  <c r="AF107" i="8"/>
  <c r="AN107" i="8" s="1"/>
  <c r="AG107" i="8"/>
  <c r="AO107" i="8" s="1"/>
  <c r="AJ107" i="8"/>
  <c r="AR107" i="8" s="1"/>
  <c r="AL107" i="8"/>
  <c r="AT107" i="8" s="1"/>
  <c r="AM107" i="8"/>
  <c r="AU107" i="8" s="1"/>
  <c r="O108" i="8"/>
  <c r="L109" i="8"/>
  <c r="M108" i="8"/>
  <c r="Y108" i="8" s="1"/>
  <c r="AA108" i="8" s="1"/>
  <c r="N108" i="8"/>
  <c r="AC108" i="8"/>
  <c r="AD108" i="8" s="1"/>
  <c r="AI108" i="8" s="1"/>
  <c r="AQ108" i="8" s="1"/>
  <c r="L110" i="8" l="1"/>
  <c r="M109" i="8"/>
  <c r="Y109" i="8" s="1"/>
  <c r="AA109" i="8" s="1"/>
  <c r="AC109" i="8"/>
  <c r="AD109" i="8" s="1"/>
  <c r="AI109" i="8" s="1"/>
  <c r="AQ109" i="8" s="1"/>
  <c r="N109" i="8"/>
  <c r="O109" i="8"/>
  <c r="AL108" i="8"/>
  <c r="AT108" i="8" s="1"/>
  <c r="AM108" i="8"/>
  <c r="AU108" i="8" s="1"/>
  <c r="AJ108" i="8"/>
  <c r="AR108" i="8" s="1"/>
  <c r="AG108" i="8"/>
  <c r="AO108" i="8" s="1"/>
  <c r="AF108" i="8"/>
  <c r="AN108" i="8" s="1"/>
  <c r="V108" i="8"/>
  <c r="AG109" i="8" l="1"/>
  <c r="AO109" i="8" s="1"/>
  <c r="AJ109" i="8"/>
  <c r="AR109" i="8" s="1"/>
  <c r="V109" i="8"/>
  <c r="AF109" i="8"/>
  <c r="AN109" i="8" s="1"/>
  <c r="AM109" i="8"/>
  <c r="AU109" i="8" s="1"/>
  <c r="AL109" i="8"/>
  <c r="AT109" i="8" s="1"/>
  <c r="O110" i="8"/>
  <c r="N110" i="8"/>
  <c r="M110" i="8"/>
  <c r="Y110" i="8" s="1"/>
  <c r="AA110" i="8" s="1"/>
  <c r="AC110" i="8" s="1"/>
  <c r="AD110" i="8" s="1"/>
  <c r="AI110" i="8" s="1"/>
  <c r="AQ110" i="8" s="1"/>
  <c r="L111" i="8"/>
  <c r="M111" i="8" l="1"/>
  <c r="Y111" i="8" s="1"/>
  <c r="AA111" i="8" s="1"/>
  <c r="AC111" i="8"/>
  <c r="AD111" i="8" s="1"/>
  <c r="AI111" i="8" s="1"/>
  <c r="AQ111" i="8" s="1"/>
  <c r="O111" i="8"/>
  <c r="N111" i="8"/>
  <c r="L112" i="8"/>
  <c r="AL110" i="8"/>
  <c r="AT110" i="8" s="1"/>
  <c r="AM110" i="8"/>
  <c r="AU110" i="8" s="1"/>
  <c r="AF110" i="8"/>
  <c r="AN110" i="8" s="1"/>
  <c r="AG110" i="8"/>
  <c r="AO110" i="8" s="1"/>
  <c r="V110" i="8"/>
  <c r="AJ110" i="8"/>
  <c r="AR110" i="8" s="1"/>
  <c r="AJ111" i="8" l="1"/>
  <c r="AR111" i="8" s="1"/>
  <c r="AF111" i="8"/>
  <c r="AN111" i="8" s="1"/>
  <c r="V111" i="8"/>
  <c r="AG111" i="8"/>
  <c r="AO111" i="8" s="1"/>
  <c r="N112" i="8"/>
  <c r="AC112" i="8"/>
  <c r="AD112" i="8" s="1"/>
  <c r="AI112" i="8" s="1"/>
  <c r="AQ112" i="8" s="1"/>
  <c r="L113" i="8"/>
  <c r="O112" i="8"/>
  <c r="M112" i="8"/>
  <c r="Y112" i="8" s="1"/>
  <c r="AA112" i="8" s="1"/>
  <c r="AL111" i="8"/>
  <c r="AT111" i="8" s="1"/>
  <c r="AM111" i="8"/>
  <c r="AU111" i="8" s="1"/>
  <c r="AF112" i="8" l="1"/>
  <c r="AN112" i="8" s="1"/>
  <c r="V112" i="8"/>
  <c r="AJ112" i="8"/>
  <c r="AR112" i="8" s="1"/>
  <c r="AG112" i="8"/>
  <c r="AO112" i="8" s="1"/>
  <c r="AL112" i="8"/>
  <c r="AT112" i="8" s="1"/>
  <c r="AM112" i="8"/>
  <c r="AU112" i="8" s="1"/>
  <c r="M113" i="8"/>
  <c r="Y113" i="8" s="1"/>
  <c r="AA113" i="8" s="1"/>
  <c r="AC113" i="8" s="1"/>
  <c r="AD113" i="8" s="1"/>
  <c r="AI113" i="8" s="1"/>
  <c r="AQ113" i="8" s="1"/>
  <c r="N113" i="8"/>
  <c r="O113" i="8"/>
  <c r="L114" i="8"/>
  <c r="M114" i="8" l="1"/>
  <c r="Y114" i="8" s="1"/>
  <c r="AA114" i="8" s="1"/>
  <c r="L115" i="8"/>
  <c r="N114" i="8"/>
  <c r="O114" i="8"/>
  <c r="AC114" i="8"/>
  <c r="AD114" i="8" s="1"/>
  <c r="AI114" i="8" s="1"/>
  <c r="AQ114" i="8" s="1"/>
  <c r="V113" i="8"/>
  <c r="AF113" i="8"/>
  <c r="AN113" i="8" s="1"/>
  <c r="AJ113" i="8"/>
  <c r="AR113" i="8" s="1"/>
  <c r="AG113" i="8"/>
  <c r="AO113" i="8" s="1"/>
  <c r="AM113" i="8"/>
  <c r="AU113" i="8" s="1"/>
  <c r="AL113" i="8"/>
  <c r="AT113" i="8" s="1"/>
  <c r="V114" i="8" l="1"/>
  <c r="AJ114" i="8"/>
  <c r="AR114" i="8" s="1"/>
  <c r="AF114" i="8"/>
  <c r="AN114" i="8" s="1"/>
  <c r="AG114" i="8"/>
  <c r="AO114" i="8" s="1"/>
  <c r="AL114" i="8"/>
  <c r="AT114" i="8" s="1"/>
  <c r="AM114" i="8"/>
  <c r="AU114" i="8" s="1"/>
  <c r="O115" i="8"/>
  <c r="L116" i="8"/>
  <c r="M115" i="8"/>
  <c r="Y115" i="8" s="1"/>
  <c r="AA115" i="8" s="1"/>
  <c r="AC115" i="8" s="1"/>
  <c r="AD115" i="8" s="1"/>
  <c r="AI115" i="8" s="1"/>
  <c r="AQ115" i="8" s="1"/>
  <c r="N115" i="8"/>
  <c r="M116" i="8" l="1"/>
  <c r="Y116" i="8" s="1"/>
  <c r="AA116" i="8" s="1"/>
  <c r="L117" i="8"/>
  <c r="N116" i="8"/>
  <c r="AC116" i="8"/>
  <c r="AD116" i="8" s="1"/>
  <c r="AI116" i="8" s="1"/>
  <c r="AQ116" i="8" s="1"/>
  <c r="O116" i="8"/>
  <c r="AL115" i="8"/>
  <c r="AT115" i="8" s="1"/>
  <c r="AM115" i="8"/>
  <c r="AU115" i="8" s="1"/>
  <c r="AF115" i="8"/>
  <c r="AN115" i="8" s="1"/>
  <c r="V115" i="8"/>
  <c r="AG115" i="8"/>
  <c r="AO115" i="8" s="1"/>
  <c r="AJ115" i="8"/>
  <c r="AR115" i="8" s="1"/>
  <c r="AF116" i="8" l="1"/>
  <c r="AN116" i="8" s="1"/>
  <c r="AG116" i="8"/>
  <c r="AO116" i="8" s="1"/>
  <c r="AJ116" i="8"/>
  <c r="AR116" i="8" s="1"/>
  <c r="V116" i="8"/>
  <c r="AL116" i="8"/>
  <c r="AT116" i="8" s="1"/>
  <c r="AM116" i="8"/>
  <c r="AU116" i="8" s="1"/>
  <c r="N117" i="8"/>
  <c r="M117" i="8"/>
  <c r="Y117" i="8" s="1"/>
  <c r="AA117" i="8" s="1"/>
  <c r="O117" i="8"/>
  <c r="L118" i="8"/>
  <c r="AC117" i="8"/>
  <c r="AD117" i="8" s="1"/>
  <c r="AI117" i="8" s="1"/>
  <c r="AQ117" i="8" s="1"/>
  <c r="M118" i="8" l="1"/>
  <c r="Y118" i="8" s="1"/>
  <c r="AA118" i="8" s="1"/>
  <c r="AC118" i="8" s="1"/>
  <c r="AD118" i="8" s="1"/>
  <c r="AI118" i="8" s="1"/>
  <c r="AQ118" i="8" s="1"/>
  <c r="N118" i="8"/>
  <c r="L119" i="8"/>
  <c r="O118" i="8"/>
  <c r="AF117" i="8"/>
  <c r="AN117" i="8" s="1"/>
  <c r="AG117" i="8"/>
  <c r="AO117" i="8" s="1"/>
  <c r="AJ117" i="8"/>
  <c r="AR117" i="8" s="1"/>
  <c r="V117" i="8"/>
  <c r="AL117" i="8"/>
  <c r="AT117" i="8" s="1"/>
  <c r="AM117" i="8"/>
  <c r="AU117" i="8" s="1"/>
  <c r="M119" i="8" l="1"/>
  <c r="Y119" i="8" s="1"/>
  <c r="AA119" i="8" s="1"/>
  <c r="AC119" i="8"/>
  <c r="AD119" i="8" s="1"/>
  <c r="AI119" i="8" s="1"/>
  <c r="AQ119" i="8" s="1"/>
  <c r="N119" i="8"/>
  <c r="O119" i="8"/>
  <c r="L120" i="8"/>
  <c r="AL118" i="8"/>
  <c r="AT118" i="8" s="1"/>
  <c r="AM118" i="8"/>
  <c r="AU118" i="8" s="1"/>
  <c r="AF118" i="8"/>
  <c r="AN118" i="8" s="1"/>
  <c r="V118" i="8"/>
  <c r="AG118" i="8"/>
  <c r="AO118" i="8" s="1"/>
  <c r="AJ118" i="8"/>
  <c r="AR118" i="8" s="1"/>
  <c r="AL119" i="8" l="1"/>
  <c r="AT119" i="8" s="1"/>
  <c r="AM119" i="8"/>
  <c r="AU119" i="8" s="1"/>
  <c r="M120" i="8"/>
  <c r="Y120" i="8" s="1"/>
  <c r="AA120" i="8" s="1"/>
  <c r="AC120" i="8" s="1"/>
  <c r="AD120" i="8" s="1"/>
  <c r="AI120" i="8" s="1"/>
  <c r="AQ120" i="8" s="1"/>
  <c r="O120" i="8"/>
  <c r="N120" i="8"/>
  <c r="L121" i="8"/>
  <c r="AJ119" i="8"/>
  <c r="AR119" i="8" s="1"/>
  <c r="V119" i="8"/>
  <c r="AG119" i="8"/>
  <c r="AO119" i="8" s="1"/>
  <c r="AF119" i="8"/>
  <c r="AN119" i="8" s="1"/>
  <c r="AM120" i="8" l="1"/>
  <c r="AU120" i="8" s="1"/>
  <c r="AL120" i="8"/>
  <c r="AT120" i="8" s="1"/>
  <c r="AG120" i="8"/>
  <c r="AO120" i="8" s="1"/>
  <c r="AJ120" i="8"/>
  <c r="AR120" i="8" s="1"/>
  <c r="V120" i="8"/>
  <c r="AF120" i="8"/>
  <c r="AN120" i="8" s="1"/>
  <c r="O121" i="8"/>
  <c r="L122" i="8"/>
  <c r="M121" i="8"/>
  <c r="Y121" i="8" s="1"/>
  <c r="AA121" i="8" s="1"/>
  <c r="AC121" i="8" s="1"/>
  <c r="AD121" i="8" s="1"/>
  <c r="AI121" i="8" s="1"/>
  <c r="AQ121" i="8" s="1"/>
  <c r="N121" i="8"/>
  <c r="AL121" i="8" l="1"/>
  <c r="AT121" i="8" s="1"/>
  <c r="AM121" i="8"/>
  <c r="AU121" i="8" s="1"/>
  <c r="O122" i="8"/>
  <c r="L123" i="8"/>
  <c r="N122" i="8"/>
  <c r="M122" i="8"/>
  <c r="Y122" i="8" s="1"/>
  <c r="AA122" i="8" s="1"/>
  <c r="AC122" i="8" s="1"/>
  <c r="AD122" i="8" s="1"/>
  <c r="AI122" i="8" s="1"/>
  <c r="AQ122" i="8" s="1"/>
  <c r="V121" i="8"/>
  <c r="AJ121" i="8"/>
  <c r="AR121" i="8" s="1"/>
  <c r="AF121" i="8"/>
  <c r="AN121" i="8" s="1"/>
  <c r="AG121" i="8"/>
  <c r="AO121" i="8" s="1"/>
  <c r="O123" i="8" l="1"/>
  <c r="L124" i="8"/>
  <c r="M123" i="8"/>
  <c r="Y123" i="8" s="1"/>
  <c r="AA123" i="8" s="1"/>
  <c r="AC123" i="8" s="1"/>
  <c r="AD123" i="8" s="1"/>
  <c r="AI123" i="8" s="1"/>
  <c r="AQ123" i="8" s="1"/>
  <c r="N123" i="8"/>
  <c r="AF122" i="8"/>
  <c r="AN122" i="8" s="1"/>
  <c r="AJ122" i="8"/>
  <c r="AR122" i="8" s="1"/>
  <c r="V122" i="8"/>
  <c r="AG122" i="8"/>
  <c r="AO122" i="8" s="1"/>
  <c r="AL122" i="8"/>
  <c r="AT122" i="8" s="1"/>
  <c r="AM122" i="8"/>
  <c r="AU122" i="8" s="1"/>
  <c r="AM123" i="8" l="1"/>
  <c r="AU123" i="8" s="1"/>
  <c r="AL123" i="8"/>
  <c r="AT123" i="8" s="1"/>
  <c r="N124" i="8"/>
  <c r="AC124" i="8"/>
  <c r="AD124" i="8" s="1"/>
  <c r="AI124" i="8" s="1"/>
  <c r="AQ124" i="8" s="1"/>
  <c r="L125" i="8"/>
  <c r="M124" i="8"/>
  <c r="Y124" i="8" s="1"/>
  <c r="AA124" i="8" s="1"/>
  <c r="O124" i="8"/>
  <c r="AJ123" i="8"/>
  <c r="AR123" i="8" s="1"/>
  <c r="V123" i="8"/>
  <c r="AF123" i="8"/>
  <c r="AN123" i="8" s="1"/>
  <c r="AG123" i="8"/>
  <c r="AO123" i="8" s="1"/>
  <c r="AF124" i="8" l="1"/>
  <c r="AN124" i="8" s="1"/>
  <c r="AJ124" i="8"/>
  <c r="AR124" i="8" s="1"/>
  <c r="V124" i="8"/>
  <c r="AG124" i="8"/>
  <c r="AO124" i="8" s="1"/>
  <c r="N125" i="8"/>
  <c r="O125" i="8"/>
  <c r="M125" i="8"/>
  <c r="Y125" i="8" s="1"/>
  <c r="AA125" i="8" s="1"/>
  <c r="AC125" i="8" s="1"/>
  <c r="AD125" i="8" s="1"/>
  <c r="AI125" i="8" s="1"/>
  <c r="AQ125" i="8" s="1"/>
  <c r="L126" i="8"/>
  <c r="AM124" i="8"/>
  <c r="AU124" i="8" s="1"/>
  <c r="AL124" i="8"/>
  <c r="AT124" i="8" s="1"/>
  <c r="M126" i="8" l="1"/>
  <c r="Y126" i="8" s="1"/>
  <c r="AA126" i="8" s="1"/>
  <c r="AC126" i="8"/>
  <c r="AD126" i="8" s="1"/>
  <c r="AI126" i="8" s="1"/>
  <c r="AQ126" i="8" s="1"/>
  <c r="O126" i="8"/>
  <c r="L127" i="8"/>
  <c r="N126" i="8"/>
  <c r="AJ125" i="8"/>
  <c r="AR125" i="8" s="1"/>
  <c r="AF125" i="8"/>
  <c r="AN125" i="8" s="1"/>
  <c r="AG125" i="8"/>
  <c r="AO125" i="8" s="1"/>
  <c r="V125" i="8"/>
  <c r="AM125" i="8"/>
  <c r="AU125" i="8" s="1"/>
  <c r="AL125" i="8"/>
  <c r="AT125" i="8" s="1"/>
  <c r="M127" i="8" l="1"/>
  <c r="Y127" i="8" s="1"/>
  <c r="AA127" i="8" s="1"/>
  <c r="O127" i="8"/>
  <c r="AC127" i="8"/>
  <c r="AD127" i="8" s="1"/>
  <c r="AI127" i="8" s="1"/>
  <c r="AQ127" i="8" s="1"/>
  <c r="N127" i="8"/>
  <c r="L128" i="8"/>
  <c r="AJ126" i="8"/>
  <c r="AR126" i="8" s="1"/>
  <c r="AG126" i="8"/>
  <c r="AO126" i="8" s="1"/>
  <c r="V126" i="8"/>
  <c r="AF126" i="8"/>
  <c r="AN126" i="8" s="1"/>
  <c r="AL126" i="8"/>
  <c r="AT126" i="8" s="1"/>
  <c r="AM126" i="8"/>
  <c r="AU126" i="8" s="1"/>
  <c r="AL127" i="8" l="1"/>
  <c r="AT127" i="8" s="1"/>
  <c r="AM127" i="8"/>
  <c r="AU127" i="8" s="1"/>
  <c r="AJ127" i="8"/>
  <c r="AR127" i="8" s="1"/>
  <c r="AF127" i="8"/>
  <c r="AN127" i="8" s="1"/>
  <c r="AG127" i="8"/>
  <c r="AO127" i="8" s="1"/>
  <c r="V127" i="8"/>
  <c r="O128" i="8"/>
  <c r="N128" i="8"/>
  <c r="M128" i="8"/>
  <c r="Y128" i="8" s="1"/>
  <c r="AA128" i="8" s="1"/>
  <c r="AC128" i="8" s="1"/>
  <c r="AD128" i="8" s="1"/>
  <c r="AI128" i="8" s="1"/>
  <c r="AQ128" i="8" s="1"/>
  <c r="L129" i="8"/>
  <c r="O129" i="8" l="1"/>
  <c r="N129" i="8"/>
  <c r="L130" i="8"/>
  <c r="M129" i="8"/>
  <c r="Y129" i="8" s="1"/>
  <c r="AA129" i="8" s="1"/>
  <c r="AC129" i="8" s="1"/>
  <c r="AD129" i="8" s="1"/>
  <c r="AI129" i="8" s="1"/>
  <c r="AQ129" i="8" s="1"/>
  <c r="AL128" i="8"/>
  <c r="AT128" i="8" s="1"/>
  <c r="AM128" i="8"/>
  <c r="AU128" i="8" s="1"/>
  <c r="V128" i="8"/>
  <c r="AJ128" i="8"/>
  <c r="AR128" i="8" s="1"/>
  <c r="AF128" i="8"/>
  <c r="AN128" i="8" s="1"/>
  <c r="AG128" i="8"/>
  <c r="AO128" i="8" s="1"/>
  <c r="O130" i="8" l="1"/>
  <c r="M130" i="8"/>
  <c r="Y130" i="8" s="1"/>
  <c r="AA130" i="8" s="1"/>
  <c r="AC130" i="8" s="1"/>
  <c r="AD130" i="8" s="1"/>
  <c r="AI130" i="8" s="1"/>
  <c r="AQ130" i="8" s="1"/>
  <c r="L131" i="8"/>
  <c r="N130" i="8"/>
  <c r="AL129" i="8"/>
  <c r="AT129" i="8" s="1"/>
  <c r="AM129" i="8"/>
  <c r="AU129" i="8" s="1"/>
  <c r="V129" i="8"/>
  <c r="AF129" i="8"/>
  <c r="AN129" i="8" s="1"/>
  <c r="AG129" i="8"/>
  <c r="AO129" i="8" s="1"/>
  <c r="AJ129" i="8"/>
  <c r="AR129" i="8" s="1"/>
  <c r="AC131" i="8" l="1"/>
  <c r="AD131" i="8" s="1"/>
  <c r="AI131" i="8" s="1"/>
  <c r="AQ131" i="8" s="1"/>
  <c r="M131" i="8"/>
  <c r="Y131" i="8" s="1"/>
  <c r="AA131" i="8" s="1"/>
  <c r="O131" i="8"/>
  <c r="L132" i="8"/>
  <c r="N131" i="8"/>
  <c r="AF130" i="8"/>
  <c r="AN130" i="8" s="1"/>
  <c r="V130" i="8"/>
  <c r="AJ130" i="8"/>
  <c r="AR130" i="8" s="1"/>
  <c r="AG130" i="8"/>
  <c r="AO130" i="8" s="1"/>
  <c r="AM130" i="8"/>
  <c r="AU130" i="8" s="1"/>
  <c r="AL130" i="8"/>
  <c r="AT130" i="8" s="1"/>
  <c r="AL131" i="8" l="1"/>
  <c r="AT131" i="8" s="1"/>
  <c r="AM131" i="8"/>
  <c r="AU131" i="8" s="1"/>
  <c r="L133" i="8"/>
  <c r="M132" i="8"/>
  <c r="Y132" i="8" s="1"/>
  <c r="AA132" i="8" s="1"/>
  <c r="AC132" i="8" s="1"/>
  <c r="AD132" i="8" s="1"/>
  <c r="AI132" i="8" s="1"/>
  <c r="AQ132" i="8" s="1"/>
  <c r="N132" i="8"/>
  <c r="O132" i="8"/>
  <c r="AF131" i="8"/>
  <c r="AN131" i="8" s="1"/>
  <c r="AG131" i="8"/>
  <c r="AO131" i="8" s="1"/>
  <c r="AJ131" i="8"/>
  <c r="AR131" i="8" s="1"/>
  <c r="V131" i="8"/>
  <c r="AF132" i="8" l="1"/>
  <c r="AN132" i="8" s="1"/>
  <c r="AJ132" i="8"/>
  <c r="AR132" i="8" s="1"/>
  <c r="V132" i="8"/>
  <c r="AG132" i="8"/>
  <c r="AO132" i="8" s="1"/>
  <c r="AM132" i="8"/>
  <c r="AU132" i="8" s="1"/>
  <c r="AL132" i="8"/>
  <c r="AT132" i="8" s="1"/>
  <c r="M133" i="8"/>
  <c r="Y133" i="8" s="1"/>
  <c r="AA133" i="8" s="1"/>
  <c r="AC133" i="8"/>
  <c r="AD133" i="8" s="1"/>
  <c r="AI133" i="8" s="1"/>
  <c r="AQ133" i="8" s="1"/>
  <c r="N133" i="8"/>
  <c r="O133" i="8"/>
  <c r="L134" i="8"/>
  <c r="M134" i="8" l="1"/>
  <c r="Y134" i="8" s="1"/>
  <c r="AA134" i="8" s="1"/>
  <c r="N134" i="8"/>
  <c r="O134" i="8"/>
  <c r="L135" i="8"/>
  <c r="AC134" i="8"/>
  <c r="AD134" i="8" s="1"/>
  <c r="AI134" i="8" s="1"/>
  <c r="AQ134" i="8" s="1"/>
  <c r="V133" i="8"/>
  <c r="AJ133" i="8"/>
  <c r="AR133" i="8" s="1"/>
  <c r="AF133" i="8"/>
  <c r="AN133" i="8" s="1"/>
  <c r="AG133" i="8"/>
  <c r="AO133" i="8" s="1"/>
  <c r="AL133" i="8"/>
  <c r="AT133" i="8" s="1"/>
  <c r="AM133" i="8"/>
  <c r="AU133" i="8" s="1"/>
  <c r="M135" i="8" l="1"/>
  <c r="Y135" i="8" s="1"/>
  <c r="AA135" i="8" s="1"/>
  <c r="L136" i="8"/>
  <c r="AC135" i="8"/>
  <c r="AD135" i="8" s="1"/>
  <c r="AI135" i="8" s="1"/>
  <c r="AQ135" i="8" s="1"/>
  <c r="N135" i="8"/>
  <c r="O135" i="8"/>
  <c r="AJ134" i="8"/>
  <c r="AR134" i="8" s="1"/>
  <c r="V134" i="8"/>
  <c r="AG134" i="8"/>
  <c r="AO134" i="8" s="1"/>
  <c r="AF134" i="8"/>
  <c r="AN134" i="8" s="1"/>
  <c r="AL134" i="8"/>
  <c r="AT134" i="8" s="1"/>
  <c r="AM134" i="8"/>
  <c r="AU134" i="8" s="1"/>
  <c r="AL135" i="8" l="1"/>
  <c r="AT135" i="8" s="1"/>
  <c r="AM135" i="8"/>
  <c r="AU135" i="8" s="1"/>
  <c r="O136" i="8"/>
  <c r="N136" i="8"/>
  <c r="M136" i="8"/>
  <c r="Y136" i="8" s="1"/>
  <c r="AA136" i="8" s="1"/>
  <c r="L137" i="8"/>
  <c r="AC136" i="8"/>
  <c r="AD136" i="8" s="1"/>
  <c r="AI136" i="8" s="1"/>
  <c r="AQ136" i="8" s="1"/>
  <c r="V135" i="8"/>
  <c r="AG135" i="8"/>
  <c r="AO135" i="8" s="1"/>
  <c r="AJ135" i="8"/>
  <c r="AR135" i="8" s="1"/>
  <c r="AF135" i="8"/>
  <c r="AN135" i="8" s="1"/>
  <c r="AL136" i="8" l="1"/>
  <c r="AT136" i="8" s="1"/>
  <c r="AM136" i="8"/>
  <c r="AU136" i="8" s="1"/>
  <c r="V136" i="8"/>
  <c r="AF136" i="8"/>
  <c r="AN136" i="8" s="1"/>
  <c r="AG136" i="8"/>
  <c r="AO136" i="8" s="1"/>
  <c r="AJ136" i="8"/>
  <c r="AR136" i="8" s="1"/>
  <c r="O137" i="8"/>
  <c r="M137" i="8"/>
  <c r="Y137" i="8" s="1"/>
  <c r="AA137" i="8" s="1"/>
  <c r="L138" i="8"/>
  <c r="N137" i="8"/>
  <c r="AC137" i="8"/>
  <c r="AD137" i="8" s="1"/>
  <c r="AI137" i="8" s="1"/>
  <c r="AQ137" i="8" s="1"/>
  <c r="AM137" i="8" l="1"/>
  <c r="AU137" i="8" s="1"/>
  <c r="AL137" i="8"/>
  <c r="AT137" i="8" s="1"/>
  <c r="M138" i="8"/>
  <c r="Y138" i="8" s="1"/>
  <c r="AA138" i="8" s="1"/>
  <c r="AC138" i="8" s="1"/>
  <c r="AD138" i="8" s="1"/>
  <c r="AI138" i="8" s="1"/>
  <c r="AQ138" i="8" s="1"/>
  <c r="L139" i="8"/>
  <c r="N138" i="8"/>
  <c r="O138" i="8"/>
  <c r="AF137" i="8"/>
  <c r="AN137" i="8" s="1"/>
  <c r="V137" i="8"/>
  <c r="AG137" i="8"/>
  <c r="AO137" i="8" s="1"/>
  <c r="AJ137" i="8"/>
  <c r="AR137" i="8" s="1"/>
  <c r="AF138" i="8" l="1"/>
  <c r="AN138" i="8" s="1"/>
  <c r="AG138" i="8"/>
  <c r="AO138" i="8" s="1"/>
  <c r="V138" i="8"/>
  <c r="AJ138" i="8"/>
  <c r="AR138" i="8" s="1"/>
  <c r="AL138" i="8"/>
  <c r="AT138" i="8" s="1"/>
  <c r="AM138" i="8"/>
  <c r="AU138" i="8" s="1"/>
  <c r="M139" i="8"/>
  <c r="Y139" i="8" s="1"/>
  <c r="AA139" i="8" s="1"/>
  <c r="AC139" i="8" s="1"/>
  <c r="AD139" i="8" s="1"/>
  <c r="AI139" i="8" s="1"/>
  <c r="AQ139" i="8" s="1"/>
  <c r="O139" i="8"/>
  <c r="L140" i="8"/>
  <c r="N139" i="8"/>
  <c r="AL139" i="8" l="1"/>
  <c r="AT139" i="8" s="1"/>
  <c r="AM139" i="8"/>
  <c r="AU139" i="8" s="1"/>
  <c r="AF139" i="8"/>
  <c r="AN139" i="8" s="1"/>
  <c r="AJ139" i="8"/>
  <c r="AR139" i="8" s="1"/>
  <c r="AG139" i="8"/>
  <c r="AO139" i="8" s="1"/>
  <c r="V139" i="8"/>
  <c r="M140" i="8"/>
  <c r="Y140" i="8" s="1"/>
  <c r="AA140" i="8" s="1"/>
  <c r="AC140" i="8"/>
  <c r="AD140" i="8" s="1"/>
  <c r="AI140" i="8" s="1"/>
  <c r="AQ140" i="8" s="1"/>
  <c r="N140" i="8"/>
  <c r="L141" i="8"/>
  <c r="O140" i="8"/>
  <c r="V140" i="8" l="1"/>
  <c r="AG140" i="8"/>
  <c r="AO140" i="8" s="1"/>
  <c r="AF140" i="8"/>
  <c r="AN140" i="8" s="1"/>
  <c r="AJ140" i="8"/>
  <c r="AR140" i="8" s="1"/>
  <c r="M141" i="8"/>
  <c r="Y141" i="8" s="1"/>
  <c r="AA141" i="8" s="1"/>
  <c r="AC141" i="8"/>
  <c r="AD141" i="8" s="1"/>
  <c r="AI141" i="8" s="1"/>
  <c r="AQ141" i="8" s="1"/>
  <c r="N141" i="8"/>
  <c r="L142" i="8"/>
  <c r="O141" i="8"/>
  <c r="AL140" i="8"/>
  <c r="AT140" i="8" s="1"/>
  <c r="AM140" i="8"/>
  <c r="AU140" i="8" s="1"/>
  <c r="AJ141" i="8" l="1"/>
  <c r="AR141" i="8" s="1"/>
  <c r="AF141" i="8"/>
  <c r="AN141" i="8" s="1"/>
  <c r="V141" i="8"/>
  <c r="AG141" i="8"/>
  <c r="AO141" i="8" s="1"/>
  <c r="M142" i="8"/>
  <c r="Y142" i="8" s="1"/>
  <c r="AA142" i="8" s="1"/>
  <c r="O142" i="8"/>
  <c r="L143" i="8"/>
  <c r="AC142" i="8"/>
  <c r="AD142" i="8" s="1"/>
  <c r="AI142" i="8" s="1"/>
  <c r="AQ142" i="8" s="1"/>
  <c r="N142" i="8"/>
  <c r="AL141" i="8"/>
  <c r="AT141" i="8" s="1"/>
  <c r="AM141" i="8"/>
  <c r="AU141" i="8" s="1"/>
  <c r="AL142" i="8" l="1"/>
  <c r="AT142" i="8" s="1"/>
  <c r="AM142" i="8"/>
  <c r="AU142" i="8" s="1"/>
  <c r="O143" i="8"/>
  <c r="N143" i="8"/>
  <c r="M143" i="8"/>
  <c r="Y143" i="8" s="1"/>
  <c r="AA143" i="8" s="1"/>
  <c r="AC143" i="8" s="1"/>
  <c r="AD143" i="8" s="1"/>
  <c r="AI143" i="8" s="1"/>
  <c r="AQ143" i="8" s="1"/>
  <c r="L144" i="8"/>
  <c r="V142" i="8"/>
  <c r="AG142" i="8"/>
  <c r="AO142" i="8" s="1"/>
  <c r="AJ142" i="8"/>
  <c r="AR142" i="8" s="1"/>
  <c r="AF142" i="8"/>
  <c r="AN142" i="8" s="1"/>
  <c r="O144" i="8" l="1"/>
  <c r="M144" i="8"/>
  <c r="Y144" i="8" s="1"/>
  <c r="AA144" i="8" s="1"/>
  <c r="AC144" i="8" s="1"/>
  <c r="AD144" i="8" s="1"/>
  <c r="AI144" i="8" s="1"/>
  <c r="AQ144" i="8" s="1"/>
  <c r="L145" i="8"/>
  <c r="N144" i="8"/>
  <c r="AL143" i="8"/>
  <c r="AT143" i="8" s="1"/>
  <c r="AM143" i="8"/>
  <c r="AU143" i="8" s="1"/>
  <c r="V143" i="8"/>
  <c r="AF143" i="8"/>
  <c r="AN143" i="8" s="1"/>
  <c r="AG143" i="8"/>
  <c r="AO143" i="8" s="1"/>
  <c r="AJ143" i="8"/>
  <c r="AR143" i="8" s="1"/>
  <c r="AM144" i="8" l="1"/>
  <c r="AU144" i="8" s="1"/>
  <c r="AL144" i="8"/>
  <c r="AT144" i="8" s="1"/>
  <c r="M145" i="8"/>
  <c r="Y145" i="8" s="1"/>
  <c r="AA145" i="8" s="1"/>
  <c r="AC145" i="8" s="1"/>
  <c r="AD145" i="8" s="1"/>
  <c r="AI145" i="8" s="1"/>
  <c r="AQ145" i="8" s="1"/>
  <c r="N145" i="8"/>
  <c r="O145" i="8"/>
  <c r="L146" i="8"/>
  <c r="V144" i="8"/>
  <c r="AF144" i="8"/>
  <c r="AN144" i="8" s="1"/>
  <c r="AJ144" i="8"/>
  <c r="AR144" i="8" s="1"/>
  <c r="AG144" i="8"/>
  <c r="AO144" i="8" s="1"/>
  <c r="N146" i="8" l="1"/>
  <c r="O146" i="8"/>
  <c r="L147" i="8"/>
  <c r="M146" i="8"/>
  <c r="Y146" i="8" s="1"/>
  <c r="AA146" i="8" s="1"/>
  <c r="AC146" i="8" s="1"/>
  <c r="AD146" i="8" s="1"/>
  <c r="AI146" i="8" s="1"/>
  <c r="AQ146" i="8" s="1"/>
  <c r="AF145" i="8"/>
  <c r="AN145" i="8" s="1"/>
  <c r="AG145" i="8"/>
  <c r="AO145" i="8" s="1"/>
  <c r="V145" i="8"/>
  <c r="AJ145" i="8"/>
  <c r="AR145" i="8" s="1"/>
  <c r="AL145" i="8"/>
  <c r="AT145" i="8" s="1"/>
  <c r="AM145" i="8"/>
  <c r="AU145" i="8" s="1"/>
  <c r="M147" i="8" l="1"/>
  <c r="Y147" i="8" s="1"/>
  <c r="AA147" i="8" s="1"/>
  <c r="AC147" i="8"/>
  <c r="AD147" i="8" s="1"/>
  <c r="AI147" i="8" s="1"/>
  <c r="AQ147" i="8" s="1"/>
  <c r="N147" i="8"/>
  <c r="L148" i="8"/>
  <c r="O147" i="8"/>
  <c r="AF146" i="8"/>
  <c r="AN146" i="8" s="1"/>
  <c r="AJ146" i="8"/>
  <c r="AR146" i="8" s="1"/>
  <c r="AG146" i="8"/>
  <c r="AO146" i="8" s="1"/>
  <c r="V146" i="8"/>
  <c r="AL146" i="8"/>
  <c r="AT146" i="8" s="1"/>
  <c r="AM146" i="8"/>
  <c r="AU146" i="8" s="1"/>
  <c r="M148" i="8" l="1"/>
  <c r="Y148" i="8" s="1"/>
  <c r="AA148" i="8" s="1"/>
  <c r="O148" i="8"/>
  <c r="L149" i="8"/>
  <c r="AC148" i="8"/>
  <c r="AD148" i="8" s="1"/>
  <c r="AI148" i="8" s="1"/>
  <c r="AQ148" i="8" s="1"/>
  <c r="N148" i="8"/>
  <c r="AL147" i="8"/>
  <c r="AT147" i="8" s="1"/>
  <c r="AM147" i="8"/>
  <c r="AU147" i="8" s="1"/>
  <c r="AJ147" i="8"/>
  <c r="AR147" i="8" s="1"/>
  <c r="AG147" i="8"/>
  <c r="AO147" i="8" s="1"/>
  <c r="V147" i="8"/>
  <c r="AF147" i="8"/>
  <c r="AN147" i="8" s="1"/>
  <c r="L150" i="8" l="1"/>
  <c r="M149" i="8"/>
  <c r="Y149" i="8" s="1"/>
  <c r="AA149" i="8" s="1"/>
  <c r="O149" i="8"/>
  <c r="AC149" i="8"/>
  <c r="AD149" i="8" s="1"/>
  <c r="AI149" i="8" s="1"/>
  <c r="AQ149" i="8" s="1"/>
  <c r="N149" i="8"/>
  <c r="V148" i="8"/>
  <c r="AF148" i="8"/>
  <c r="AN148" i="8" s="1"/>
  <c r="AG148" i="8"/>
  <c r="AO148" i="8" s="1"/>
  <c r="AJ148" i="8"/>
  <c r="AR148" i="8" s="1"/>
  <c r="AM148" i="8"/>
  <c r="AU148" i="8" s="1"/>
  <c r="AL148" i="8"/>
  <c r="AT148" i="8" s="1"/>
  <c r="V149" i="8" l="1"/>
  <c r="AG149" i="8"/>
  <c r="AO149" i="8" s="1"/>
  <c r="AF149" i="8"/>
  <c r="AN149" i="8" s="1"/>
  <c r="AJ149" i="8"/>
  <c r="AR149" i="8" s="1"/>
  <c r="O150" i="8"/>
  <c r="M150" i="8"/>
  <c r="Y150" i="8" s="1"/>
  <c r="AA150" i="8" s="1"/>
  <c r="AC150" i="8"/>
  <c r="AD150" i="8" s="1"/>
  <c r="AI150" i="8" s="1"/>
  <c r="AQ150" i="8" s="1"/>
  <c r="N150" i="8"/>
  <c r="L151" i="8"/>
  <c r="AL149" i="8"/>
  <c r="AT149" i="8" s="1"/>
  <c r="AM149" i="8"/>
  <c r="AU149" i="8" s="1"/>
  <c r="N151" i="8" l="1"/>
  <c r="O151" i="8"/>
  <c r="M151" i="8"/>
  <c r="Y151" i="8" s="1"/>
  <c r="AA151" i="8" s="1"/>
  <c r="AC151" i="8" s="1"/>
  <c r="AD151" i="8" s="1"/>
  <c r="AI151" i="8" s="1"/>
  <c r="AQ151" i="8" s="1"/>
  <c r="L152" i="8"/>
  <c r="AL150" i="8"/>
  <c r="AT150" i="8" s="1"/>
  <c r="AM150" i="8"/>
  <c r="AU150" i="8" s="1"/>
  <c r="AF150" i="8"/>
  <c r="AN150" i="8" s="1"/>
  <c r="AG150" i="8"/>
  <c r="AO150" i="8" s="1"/>
  <c r="AJ150" i="8"/>
  <c r="AR150" i="8" s="1"/>
  <c r="V150" i="8"/>
  <c r="N152" i="8" l="1"/>
  <c r="O152" i="8"/>
  <c r="M152" i="8"/>
  <c r="Y152" i="8" s="1"/>
  <c r="AA152" i="8" s="1"/>
  <c r="AC152" i="8" s="1"/>
  <c r="AD152" i="8" s="1"/>
  <c r="AI152" i="8" s="1"/>
  <c r="AQ152" i="8" s="1"/>
  <c r="L153" i="8"/>
  <c r="AF151" i="8"/>
  <c r="AN151" i="8" s="1"/>
  <c r="AG151" i="8"/>
  <c r="AO151" i="8" s="1"/>
  <c r="AJ151" i="8"/>
  <c r="AR151" i="8" s="1"/>
  <c r="V151" i="8"/>
  <c r="AL151" i="8"/>
  <c r="AT151" i="8" s="1"/>
  <c r="AM151" i="8"/>
  <c r="AU151" i="8" s="1"/>
  <c r="O153" i="8" l="1"/>
  <c r="N153" i="8"/>
  <c r="L154" i="8"/>
  <c r="M153" i="8"/>
  <c r="Y153" i="8" s="1"/>
  <c r="AA153" i="8" s="1"/>
  <c r="AC153" i="8"/>
  <c r="AD153" i="8" s="1"/>
  <c r="AI153" i="8" s="1"/>
  <c r="AQ153" i="8" s="1"/>
  <c r="V152" i="8"/>
  <c r="AG152" i="8"/>
  <c r="AO152" i="8" s="1"/>
  <c r="AF152" i="8"/>
  <c r="AN152" i="8" s="1"/>
  <c r="AJ152" i="8"/>
  <c r="AR152" i="8" s="1"/>
  <c r="AL152" i="8"/>
  <c r="AT152" i="8" s="1"/>
  <c r="AM152" i="8"/>
  <c r="AU152" i="8" s="1"/>
  <c r="M154" i="8" l="1"/>
  <c r="Y154" i="8" s="1"/>
  <c r="AA154" i="8" s="1"/>
  <c r="AC154" i="8" s="1"/>
  <c r="AD154" i="8" s="1"/>
  <c r="AI154" i="8" s="1"/>
  <c r="AQ154" i="8" s="1"/>
  <c r="N154" i="8"/>
  <c r="L155" i="8"/>
  <c r="O154" i="8"/>
  <c r="AL153" i="8"/>
  <c r="AT153" i="8" s="1"/>
  <c r="AM153" i="8"/>
  <c r="AU153" i="8" s="1"/>
  <c r="AF153" i="8"/>
  <c r="AN153" i="8" s="1"/>
  <c r="AG153" i="8"/>
  <c r="AO153" i="8" s="1"/>
  <c r="V153" i="8"/>
  <c r="AJ153" i="8"/>
  <c r="AR153" i="8" s="1"/>
  <c r="AF154" i="8" l="1"/>
  <c r="AN154" i="8" s="1"/>
  <c r="AG154" i="8"/>
  <c r="AO154" i="8" s="1"/>
  <c r="AJ154" i="8"/>
  <c r="AR154" i="8" s="1"/>
  <c r="V154" i="8"/>
  <c r="L156" i="8"/>
  <c r="M155" i="8"/>
  <c r="Y155" i="8" s="1"/>
  <c r="AA155" i="8" s="1"/>
  <c r="N155" i="8"/>
  <c r="O155" i="8"/>
  <c r="AC155" i="8"/>
  <c r="AD155" i="8" s="1"/>
  <c r="AI155" i="8" s="1"/>
  <c r="AQ155" i="8" s="1"/>
  <c r="AL154" i="8"/>
  <c r="AT154" i="8" s="1"/>
  <c r="AM154" i="8"/>
  <c r="AU154" i="8" s="1"/>
  <c r="AF155" i="8" l="1"/>
  <c r="AN155" i="8" s="1"/>
  <c r="AG155" i="8"/>
  <c r="AO155" i="8" s="1"/>
  <c r="AJ155" i="8"/>
  <c r="AR155" i="8" s="1"/>
  <c r="V155" i="8"/>
  <c r="AL155" i="8"/>
  <c r="AT155" i="8" s="1"/>
  <c r="AM155" i="8"/>
  <c r="AU155" i="8" s="1"/>
  <c r="M156" i="8"/>
  <c r="Y156" i="8" s="1"/>
  <c r="AA156" i="8" s="1"/>
  <c r="AC156" i="8" s="1"/>
  <c r="AD156" i="8" s="1"/>
  <c r="AI156" i="8" s="1"/>
  <c r="AQ156" i="8" s="1"/>
  <c r="N156" i="8"/>
  <c r="L157" i="8"/>
  <c r="O156" i="8"/>
  <c r="V156" i="8" l="1"/>
  <c r="AJ156" i="8"/>
  <c r="AR156" i="8" s="1"/>
  <c r="AF156" i="8"/>
  <c r="AN156" i="8" s="1"/>
  <c r="AG156" i="8"/>
  <c r="AO156" i="8" s="1"/>
  <c r="O157" i="8"/>
  <c r="M157" i="8"/>
  <c r="Y157" i="8" s="1"/>
  <c r="AA157" i="8" s="1"/>
  <c r="N157" i="8"/>
  <c r="AC157" i="8"/>
  <c r="AD157" i="8" s="1"/>
  <c r="AI157" i="8" s="1"/>
  <c r="AQ157" i="8" s="1"/>
  <c r="L158" i="8"/>
  <c r="AL156" i="8"/>
  <c r="AT156" i="8" s="1"/>
  <c r="AM156" i="8"/>
  <c r="AU156" i="8" s="1"/>
  <c r="M158" i="8" l="1"/>
  <c r="Y158" i="8" s="1"/>
  <c r="AA158" i="8" s="1"/>
  <c r="AC158" i="8"/>
  <c r="AD158" i="8" s="1"/>
  <c r="AI158" i="8" s="1"/>
  <c r="AQ158" i="8" s="1"/>
  <c r="N158" i="8"/>
  <c r="L159" i="8"/>
  <c r="O158" i="8"/>
  <c r="AM157" i="8"/>
  <c r="AU157" i="8" s="1"/>
  <c r="AL157" i="8"/>
  <c r="AT157" i="8" s="1"/>
  <c r="AF157" i="8"/>
  <c r="AN157" i="8" s="1"/>
  <c r="AG157" i="8"/>
  <c r="AO157" i="8" s="1"/>
  <c r="AJ157" i="8"/>
  <c r="AR157" i="8" s="1"/>
  <c r="V157" i="8"/>
  <c r="M159" i="8" l="1"/>
  <c r="Y159" i="8" s="1"/>
  <c r="AA159" i="8" s="1"/>
  <c r="AC159" i="8" s="1"/>
  <c r="AD159" i="8" s="1"/>
  <c r="AI159" i="8" s="1"/>
  <c r="AQ159" i="8" s="1"/>
  <c r="N159" i="8"/>
  <c r="O159" i="8"/>
  <c r="L160" i="8"/>
  <c r="AL158" i="8"/>
  <c r="AT158" i="8" s="1"/>
  <c r="AM158" i="8"/>
  <c r="AU158" i="8" s="1"/>
  <c r="AF158" i="8"/>
  <c r="AN158" i="8" s="1"/>
  <c r="V158" i="8"/>
  <c r="AG158" i="8"/>
  <c r="AO158" i="8" s="1"/>
  <c r="AJ158" i="8"/>
  <c r="AR158" i="8" s="1"/>
  <c r="O160" i="8" l="1"/>
  <c r="M160" i="8"/>
  <c r="Y160" i="8" s="1"/>
  <c r="AA160" i="8" s="1"/>
  <c r="AC160" i="8"/>
  <c r="AD160" i="8" s="1"/>
  <c r="AI160" i="8" s="1"/>
  <c r="AQ160" i="8" s="1"/>
  <c r="N160" i="8"/>
  <c r="L161" i="8"/>
  <c r="V159" i="8"/>
  <c r="AJ159" i="8"/>
  <c r="AR159" i="8" s="1"/>
  <c r="AF159" i="8"/>
  <c r="AN159" i="8" s="1"/>
  <c r="AG159" i="8"/>
  <c r="AO159" i="8" s="1"/>
  <c r="AL159" i="8"/>
  <c r="AT159" i="8" s="1"/>
  <c r="AM159" i="8"/>
  <c r="AU159" i="8" s="1"/>
  <c r="N161" i="8" l="1"/>
  <c r="O161" i="8"/>
  <c r="M161" i="8"/>
  <c r="Y161" i="8" s="1"/>
  <c r="AA161" i="8" s="1"/>
  <c r="AC161" i="8"/>
  <c r="AD161" i="8" s="1"/>
  <c r="AI161" i="8" s="1"/>
  <c r="AQ161" i="8" s="1"/>
  <c r="L162" i="8"/>
  <c r="AM160" i="8"/>
  <c r="AU160" i="8" s="1"/>
  <c r="AL160" i="8"/>
  <c r="AT160" i="8" s="1"/>
  <c r="AJ160" i="8"/>
  <c r="AR160" i="8" s="1"/>
  <c r="AF160" i="8"/>
  <c r="AN160" i="8" s="1"/>
  <c r="V160" i="8"/>
  <c r="AG160" i="8"/>
  <c r="AO160" i="8" s="1"/>
  <c r="AC162" i="8" l="1"/>
  <c r="AD162" i="8" s="1"/>
  <c r="AI162" i="8" s="1"/>
  <c r="AQ162" i="8" s="1"/>
  <c r="N162" i="8"/>
  <c r="M162" i="8"/>
  <c r="Y162" i="8" s="1"/>
  <c r="AA162" i="8" s="1"/>
  <c r="O162" i="8"/>
  <c r="L163" i="8"/>
  <c r="AG161" i="8"/>
  <c r="AO161" i="8" s="1"/>
  <c r="V161" i="8"/>
  <c r="AF161" i="8"/>
  <c r="AN161" i="8" s="1"/>
  <c r="AJ161" i="8"/>
  <c r="AR161" i="8" s="1"/>
  <c r="AM161" i="8"/>
  <c r="AU161" i="8" s="1"/>
  <c r="AL161" i="8"/>
  <c r="AT161" i="8" s="1"/>
  <c r="N163" i="8" l="1"/>
  <c r="L164" i="8"/>
  <c r="M163" i="8"/>
  <c r="Y163" i="8" s="1"/>
  <c r="AA163" i="8" s="1"/>
  <c r="O163" i="8"/>
  <c r="AC163" i="8"/>
  <c r="AD163" i="8" s="1"/>
  <c r="AI163" i="8" s="1"/>
  <c r="AQ163" i="8" s="1"/>
  <c r="AF162" i="8"/>
  <c r="AN162" i="8" s="1"/>
  <c r="AG162" i="8"/>
  <c r="AO162" i="8" s="1"/>
  <c r="AJ162" i="8"/>
  <c r="AR162" i="8" s="1"/>
  <c r="V162" i="8"/>
  <c r="AM162" i="8"/>
  <c r="AU162" i="8" s="1"/>
  <c r="AL162" i="8"/>
  <c r="AT162" i="8" s="1"/>
  <c r="V163" i="8" l="1"/>
  <c r="AJ163" i="8"/>
  <c r="AR163" i="8" s="1"/>
  <c r="AF163" i="8"/>
  <c r="AN163" i="8" s="1"/>
  <c r="AG163" i="8"/>
  <c r="AO163" i="8" s="1"/>
  <c r="O164" i="8"/>
  <c r="M164" i="8"/>
  <c r="Y164" i="8" s="1"/>
  <c r="AA164" i="8" s="1"/>
  <c r="AC164" i="8" s="1"/>
  <c r="AD164" i="8" s="1"/>
  <c r="AI164" i="8" s="1"/>
  <c r="AQ164" i="8" s="1"/>
  <c r="L165" i="8"/>
  <c r="N164" i="8"/>
  <c r="AL163" i="8"/>
  <c r="AT163" i="8" s="1"/>
  <c r="AM163" i="8"/>
  <c r="AU163" i="8" s="1"/>
  <c r="M165" i="8" l="1"/>
  <c r="Y165" i="8" s="1"/>
  <c r="AA165" i="8" s="1"/>
  <c r="AC165" i="8"/>
  <c r="AD165" i="8" s="1"/>
  <c r="AI165" i="8" s="1"/>
  <c r="AQ165" i="8" s="1"/>
  <c r="O165" i="8"/>
  <c r="L166" i="8"/>
  <c r="N165" i="8"/>
  <c r="AL164" i="8"/>
  <c r="AT164" i="8" s="1"/>
  <c r="AM164" i="8"/>
  <c r="AU164" i="8" s="1"/>
  <c r="AG164" i="8"/>
  <c r="AO164" i="8" s="1"/>
  <c r="AF164" i="8"/>
  <c r="AN164" i="8" s="1"/>
  <c r="AJ164" i="8"/>
  <c r="AR164" i="8" s="1"/>
  <c r="V164" i="8"/>
  <c r="N166" i="8" l="1"/>
  <c r="M166" i="8"/>
  <c r="Y166" i="8" s="1"/>
  <c r="AA166" i="8" s="1"/>
  <c r="AC166" i="8"/>
  <c r="AD166" i="8" s="1"/>
  <c r="AI166" i="8" s="1"/>
  <c r="AQ166" i="8" s="1"/>
  <c r="L167" i="8"/>
  <c r="O166" i="8"/>
  <c r="AL165" i="8"/>
  <c r="AT165" i="8" s="1"/>
  <c r="AM165" i="8"/>
  <c r="AU165" i="8" s="1"/>
  <c r="V165" i="8"/>
  <c r="AG165" i="8"/>
  <c r="AO165" i="8" s="1"/>
  <c r="AF165" i="8"/>
  <c r="AN165" i="8" s="1"/>
  <c r="AJ165" i="8"/>
  <c r="AR165" i="8" s="1"/>
  <c r="V166" i="8" l="1"/>
  <c r="AF166" i="8"/>
  <c r="AN166" i="8" s="1"/>
  <c r="AJ166" i="8"/>
  <c r="AR166" i="8" s="1"/>
  <c r="AG166" i="8"/>
  <c r="AO166" i="8" s="1"/>
  <c r="O167" i="8"/>
  <c r="N167" i="8"/>
  <c r="L168" i="8"/>
  <c r="M167" i="8"/>
  <c r="Y167" i="8" s="1"/>
  <c r="AA167" i="8" s="1"/>
  <c r="AC167" i="8" s="1"/>
  <c r="AD167" i="8" s="1"/>
  <c r="AI167" i="8" s="1"/>
  <c r="AQ167" i="8" s="1"/>
  <c r="AL166" i="8"/>
  <c r="AT166" i="8" s="1"/>
  <c r="AM166" i="8"/>
  <c r="AU166" i="8" s="1"/>
  <c r="AL167" i="8" l="1"/>
  <c r="AT167" i="8" s="1"/>
  <c r="AM167" i="8"/>
  <c r="AU167" i="8" s="1"/>
  <c r="N168" i="8"/>
  <c r="O168" i="8"/>
  <c r="M168" i="8"/>
  <c r="Y168" i="8" s="1"/>
  <c r="AA168" i="8" s="1"/>
  <c r="AC168" i="8" s="1"/>
  <c r="AD168" i="8" s="1"/>
  <c r="AI168" i="8" s="1"/>
  <c r="AQ168" i="8" s="1"/>
  <c r="L169" i="8"/>
  <c r="AJ167" i="8"/>
  <c r="AR167" i="8" s="1"/>
  <c r="V167" i="8"/>
  <c r="AF167" i="8"/>
  <c r="AN167" i="8" s="1"/>
  <c r="AG167" i="8"/>
  <c r="AO167" i="8" s="1"/>
  <c r="V168" i="8" l="1"/>
  <c r="AF168" i="8"/>
  <c r="AN168" i="8" s="1"/>
  <c r="AG168" i="8"/>
  <c r="AO168" i="8" s="1"/>
  <c r="AJ168" i="8"/>
  <c r="AR168" i="8" s="1"/>
  <c r="AM168" i="8"/>
  <c r="AU168" i="8" s="1"/>
  <c r="AL168" i="8"/>
  <c r="AT168" i="8" s="1"/>
  <c r="L170" i="8"/>
  <c r="O169" i="8"/>
  <c r="M169" i="8"/>
  <c r="Y169" i="8" s="1"/>
  <c r="AA169" i="8" s="1"/>
  <c r="AC169" i="8" s="1"/>
  <c r="AD169" i="8" s="1"/>
  <c r="AI169" i="8" s="1"/>
  <c r="AQ169" i="8" s="1"/>
  <c r="N169" i="8"/>
  <c r="AL169" i="8" l="1"/>
  <c r="AT169" i="8" s="1"/>
  <c r="AM169" i="8"/>
  <c r="AU169" i="8" s="1"/>
  <c r="V169" i="8"/>
  <c r="AF169" i="8"/>
  <c r="AN169" i="8" s="1"/>
  <c r="AG169" i="8"/>
  <c r="AO169" i="8" s="1"/>
  <c r="AJ169" i="8"/>
  <c r="AR169" i="8" s="1"/>
  <c r="M170" i="8"/>
  <c r="Y170" i="8" s="1"/>
  <c r="AA170" i="8" s="1"/>
  <c r="O170" i="8"/>
  <c r="L171" i="8"/>
  <c r="AC170" i="8"/>
  <c r="AD170" i="8" s="1"/>
  <c r="AI170" i="8" s="1"/>
  <c r="AQ170" i="8" s="1"/>
  <c r="N170" i="8"/>
  <c r="AL170" i="8" l="1"/>
  <c r="AT170" i="8" s="1"/>
  <c r="AM170" i="8"/>
  <c r="AU170" i="8" s="1"/>
  <c r="M171" i="8"/>
  <c r="Y171" i="8" s="1"/>
  <c r="AA171" i="8" s="1"/>
  <c r="AC171" i="8" s="1"/>
  <c r="AD171" i="8" s="1"/>
  <c r="AI171" i="8" s="1"/>
  <c r="AQ171" i="8" s="1"/>
  <c r="N171" i="8"/>
  <c r="O171" i="8"/>
  <c r="L172" i="8"/>
  <c r="AJ170" i="8"/>
  <c r="AR170" i="8" s="1"/>
  <c r="V170" i="8"/>
  <c r="AF170" i="8"/>
  <c r="AN170" i="8" s="1"/>
  <c r="AG170" i="8"/>
  <c r="AO170" i="8" s="1"/>
  <c r="AL171" i="8" l="1"/>
  <c r="AT171" i="8" s="1"/>
  <c r="AM171" i="8"/>
  <c r="AU171" i="8" s="1"/>
  <c r="N172" i="8"/>
  <c r="L173" i="8"/>
  <c r="O172" i="8"/>
  <c r="M172" i="8"/>
  <c r="Y172" i="8" s="1"/>
  <c r="AA172" i="8" s="1"/>
  <c r="AC172" i="8"/>
  <c r="AD172" i="8" s="1"/>
  <c r="AI172" i="8" s="1"/>
  <c r="AQ172" i="8" s="1"/>
  <c r="AJ171" i="8"/>
  <c r="AR171" i="8" s="1"/>
  <c r="V171" i="8"/>
  <c r="AF171" i="8"/>
  <c r="AN171" i="8" s="1"/>
  <c r="AG171" i="8"/>
  <c r="AO171" i="8" s="1"/>
  <c r="O173" i="8" l="1"/>
  <c r="M173" i="8"/>
  <c r="Y173" i="8" s="1"/>
  <c r="AA173" i="8" s="1"/>
  <c r="AC173" i="8"/>
  <c r="AD173" i="8" s="1"/>
  <c r="AI173" i="8" s="1"/>
  <c r="AQ173" i="8" s="1"/>
  <c r="N173" i="8"/>
  <c r="L174" i="8"/>
  <c r="V172" i="8"/>
  <c r="AF172" i="8"/>
  <c r="AN172" i="8" s="1"/>
  <c r="AG172" i="8"/>
  <c r="AO172" i="8" s="1"/>
  <c r="AJ172" i="8"/>
  <c r="AR172" i="8" s="1"/>
  <c r="AL172" i="8"/>
  <c r="AT172" i="8" s="1"/>
  <c r="AM172" i="8"/>
  <c r="AU172" i="8" s="1"/>
  <c r="AL173" i="8" l="1"/>
  <c r="AT173" i="8" s="1"/>
  <c r="AM173" i="8"/>
  <c r="AU173" i="8" s="1"/>
  <c r="AF173" i="8"/>
  <c r="AN173" i="8" s="1"/>
  <c r="AG173" i="8"/>
  <c r="AO173" i="8" s="1"/>
  <c r="V173" i="8"/>
  <c r="AJ173" i="8"/>
  <c r="AR173" i="8" s="1"/>
  <c r="N174" i="8"/>
  <c r="L175" i="8"/>
  <c r="O174" i="8"/>
  <c r="M174" i="8"/>
  <c r="Y174" i="8" s="1"/>
  <c r="AA174" i="8" s="1"/>
  <c r="AC174" i="8" s="1"/>
  <c r="AD174" i="8" s="1"/>
  <c r="AI174" i="8" s="1"/>
  <c r="AQ174" i="8" s="1"/>
  <c r="AF174" i="8" l="1"/>
  <c r="AN174" i="8" s="1"/>
  <c r="V174" i="8"/>
  <c r="AJ174" i="8"/>
  <c r="AR174" i="8" s="1"/>
  <c r="AG174" i="8"/>
  <c r="AO174" i="8" s="1"/>
  <c r="L176" i="8"/>
  <c r="M175" i="8"/>
  <c r="Y175" i="8" s="1"/>
  <c r="AA175" i="8" s="1"/>
  <c r="AC175" i="8" s="1"/>
  <c r="AD175" i="8" s="1"/>
  <c r="AI175" i="8" s="1"/>
  <c r="AQ175" i="8" s="1"/>
  <c r="N175" i="8"/>
  <c r="O175" i="8"/>
  <c r="AL174" i="8"/>
  <c r="AT174" i="8" s="1"/>
  <c r="AM174" i="8"/>
  <c r="AU174" i="8" s="1"/>
  <c r="AF175" i="8" l="1"/>
  <c r="AN175" i="8" s="1"/>
  <c r="V175" i="8"/>
  <c r="AJ175" i="8"/>
  <c r="AR175" i="8" s="1"/>
  <c r="AG175" i="8"/>
  <c r="AO175" i="8" s="1"/>
  <c r="AL175" i="8"/>
  <c r="AT175" i="8" s="1"/>
  <c r="AM175" i="8"/>
  <c r="AU175" i="8" s="1"/>
  <c r="O176" i="8"/>
  <c r="L177" i="8"/>
  <c r="M176" i="8"/>
  <c r="Y176" i="8" s="1"/>
  <c r="AA176" i="8" s="1"/>
  <c r="AC176" i="8" s="1"/>
  <c r="AD176" i="8" s="1"/>
  <c r="AI176" i="8" s="1"/>
  <c r="AQ176" i="8" s="1"/>
  <c r="N176" i="8"/>
  <c r="AL176" i="8" l="1"/>
  <c r="AT176" i="8" s="1"/>
  <c r="AM176" i="8"/>
  <c r="AU176" i="8" s="1"/>
  <c r="O177" i="8"/>
  <c r="M177" i="8"/>
  <c r="Y177" i="8" s="1"/>
  <c r="AA177" i="8" s="1"/>
  <c r="AC177" i="8" s="1"/>
  <c r="AD177" i="8" s="1"/>
  <c r="AI177" i="8" s="1"/>
  <c r="AQ177" i="8" s="1"/>
  <c r="N177" i="8"/>
  <c r="L178" i="8"/>
  <c r="AF176" i="8"/>
  <c r="AN176" i="8" s="1"/>
  <c r="AG176" i="8"/>
  <c r="AO176" i="8" s="1"/>
  <c r="AJ176" i="8"/>
  <c r="AR176" i="8" s="1"/>
  <c r="V176" i="8"/>
  <c r="AF177" i="8" l="1"/>
  <c r="AN177" i="8" s="1"/>
  <c r="AG177" i="8"/>
  <c r="AO177" i="8" s="1"/>
  <c r="AJ177" i="8"/>
  <c r="AR177" i="8" s="1"/>
  <c r="V177" i="8"/>
  <c r="M178" i="8"/>
  <c r="Y178" i="8" s="1"/>
  <c r="AA178" i="8" s="1"/>
  <c r="L179" i="8"/>
  <c r="N178" i="8"/>
  <c r="O178" i="8"/>
  <c r="AC178" i="8"/>
  <c r="AD178" i="8" s="1"/>
  <c r="AI178" i="8" s="1"/>
  <c r="AQ178" i="8" s="1"/>
  <c r="AL177" i="8"/>
  <c r="AT177" i="8" s="1"/>
  <c r="AM177" i="8"/>
  <c r="AU177" i="8" s="1"/>
  <c r="V178" i="8" l="1"/>
  <c r="AJ178" i="8"/>
  <c r="AR178" i="8" s="1"/>
  <c r="AF178" i="8"/>
  <c r="AN178" i="8" s="1"/>
  <c r="AG178" i="8"/>
  <c r="AO178" i="8" s="1"/>
  <c r="AL178" i="8"/>
  <c r="AT178" i="8" s="1"/>
  <c r="AM178" i="8"/>
  <c r="AU178" i="8" s="1"/>
  <c r="L180" i="8"/>
  <c r="M179" i="8"/>
  <c r="Y179" i="8" s="1"/>
  <c r="AA179" i="8" s="1"/>
  <c r="AC179" i="8" s="1"/>
  <c r="AD179" i="8" s="1"/>
  <c r="AI179" i="8" s="1"/>
  <c r="AQ179" i="8" s="1"/>
  <c r="N179" i="8"/>
  <c r="O179" i="8"/>
  <c r="AL179" i="8" l="1"/>
  <c r="AT179" i="8" s="1"/>
  <c r="AM179" i="8"/>
  <c r="AU179" i="8" s="1"/>
  <c r="V179" i="8"/>
  <c r="AF179" i="8"/>
  <c r="AN179" i="8" s="1"/>
  <c r="AG179" i="8"/>
  <c r="AO179" i="8" s="1"/>
  <c r="AJ179" i="8"/>
  <c r="AR179" i="8" s="1"/>
  <c r="O180" i="8"/>
  <c r="M180" i="8"/>
  <c r="Y180" i="8" s="1"/>
  <c r="AA180" i="8" s="1"/>
  <c r="AC180" i="8"/>
  <c r="AD180" i="8" s="1"/>
  <c r="AI180" i="8" s="1"/>
  <c r="AQ180" i="8" s="1"/>
  <c r="N180" i="8"/>
  <c r="L181" i="8"/>
  <c r="N181" i="8" l="1"/>
  <c r="M181" i="8"/>
  <c r="Y181" i="8" s="1"/>
  <c r="AA181" i="8" s="1"/>
  <c r="AC181" i="8" s="1"/>
  <c r="AD181" i="8" s="1"/>
  <c r="AI181" i="8" s="1"/>
  <c r="AQ181" i="8" s="1"/>
  <c r="O181" i="8"/>
  <c r="L182" i="8"/>
  <c r="AL180" i="8"/>
  <c r="AT180" i="8" s="1"/>
  <c r="AM180" i="8"/>
  <c r="AU180" i="8" s="1"/>
  <c r="AG180" i="8"/>
  <c r="AO180" i="8" s="1"/>
  <c r="AJ180" i="8"/>
  <c r="AR180" i="8" s="1"/>
  <c r="V180" i="8"/>
  <c r="AF180" i="8"/>
  <c r="AN180" i="8" s="1"/>
  <c r="AF181" i="8" l="1"/>
  <c r="AN181" i="8" s="1"/>
  <c r="AG181" i="8"/>
  <c r="AO181" i="8" s="1"/>
  <c r="AJ181" i="8"/>
  <c r="AR181" i="8" s="1"/>
  <c r="V181" i="8"/>
  <c r="AL181" i="8"/>
  <c r="AT181" i="8" s="1"/>
  <c r="AM181" i="8"/>
  <c r="AU181" i="8" s="1"/>
  <c r="L183" i="8"/>
  <c r="M182" i="8"/>
  <c r="Y182" i="8" s="1"/>
  <c r="AA182" i="8" s="1"/>
  <c r="AC182" i="8" s="1"/>
  <c r="AD182" i="8" s="1"/>
  <c r="AI182" i="8" s="1"/>
  <c r="AQ182" i="8" s="1"/>
  <c r="N182" i="8"/>
  <c r="O182" i="8"/>
  <c r="AF182" i="8" l="1"/>
  <c r="AN182" i="8" s="1"/>
  <c r="V182" i="8"/>
  <c r="AG182" i="8"/>
  <c r="AO182" i="8" s="1"/>
  <c r="AJ182" i="8"/>
  <c r="AR182" i="8" s="1"/>
  <c r="AL182" i="8"/>
  <c r="AT182" i="8" s="1"/>
  <c r="AM182" i="8"/>
  <c r="AU182" i="8" s="1"/>
  <c r="O183" i="8"/>
  <c r="L184" i="8"/>
  <c r="M183" i="8"/>
  <c r="Y183" i="8" s="1"/>
  <c r="AA183" i="8" s="1"/>
  <c r="N183" i="8"/>
  <c r="AC183" i="8"/>
  <c r="AD183" i="8" s="1"/>
  <c r="AI183" i="8" s="1"/>
  <c r="AQ183" i="8" s="1"/>
  <c r="AL183" i="8" l="1"/>
  <c r="AT183" i="8" s="1"/>
  <c r="AM183" i="8"/>
  <c r="AU183" i="8" s="1"/>
  <c r="O184" i="8"/>
  <c r="AC184" i="8"/>
  <c r="AD184" i="8" s="1"/>
  <c r="AI184" i="8" s="1"/>
  <c r="AQ184" i="8" s="1"/>
  <c r="M184" i="8"/>
  <c r="Y184" i="8" s="1"/>
  <c r="AA184" i="8" s="1"/>
  <c r="N184" i="8"/>
  <c r="L185" i="8"/>
  <c r="AF183" i="8"/>
  <c r="AN183" i="8" s="1"/>
  <c r="AG183" i="8"/>
  <c r="AO183" i="8" s="1"/>
  <c r="AJ183" i="8"/>
  <c r="AR183" i="8" s="1"/>
  <c r="V183" i="8"/>
  <c r="AF184" i="8" l="1"/>
  <c r="AN184" i="8" s="1"/>
  <c r="V184" i="8"/>
  <c r="AG184" i="8"/>
  <c r="AO184" i="8" s="1"/>
  <c r="AJ184" i="8"/>
  <c r="AR184" i="8" s="1"/>
  <c r="M185" i="8"/>
  <c r="Y185" i="8" s="1"/>
  <c r="AA185" i="8" s="1"/>
  <c r="N185" i="8"/>
  <c r="O185" i="8"/>
  <c r="AC185" i="8"/>
  <c r="AD185" i="8" s="1"/>
  <c r="AI185" i="8" s="1"/>
  <c r="AQ185" i="8" s="1"/>
  <c r="L186" i="8"/>
  <c r="AM184" i="8"/>
  <c r="AU184" i="8" s="1"/>
  <c r="AL184" i="8"/>
  <c r="AT184" i="8" s="1"/>
  <c r="L187" i="8" l="1"/>
  <c r="N186" i="8"/>
  <c r="O186" i="8"/>
  <c r="M186" i="8"/>
  <c r="Y186" i="8" s="1"/>
  <c r="AA186" i="8" s="1"/>
  <c r="AC186" i="8" s="1"/>
  <c r="AD186" i="8" s="1"/>
  <c r="AI186" i="8" s="1"/>
  <c r="AQ186" i="8" s="1"/>
  <c r="V185" i="8"/>
  <c r="AJ185" i="8"/>
  <c r="AR185" i="8" s="1"/>
  <c r="AF185" i="8"/>
  <c r="AN185" i="8" s="1"/>
  <c r="AG185" i="8"/>
  <c r="AO185" i="8" s="1"/>
  <c r="AL185" i="8"/>
  <c r="AT185" i="8" s="1"/>
  <c r="AM185" i="8"/>
  <c r="AU185" i="8" s="1"/>
  <c r="AF186" i="8" l="1"/>
  <c r="AN186" i="8" s="1"/>
  <c r="AG186" i="8"/>
  <c r="AO186" i="8" s="1"/>
  <c r="V186" i="8"/>
  <c r="AJ186" i="8"/>
  <c r="AR186" i="8" s="1"/>
  <c r="AL186" i="8"/>
  <c r="AT186" i="8" s="1"/>
  <c r="AM186" i="8"/>
  <c r="AU186" i="8" s="1"/>
  <c r="O187" i="8"/>
  <c r="M187" i="8"/>
  <c r="Y187" i="8" s="1"/>
  <c r="AA187" i="8" s="1"/>
  <c r="N187" i="8"/>
  <c r="L188" i="8"/>
  <c r="AC187" i="8"/>
  <c r="AD187" i="8" s="1"/>
  <c r="AI187" i="8" s="1"/>
  <c r="AQ187" i="8" s="1"/>
  <c r="L189" i="8" l="1"/>
  <c r="N188" i="8"/>
  <c r="M188" i="8"/>
  <c r="Y188" i="8" s="1"/>
  <c r="AA188" i="8" s="1"/>
  <c r="AC188" i="8"/>
  <c r="AD188" i="8" s="1"/>
  <c r="AI188" i="8" s="1"/>
  <c r="AQ188" i="8" s="1"/>
  <c r="O188" i="8"/>
  <c r="AL187" i="8"/>
  <c r="AT187" i="8" s="1"/>
  <c r="AM187" i="8"/>
  <c r="AU187" i="8" s="1"/>
  <c r="V187" i="8"/>
  <c r="AF187" i="8"/>
  <c r="AN187" i="8" s="1"/>
  <c r="AG187" i="8"/>
  <c r="AO187" i="8" s="1"/>
  <c r="AJ187" i="8"/>
  <c r="AR187" i="8" s="1"/>
  <c r="AM188" i="8" l="1"/>
  <c r="AU188" i="8" s="1"/>
  <c r="AL188" i="8"/>
  <c r="AT188" i="8" s="1"/>
  <c r="M189" i="8"/>
  <c r="Y189" i="8" s="1"/>
  <c r="AA189" i="8" s="1"/>
  <c r="AC189" i="8" s="1"/>
  <c r="AD189" i="8" s="1"/>
  <c r="AI189" i="8" s="1"/>
  <c r="AQ189" i="8" s="1"/>
  <c r="N189" i="8"/>
  <c r="O189" i="8"/>
  <c r="L190" i="8"/>
  <c r="AG188" i="8"/>
  <c r="AO188" i="8" s="1"/>
  <c r="AJ188" i="8"/>
  <c r="AR188" i="8" s="1"/>
  <c r="AF188" i="8"/>
  <c r="AN188" i="8" s="1"/>
  <c r="V188" i="8"/>
  <c r="AL189" i="8" l="1"/>
  <c r="AT189" i="8" s="1"/>
  <c r="AM189" i="8"/>
  <c r="AU189" i="8" s="1"/>
  <c r="M190" i="8"/>
  <c r="Y190" i="8" s="1"/>
  <c r="AA190" i="8" s="1"/>
  <c r="AC190" i="8" s="1"/>
  <c r="AD190" i="8" s="1"/>
  <c r="AI190" i="8" s="1"/>
  <c r="AQ190" i="8" s="1"/>
  <c r="N190" i="8"/>
  <c r="O190" i="8"/>
  <c r="L191" i="8"/>
  <c r="AF189" i="8"/>
  <c r="AN189" i="8" s="1"/>
  <c r="AG189" i="8"/>
  <c r="AO189" i="8" s="1"/>
  <c r="V189" i="8"/>
  <c r="AJ189" i="8"/>
  <c r="AR189" i="8" s="1"/>
  <c r="AL190" i="8" l="1"/>
  <c r="AT190" i="8" s="1"/>
  <c r="AM190" i="8"/>
  <c r="AU190" i="8" s="1"/>
  <c r="N191" i="8"/>
  <c r="AC191" i="8"/>
  <c r="AD191" i="8" s="1"/>
  <c r="AI191" i="8" s="1"/>
  <c r="AQ191" i="8" s="1"/>
  <c r="O191" i="8"/>
  <c r="M191" i="8"/>
  <c r="Y191" i="8" s="1"/>
  <c r="AA191" i="8" s="1"/>
  <c r="L192" i="8"/>
  <c r="AJ190" i="8"/>
  <c r="AR190" i="8" s="1"/>
  <c r="V190" i="8"/>
  <c r="AF190" i="8"/>
  <c r="AN190" i="8" s="1"/>
  <c r="AG190" i="8"/>
  <c r="AO190" i="8" s="1"/>
  <c r="AL191" i="8" l="1"/>
  <c r="AT191" i="8" s="1"/>
  <c r="AM191" i="8"/>
  <c r="AU191" i="8" s="1"/>
  <c r="M192" i="8"/>
  <c r="Y192" i="8" s="1"/>
  <c r="AA192" i="8" s="1"/>
  <c r="AC192" i="8" s="1"/>
  <c r="AD192" i="8" s="1"/>
  <c r="AI192" i="8" s="1"/>
  <c r="AQ192" i="8" s="1"/>
  <c r="O192" i="8"/>
  <c r="N192" i="8"/>
  <c r="L193" i="8"/>
  <c r="AF191" i="8"/>
  <c r="AN191" i="8" s="1"/>
  <c r="AG191" i="8"/>
  <c r="AO191" i="8" s="1"/>
  <c r="AJ191" i="8"/>
  <c r="AR191" i="8" s="1"/>
  <c r="V191" i="8"/>
  <c r="AG192" i="8" l="1"/>
  <c r="AO192" i="8" s="1"/>
  <c r="AJ192" i="8"/>
  <c r="AR192" i="8" s="1"/>
  <c r="V192" i="8"/>
  <c r="AF192" i="8"/>
  <c r="AN192" i="8" s="1"/>
  <c r="L194" i="8"/>
  <c r="O193" i="8"/>
  <c r="M193" i="8"/>
  <c r="Y193" i="8" s="1"/>
  <c r="AA193" i="8" s="1"/>
  <c r="AC193" i="8"/>
  <c r="AD193" i="8" s="1"/>
  <c r="AI193" i="8" s="1"/>
  <c r="AQ193" i="8" s="1"/>
  <c r="N193" i="8"/>
  <c r="AL192" i="8"/>
  <c r="AT192" i="8" s="1"/>
  <c r="AM192" i="8"/>
  <c r="AU192" i="8" s="1"/>
  <c r="AL193" i="8" l="1"/>
  <c r="AT193" i="8" s="1"/>
  <c r="AM193" i="8"/>
  <c r="AU193" i="8" s="1"/>
  <c r="AF193" i="8"/>
  <c r="AN193" i="8" s="1"/>
  <c r="AG193" i="8"/>
  <c r="AO193" i="8" s="1"/>
  <c r="V193" i="8"/>
  <c r="AJ193" i="8"/>
  <c r="AR193" i="8" s="1"/>
  <c r="O194" i="8"/>
  <c r="L195" i="8"/>
  <c r="M194" i="8"/>
  <c r="Y194" i="8" s="1"/>
  <c r="AA194" i="8" s="1"/>
  <c r="AC194" i="8"/>
  <c r="AD194" i="8" s="1"/>
  <c r="AI194" i="8" s="1"/>
  <c r="AQ194" i="8" s="1"/>
  <c r="N194" i="8"/>
  <c r="AL194" i="8" l="1"/>
  <c r="AT194" i="8" s="1"/>
  <c r="AM194" i="8"/>
  <c r="AU194" i="8" s="1"/>
  <c r="M195" i="8"/>
  <c r="Y195" i="8" s="1"/>
  <c r="AA195" i="8" s="1"/>
  <c r="AC195" i="8" s="1"/>
  <c r="AD195" i="8" s="1"/>
  <c r="AI195" i="8" s="1"/>
  <c r="AQ195" i="8" s="1"/>
  <c r="N195" i="8"/>
  <c r="L196" i="8"/>
  <c r="O195" i="8"/>
  <c r="AF194" i="8"/>
  <c r="AN194" i="8" s="1"/>
  <c r="AG194" i="8"/>
  <c r="AO194" i="8" s="1"/>
  <c r="V194" i="8"/>
  <c r="AJ194" i="8"/>
  <c r="AR194" i="8" s="1"/>
  <c r="AJ195" i="8" l="1"/>
  <c r="AR195" i="8" s="1"/>
  <c r="V195" i="8"/>
  <c r="AG195" i="8"/>
  <c r="AO195" i="8" s="1"/>
  <c r="AF195" i="8"/>
  <c r="AN195" i="8" s="1"/>
  <c r="M196" i="8"/>
  <c r="Y196" i="8" s="1"/>
  <c r="AA196" i="8" s="1"/>
  <c r="N196" i="8"/>
  <c r="AC196" i="8"/>
  <c r="AD196" i="8" s="1"/>
  <c r="AI196" i="8" s="1"/>
  <c r="AQ196" i="8" s="1"/>
  <c r="O196" i="8"/>
  <c r="L197" i="8"/>
  <c r="AL195" i="8"/>
  <c r="AT195" i="8" s="1"/>
  <c r="AM195" i="8"/>
  <c r="AU195" i="8" s="1"/>
  <c r="N197" i="8" l="1"/>
  <c r="L198" i="8"/>
  <c r="O197" i="8"/>
  <c r="AC197" i="8"/>
  <c r="AD197" i="8" s="1"/>
  <c r="AI197" i="8" s="1"/>
  <c r="AQ197" i="8" s="1"/>
  <c r="M197" i="8"/>
  <c r="Y197" i="8" s="1"/>
  <c r="AA197" i="8" s="1"/>
  <c r="AF196" i="8"/>
  <c r="AN196" i="8" s="1"/>
  <c r="AG196" i="8"/>
  <c r="AO196" i="8" s="1"/>
  <c r="AJ196" i="8"/>
  <c r="AR196" i="8" s="1"/>
  <c r="V196" i="8"/>
  <c r="AL196" i="8"/>
  <c r="AT196" i="8" s="1"/>
  <c r="AM196" i="8"/>
  <c r="AU196" i="8" s="1"/>
  <c r="V197" i="8" l="1"/>
  <c r="AF197" i="8"/>
  <c r="AN197" i="8" s="1"/>
  <c r="AG197" i="8"/>
  <c r="AO197" i="8" s="1"/>
  <c r="AJ197" i="8"/>
  <c r="AR197" i="8" s="1"/>
  <c r="O198" i="8"/>
  <c r="L199" i="8"/>
  <c r="M198" i="8"/>
  <c r="Y198" i="8" s="1"/>
  <c r="AA198" i="8" s="1"/>
  <c r="AC198" i="8" s="1"/>
  <c r="AD198" i="8" s="1"/>
  <c r="AI198" i="8" s="1"/>
  <c r="AQ198" i="8" s="1"/>
  <c r="N198" i="8"/>
  <c r="AL197" i="8"/>
  <c r="AT197" i="8" s="1"/>
  <c r="AM197" i="8"/>
  <c r="AU197" i="8" s="1"/>
  <c r="AM198" i="8" l="1"/>
  <c r="AU198" i="8" s="1"/>
  <c r="AL198" i="8"/>
  <c r="AT198" i="8" s="1"/>
  <c r="L200" i="8"/>
  <c r="AC199" i="8"/>
  <c r="AD199" i="8" s="1"/>
  <c r="AI199" i="8" s="1"/>
  <c r="AQ199" i="8" s="1"/>
  <c r="M199" i="8"/>
  <c r="Y199" i="8" s="1"/>
  <c r="AA199" i="8" s="1"/>
  <c r="N199" i="8"/>
  <c r="O199" i="8"/>
  <c r="V198" i="8"/>
  <c r="AF198" i="8"/>
  <c r="AN198" i="8" s="1"/>
  <c r="AG198" i="8"/>
  <c r="AO198" i="8" s="1"/>
  <c r="AJ198" i="8"/>
  <c r="AR198" i="8" s="1"/>
  <c r="AJ199" i="8" l="1"/>
  <c r="AR199" i="8" s="1"/>
  <c r="AF199" i="8"/>
  <c r="AN199" i="8" s="1"/>
  <c r="V199" i="8"/>
  <c r="AG199" i="8"/>
  <c r="AO199" i="8" s="1"/>
  <c r="AL199" i="8"/>
  <c r="AT199" i="8" s="1"/>
  <c r="AM199" i="8"/>
  <c r="AU199" i="8" s="1"/>
  <c r="M200" i="8"/>
  <c r="Y200" i="8" s="1"/>
  <c r="AA200" i="8" s="1"/>
  <c r="AC200" i="8" s="1"/>
  <c r="AD200" i="8" s="1"/>
  <c r="AI200" i="8" s="1"/>
  <c r="AQ200" i="8" s="1"/>
  <c r="N200" i="8"/>
  <c r="O200" i="8"/>
  <c r="AF200" i="8" l="1"/>
  <c r="AN200" i="8" s="1"/>
  <c r="AG200" i="8"/>
  <c r="AO200" i="8" s="1"/>
  <c r="AJ200" i="8"/>
  <c r="AR200" i="8" s="1"/>
  <c r="V200" i="8"/>
  <c r="AL200" i="8"/>
  <c r="AT200" i="8" s="1"/>
  <c r="AM200" i="8"/>
  <c r="AU20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tc={B54C75B8-49BD-4A57-9289-DABE89259FF0}</author>
  </authors>
  <commentList>
    <comment ref="E1" authorId="0" shapeId="0" xr:uid="{B54C75B8-49BD-4A57-9289-DABE89259FF0}">
      <text>
        <t>[Threaded comment]
Your version of Excel allows you to read this threaded comment; however, any edits to it will get removed if the file is opened in a newer version of Excel. Learn more: https://go.microsoft.com/fwlink/?linkid=870924
Comment:
    I did not understand what is the point of rev  = True? Then the plot will be generated with rev distance in r?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<sst xmlns="http://schemas.openxmlformats.org/spreadsheetml/2006/main" count="1331" uniqueCount="104">
  <si>
    <t>x</t>
  </si>
  <si>
    <t>y</t>
  </si>
  <si>
    <t>z</t>
  </si>
  <si>
    <t>dx(m)</t>
  </si>
  <si>
    <t>rev</t>
  </si>
  <si>
    <t>trim</t>
  </si>
  <si>
    <t>Distance (m)</t>
  </si>
  <si>
    <t>Reversed Distance (m)</t>
  </si>
  <si>
    <t>Thalweg</t>
  </si>
  <si>
    <t>Left Bank</t>
  </si>
  <si>
    <t>Right Bank</t>
  </si>
  <si>
    <t>Trimmed_z</t>
  </si>
  <si>
    <t>final depth</t>
  </si>
  <si>
    <t>Check Connectivity after Thalweg</t>
  </si>
  <si>
    <t>Check Connectivity Before Thalweg</t>
  </si>
  <si>
    <t>Thalweg Check</t>
  </si>
  <si>
    <t>depth (m)</t>
  </si>
  <si>
    <t>wse (m)</t>
  </si>
  <si>
    <t>dist</t>
  </si>
  <si>
    <t>Q</t>
  </si>
  <si>
    <t>qb_rk</t>
  </si>
  <si>
    <t>qb_ec</t>
  </si>
  <si>
    <t>qb_eb</t>
  </si>
  <si>
    <t>qb_yln</t>
  </si>
  <si>
    <t>qb_vr</t>
  </si>
  <si>
    <t>qb_wp</t>
  </si>
  <si>
    <t>qb_mpm</t>
  </si>
  <si>
    <t>q_star_rk</t>
  </si>
  <si>
    <t>q_star_ec</t>
  </si>
  <si>
    <t>q_star_eb</t>
  </si>
  <si>
    <t>q_star_yln</t>
  </si>
  <si>
    <t>q_star_vr</t>
  </si>
  <si>
    <t>q_star_wp</t>
  </si>
  <si>
    <t>q_star_mpm</t>
  </si>
  <si>
    <t>t_sm</t>
  </si>
  <si>
    <t>E_star</t>
  </si>
  <si>
    <t>om_crit</t>
  </si>
  <si>
    <t>dcritical</t>
  </si>
  <si>
    <t>omega_s</t>
  </si>
  <si>
    <t>k</t>
  </si>
  <si>
    <t>sigma</t>
  </si>
  <si>
    <t>r</t>
  </si>
  <si>
    <t>t_crit_vr</t>
  </si>
  <si>
    <t>t_crit_soul</t>
  </si>
  <si>
    <t>d_star</t>
  </si>
  <si>
    <t>t_star</t>
  </si>
  <si>
    <t>tau</t>
  </si>
  <si>
    <t>U_ferg</t>
  </si>
  <si>
    <t>Res</t>
  </si>
  <si>
    <t>R</t>
  </si>
  <si>
    <t>P</t>
  </si>
  <si>
    <t>w</t>
  </si>
  <si>
    <t>A</t>
  </si>
  <si>
    <t>connected_Depth (m)</t>
  </si>
  <si>
    <t>WSE (m)</t>
  </si>
  <si>
    <t>dp</t>
  </si>
  <si>
    <t>px</t>
  </si>
  <si>
    <t>dx</t>
  </si>
  <si>
    <t>kv (m²/s)</t>
  </si>
  <si>
    <t>a2</t>
  </si>
  <si>
    <t>a1</t>
  </si>
  <si>
    <t>Gs</t>
  </si>
  <si>
    <t>rho (kg/m³)</t>
  </si>
  <si>
    <t>rho_s (kg/m³)</t>
  </si>
  <si>
    <t>g (m/s²)</t>
  </si>
  <si>
    <t>d84 (m)</t>
  </si>
  <si>
    <t>d (m)</t>
  </si>
  <si>
    <t>S (m/m)</t>
  </si>
  <si>
    <t>flow</t>
  </si>
  <si>
    <t>area</t>
  </si>
  <si>
    <t>width</t>
  </si>
  <si>
    <t>perimeter</t>
  </si>
  <si>
    <t>velocity</t>
  </si>
  <si>
    <t>transport</t>
  </si>
  <si>
    <t>wse</t>
  </si>
  <si>
    <t>qb_conversion_rk_rp</t>
  </si>
  <si>
    <t>qb_conversion_rk</t>
  </si>
  <si>
    <t>qb_conversion_vr</t>
  </si>
  <si>
    <t>qb_conversion_eb</t>
  </si>
  <si>
    <t>qb_conversion_ec</t>
  </si>
  <si>
    <t>qb_conversion_yln</t>
  </si>
  <si>
    <t>qb_conversion_wp</t>
  </si>
  <si>
    <t>qb_conversion_mpm</t>
  </si>
  <si>
    <t>q_star_rk_rp</t>
  </si>
  <si>
    <t>K</t>
  </si>
  <si>
    <t>om_s</t>
  </si>
  <si>
    <t>U_Ferg</t>
  </si>
  <si>
    <t>Res2</t>
  </si>
  <si>
    <t>Res1</t>
  </si>
  <si>
    <t>dcrit</t>
  </si>
  <si>
    <t>t_sm_rp</t>
  </si>
  <si>
    <t>t_critical</t>
  </si>
  <si>
    <t>t_star_d84</t>
  </si>
  <si>
    <t>R_range</t>
  </si>
  <si>
    <t>tau_range</t>
  </si>
  <si>
    <t>tau_range (Last  value)</t>
  </si>
  <si>
    <t>tau_range (first value)</t>
  </si>
  <si>
    <t>tau_critical (pa)</t>
  </si>
  <si>
    <t>rho_s</t>
  </si>
  <si>
    <t>rho</t>
  </si>
  <si>
    <t>g</t>
  </si>
  <si>
    <t>d84</t>
  </si>
  <si>
    <t>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</si>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</sst>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Eaton &amp; Church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'compare_fun_test '!$L$31:$L$200</c:f>
              <c:numCache>
                <c:formatCode>General</c:formatCode>
                <c:ptCount val="170"/>
                <c:pt idx="0">
                  <c:v>57.191622173366866</c:v>
                </c:pt>
                <c:pt idx="1">
                  <c:v>58.640476601758827</c:v>
                </c:pt>
                <c:pt idx="2">
                  <c:v>60.089331030150788</c:v>
                </c:pt>
                <c:pt idx="3">
                  <c:v>61.538185458542749</c:v>
                </c:pt>
                <c:pt idx="4">
                  <c:v>62.98703988693471</c:v>
                </c:pt>
                <c:pt idx="5">
                  <c:v>64.435894315326664</c:v>
                </c:pt>
                <c:pt idx="6">
                  <c:v>65.884748743718617</c:v>
                </c:pt>
                <c:pt idx="7">
                  <c:v>67.333603172110571</c:v>
                </c:pt>
                <c:pt idx="8">
                  <c:v>68.782457600502525</c:v>
                </c:pt>
                <c:pt idx="9">
                  <c:v>70.231312028894479</c:v>
                </c:pt>
                <c:pt idx="10">
                  <c:v>71.680166457286433</c:v>
                </c:pt>
                <c:pt idx="11">
                  <c:v>73.129020885678386</c:v>
                </c:pt>
                <c:pt idx="12">
                  <c:v>74.57787531407034</c:v>
                </c:pt>
                <c:pt idx="13">
                  <c:v>76.026729742462294</c:v>
                </c:pt>
                <c:pt idx="14">
                  <c:v>77.475584170854248</c:v>
                </c:pt>
                <c:pt idx="15">
                  <c:v>78.924438599246201</c:v>
                </c:pt>
                <c:pt idx="16">
                  <c:v>80.373293027638155</c:v>
                </c:pt>
                <c:pt idx="17">
                  <c:v>81.822147456030109</c:v>
                </c:pt>
                <c:pt idx="18">
                  <c:v>83.271001884422063</c:v>
                </c:pt>
                <c:pt idx="19">
                  <c:v>84.719856312814017</c:v>
                </c:pt>
                <c:pt idx="20">
                  <c:v>86.16871074120597</c:v>
                </c:pt>
                <c:pt idx="21">
                  <c:v>87.617565169597924</c:v>
                </c:pt>
                <c:pt idx="22">
                  <c:v>89.066419597989878</c:v>
                </c:pt>
                <c:pt idx="23">
                  <c:v>90.515274026381832</c:v>
                </c:pt>
                <c:pt idx="24">
                  <c:v>91.964128454773785</c:v>
                </c:pt>
                <c:pt idx="25">
                  <c:v>93.412982883165739</c:v>
                </c:pt>
                <c:pt idx="26">
                  <c:v>94.861837311557693</c:v>
                </c:pt>
                <c:pt idx="27">
                  <c:v>96.310691739949647</c:v>
                </c:pt>
                <c:pt idx="28">
                  <c:v>97.7595461683416</c:v>
                </c:pt>
                <c:pt idx="29">
                  <c:v>99.208400596733554</c:v>
                </c:pt>
                <c:pt idx="30">
                  <c:v>100.65725502512551</c:v>
                </c:pt>
                <c:pt idx="31">
                  <c:v>102.10610945351746</c:v>
                </c:pt>
                <c:pt idx="32">
                  <c:v>103.55496388190942</c:v>
                </c:pt>
                <c:pt idx="33">
                  <c:v>105.00381831030137</c:v>
                </c:pt>
                <c:pt idx="34">
                  <c:v>106.45267273869332</c:v>
                </c:pt>
                <c:pt idx="35">
                  <c:v>107.90152716708528</c:v>
                </c:pt>
                <c:pt idx="36">
                  <c:v>109.35038159547723</c:v>
                </c:pt>
                <c:pt idx="37">
                  <c:v>110.79923602386918</c:v>
                </c:pt>
                <c:pt idx="38">
                  <c:v>112.24809045226114</c:v>
                </c:pt>
                <c:pt idx="39">
                  <c:v>113.69694488065309</c:v>
                </c:pt>
                <c:pt idx="40">
                  <c:v>115.14579930904505</c:v>
                </c:pt>
                <c:pt idx="41">
                  <c:v>116.594653737437</c:v>
                </c:pt>
                <c:pt idx="42">
                  <c:v>118.04350816582895</c:v>
                </c:pt>
                <c:pt idx="43">
                  <c:v>119.49236259422091</c:v>
                </c:pt>
                <c:pt idx="44">
                  <c:v>120.94121702261286</c:v>
                </c:pt>
                <c:pt idx="45">
                  <c:v>122.39007145100481</c:v>
                </c:pt>
                <c:pt idx="46">
                  <c:v>123.83892587939677</c:v>
                </c:pt>
                <c:pt idx="47">
                  <c:v>125.28778030778872</c:v>
                </c:pt>
                <c:pt idx="48">
                  <c:v>126.73663473618068</c:v>
                </c:pt>
                <c:pt idx="49">
                  <c:v>128.18548916457263</c:v>
                </c:pt>
                <c:pt idx="50">
                  <c:v>129.6343435929646</c:v>
                </c:pt>
                <c:pt idx="51">
                  <c:v>131.08319802135657</c:v>
                </c:pt>
                <c:pt idx="52">
                  <c:v>132.53205244974853</c:v>
                </c:pt>
                <c:pt idx="53">
                  <c:v>133.9809068781405</c:v>
                </c:pt>
                <c:pt idx="54">
                  <c:v>135.42976130653247</c:v>
                </c:pt>
                <c:pt idx="55">
                  <c:v>136.87861573492444</c:v>
                </c:pt>
                <c:pt idx="56">
                  <c:v>138.32747016331641</c:v>
                </c:pt>
                <c:pt idx="57">
                  <c:v>139.77632459170837</c:v>
                </c:pt>
                <c:pt idx="58">
                  <c:v>141.22517902010034</c:v>
                </c:pt>
                <c:pt idx="59">
                  <c:v>142.67403344849231</c:v>
                </c:pt>
                <c:pt idx="60">
                  <c:v>144.12288787688428</c:v>
                </c:pt>
                <c:pt idx="61">
                  <c:v>145.57174230527625</c:v>
                </c:pt>
                <c:pt idx="62">
                  <c:v>147.02059673366821</c:v>
                </c:pt>
                <c:pt idx="63">
                  <c:v>148.46945116206018</c:v>
                </c:pt>
                <c:pt idx="64">
                  <c:v>149.91830559045215</c:v>
                </c:pt>
                <c:pt idx="65">
                  <c:v>151.36716001884412</c:v>
                </c:pt>
                <c:pt idx="66">
                  <c:v>152.81601444723609</c:v>
                </c:pt>
                <c:pt idx="67">
                  <c:v>154.26486887562805</c:v>
                </c:pt>
                <c:pt idx="68">
                  <c:v>155.71372330402002</c:v>
                </c:pt>
                <c:pt idx="69">
                  <c:v>157.16257773241199</c:v>
                </c:pt>
                <c:pt idx="70">
                  <c:v>158.61143216080396</c:v>
                </c:pt>
                <c:pt idx="71">
                  <c:v>160.06028658919593</c:v>
                </c:pt>
                <c:pt idx="72">
                  <c:v>161.50914101758789</c:v>
                </c:pt>
                <c:pt idx="73">
                  <c:v>162.95799544597986</c:v>
                </c:pt>
                <c:pt idx="74">
                  <c:v>164.40684987437183</c:v>
                </c:pt>
                <c:pt idx="75">
                  <c:v>165.8557043027638</c:v>
                </c:pt>
                <c:pt idx="76">
                  <c:v>167.30455873115577</c:v>
                </c:pt>
                <c:pt idx="77">
                  <c:v>168.75341315954773</c:v>
                </c:pt>
                <c:pt idx="78">
                  <c:v>170.2022675879397</c:v>
                </c:pt>
                <c:pt idx="79">
                  <c:v>171.65112201633167</c:v>
                </c:pt>
                <c:pt idx="80">
                  <c:v>173.09997644472364</c:v>
                </c:pt>
                <c:pt idx="81">
                  <c:v>174.54883087311561</c:v>
                </c:pt>
                <c:pt idx="82">
                  <c:v>175.99768530150757</c:v>
                </c:pt>
                <c:pt idx="83">
                  <c:v>177.44653972989954</c:v>
                </c:pt>
                <c:pt idx="84">
                  <c:v>178.89539415829151</c:v>
                </c:pt>
                <c:pt idx="85">
                  <c:v>180.34424858668348</c:v>
                </c:pt>
                <c:pt idx="86">
                  <c:v>181.79310301507545</c:v>
                </c:pt>
                <c:pt idx="87">
                  <c:v>183.24195744346741</c:v>
                </c:pt>
                <c:pt idx="88">
                  <c:v>184.69081187185938</c:v>
                </c:pt>
                <c:pt idx="89">
                  <c:v>186.13966630025135</c:v>
                </c:pt>
                <c:pt idx="90">
                  <c:v>187.58852072864332</c:v>
                </c:pt>
                <c:pt idx="91">
                  <c:v>189.03737515703529</c:v>
                </c:pt>
                <c:pt idx="92">
                  <c:v>190.48622958542725</c:v>
                </c:pt>
                <c:pt idx="93">
                  <c:v>191.93508401381922</c:v>
                </c:pt>
                <c:pt idx="94">
                  <c:v>193.38393844221119</c:v>
                </c:pt>
                <c:pt idx="95">
                  <c:v>194.83279287060316</c:v>
                </c:pt>
                <c:pt idx="96">
                  <c:v>196.28164729899513</c:v>
                </c:pt>
                <c:pt idx="97">
                  <c:v>197.73050172738709</c:v>
                </c:pt>
                <c:pt idx="98">
                  <c:v>199.17935615577906</c:v>
                </c:pt>
                <c:pt idx="99">
                  <c:v>200.62821058417103</c:v>
                </c:pt>
                <c:pt idx="100">
                  <c:v>202.077065012563</c:v>
                </c:pt>
                <c:pt idx="101">
                  <c:v>203.52591944095497</c:v>
                </c:pt>
                <c:pt idx="102">
                  <c:v>204.97477386934693</c:v>
                </c:pt>
                <c:pt idx="103">
                  <c:v>206.4236282977389</c:v>
                </c:pt>
                <c:pt idx="104">
                  <c:v>207.87248272613087</c:v>
                </c:pt>
                <c:pt idx="105">
                  <c:v>209.32133715452284</c:v>
                </c:pt>
                <c:pt idx="106">
                  <c:v>210.7701915829148</c:v>
                </c:pt>
                <c:pt idx="107">
                  <c:v>212.21904601130677</c:v>
                </c:pt>
                <c:pt idx="108">
                  <c:v>213.66790043969874</c:v>
                </c:pt>
                <c:pt idx="109">
                  <c:v>215.11675486809071</c:v>
                </c:pt>
                <c:pt idx="110">
                  <c:v>216.56560929648268</c:v>
                </c:pt>
                <c:pt idx="111">
                  <c:v>218.01446372487464</c:v>
                </c:pt>
                <c:pt idx="112">
                  <c:v>219.46331815326661</c:v>
                </c:pt>
                <c:pt idx="113">
                  <c:v>220.91217258165858</c:v>
                </c:pt>
                <c:pt idx="114">
                  <c:v>222.36102701005055</c:v>
                </c:pt>
                <c:pt idx="115">
                  <c:v>223.80988143844252</c:v>
                </c:pt>
                <c:pt idx="116">
                  <c:v>225.25873586683448</c:v>
                </c:pt>
                <c:pt idx="117">
                  <c:v>226.70759029522645</c:v>
                </c:pt>
                <c:pt idx="118">
                  <c:v>228.15644472361842</c:v>
                </c:pt>
                <c:pt idx="119">
                  <c:v>229.60529915201039</c:v>
                </c:pt>
                <c:pt idx="120">
                  <c:v>231.05415358040236</c:v>
                </c:pt>
                <c:pt idx="121">
                  <c:v>232.50300800879432</c:v>
                </c:pt>
                <c:pt idx="122">
                  <c:v>233.95186243718629</c:v>
                </c:pt>
                <c:pt idx="123">
                  <c:v>235.40071686557826</c:v>
                </c:pt>
                <c:pt idx="124">
                  <c:v>236.84957129397023</c:v>
                </c:pt>
                <c:pt idx="125">
                  <c:v>238.2984257223622</c:v>
                </c:pt>
                <c:pt idx="126">
                  <c:v>239.74728015075416</c:v>
                </c:pt>
                <c:pt idx="127">
                  <c:v>241.19613457914613</c:v>
                </c:pt>
                <c:pt idx="128">
                  <c:v>242.6449890075381</c:v>
                </c:pt>
                <c:pt idx="129">
                  <c:v>244.09384343593007</c:v>
                </c:pt>
                <c:pt idx="130">
                  <c:v>245.54269786432204</c:v>
                </c:pt>
                <c:pt idx="131">
                  <c:v>246.991552292714</c:v>
                </c:pt>
                <c:pt idx="132">
                  <c:v>248.44040672110597</c:v>
                </c:pt>
                <c:pt idx="133">
                  <c:v>249.88926114949794</c:v>
                </c:pt>
                <c:pt idx="134">
                  <c:v>251.33811557788991</c:v>
                </c:pt>
                <c:pt idx="135">
                  <c:v>252.78697000628188</c:v>
                </c:pt>
                <c:pt idx="136">
                  <c:v>254.23582443467384</c:v>
                </c:pt>
                <c:pt idx="137">
                  <c:v>255.68467886306581</c:v>
                </c:pt>
                <c:pt idx="138">
                  <c:v>257.13353329145775</c:v>
                </c:pt>
                <c:pt idx="139">
                  <c:v>258.58238771984969</c:v>
                </c:pt>
                <c:pt idx="140">
                  <c:v>260.03124214824163</c:v>
                </c:pt>
                <c:pt idx="141">
                  <c:v>261.48009657663357</c:v>
                </c:pt>
                <c:pt idx="142">
                  <c:v>262.92895100502551</c:v>
                </c:pt>
                <c:pt idx="143">
                  <c:v>264.37780543341745</c:v>
                </c:pt>
                <c:pt idx="144">
                  <c:v>265.82665986180939</c:v>
                </c:pt>
                <c:pt idx="145">
                  <c:v>267.27551429020133</c:v>
                </c:pt>
                <c:pt idx="146">
                  <c:v>268.72436871859327</c:v>
                </c:pt>
                <c:pt idx="147">
                  <c:v>270.17322314698521</c:v>
                </c:pt>
                <c:pt idx="148">
                  <c:v>271.62207757537715</c:v>
                </c:pt>
                <c:pt idx="149">
                  <c:v>273.07093200376909</c:v>
                </c:pt>
                <c:pt idx="150">
                  <c:v>274.51978643216103</c:v>
                </c:pt>
                <c:pt idx="151">
                  <c:v>275.96864086055297</c:v>
                </c:pt>
                <c:pt idx="152">
                  <c:v>277.41749528894491</c:v>
                </c:pt>
                <c:pt idx="153">
                  <c:v>278.86634971733685</c:v>
                </c:pt>
                <c:pt idx="154">
                  <c:v>280.31520414572879</c:v>
                </c:pt>
                <c:pt idx="155">
                  <c:v>281.76405857412072</c:v>
                </c:pt>
                <c:pt idx="156">
                  <c:v>283.21291300251266</c:v>
                </c:pt>
                <c:pt idx="157">
                  <c:v>284.6617674309046</c:v>
                </c:pt>
                <c:pt idx="158">
                  <c:v>286.11062185929654</c:v>
                </c:pt>
                <c:pt idx="159">
                  <c:v>287.55947628768848</c:v>
                </c:pt>
                <c:pt idx="160">
                  <c:v>289.00833071608042</c:v>
                </c:pt>
                <c:pt idx="161">
                  <c:v>290.45718514447236</c:v>
                </c:pt>
                <c:pt idx="162">
                  <c:v>291.9060395728643</c:v>
                </c:pt>
                <c:pt idx="163">
                  <c:v>293.35489400125624</c:v>
                </c:pt>
                <c:pt idx="164">
                  <c:v>294.80374842964818</c:v>
                </c:pt>
                <c:pt idx="165">
                  <c:v>296.25260285804012</c:v>
                </c:pt>
                <c:pt idx="166">
                  <c:v>297.70145728643206</c:v>
                </c:pt>
                <c:pt idx="167">
                  <c:v>299.150311714824</c:v>
                </c:pt>
                <c:pt idx="168">
                  <c:v>300.59916614321594</c:v>
                </c:pt>
                <c:pt idx="169">
                  <c:v>302.04802057160788</c:v>
                </c:pt>
              </c:numCache>
            </c:numRef>
          </c:xVal>
          <c:yVal>
            <c:numRef>
              <c:f>'compare_fun_test '!$AQ$31:$AQ$200</c:f>
              <c:numCache>
                <c:formatCode>General</c:formatCode>
                <c:ptCount val="170"/>
                <c:pt idx="0">
                  <c:v>4.7801346691911336E-5</c:v>
                </c:pt>
                <c:pt idx="1">
                  <c:v>5.689046915405233E-5</c:v>
                </c:pt>
                <c:pt idx="2">
                  <c:v>6.7077815167640673E-5</c:v>
                </c:pt>
                <c:pt idx="3">
                  <c:v>7.8417566886461619E-5</c:v>
                </c:pt>
                <c:pt idx="4">
                  <c:v>9.0961177129381338E-5</c:v>
                </c:pt>
                <c:pt idx="5">
                  <c:v>1.0475734919475589E-4</c:v>
                </c:pt>
                <c:pt idx="6">
                  <c:v>1.1985204621765282E-4</c:v>
                </c:pt>
                <c:pt idx="7">
                  <c:v>1.3628852445417614E-4</c:v>
                </c:pt>
                <c:pt idx="8">
                  <c:v>1.5410738564781198E-4</c:v>
                </c:pt>
                <c:pt idx="9">
                  <c:v>1.7334664433407194E-4</c:v>
                </c:pt>
                <c:pt idx="10">
                  <c:v>1.9404180656750324E-4</c:v>
                </c:pt>
                <c:pt idx="11">
                  <c:v>2.1622595710997684E-4</c:v>
                </c:pt>
                <c:pt idx="12">
                  <c:v>2.3992985260448454E-4</c:v>
                </c:pt>
                <c:pt idx="13">
                  <c:v>2.6518201867966625E-4</c:v>
                </c:pt>
                <c:pt idx="14">
                  <c:v>2.9200884929284695E-4</c:v>
                </c:pt>
                <c:pt idx="15">
                  <c:v>3.2043470692974031E-4</c:v>
                </c:pt>
                <c:pt idx="16">
                  <c:v>3.5048202254318167E-4</c:v>
                </c:pt>
                <c:pt idx="17">
                  <c:v>3.8217139433707222E-4</c:v>
                </c:pt>
                <c:pt idx="18">
                  <c:v>4.1552168469038503E-4</c:v>
                </c:pt>
                <c:pt idx="19">
                  <c:v>4.5055011467444163E-4</c:v>
                </c:pt>
                <c:pt idx="20">
                  <c:v>4.8727235574890399E-4</c:v>
                </c:pt>
                <c:pt idx="21">
                  <c:v>5.2570261833187969E-4</c:v>
                </c:pt>
                <c:pt idx="22">
                  <c:v>5.6585373703044357E-4</c:v>
                </c:pt>
                <c:pt idx="23">
                  <c:v>6.0773725239264055E-4</c:v>
                </c:pt>
                <c:pt idx="24">
                  <c:v>6.5136348910311908E-4</c:v>
                </c:pt>
                <c:pt idx="25">
                  <c:v>6.9674163059405361E-4</c:v>
                </c:pt>
                <c:pt idx="26">
                  <c:v>7.4387979008288889E-4</c:v>
                </c:pt>
                <c:pt idx="27">
                  <c:v>7.9278507808004509E-4</c:v>
                </c:pt>
                <c:pt idx="28">
                  <c:v>8.4346366643462528E-4</c:v>
                </c:pt>
                <c:pt idx="29">
                  <c:v>8.9592084900536474E-4</c:v>
                </c:pt>
                <c:pt idx="30">
                  <c:v>9.5016109905844259E-4</c:v>
                </c:pt>
                <c:pt idx="31">
                  <c:v>1.0061881235044327E-3</c:v>
                </c:pt>
                <c:pt idx="32">
                  <c:v>1.0640049140939667E-3</c:v>
                </c:pt>
                <c:pt idx="33">
                  <c:v>1.1236137956964003E-3</c:v>
                </c:pt>
                <c:pt idx="34">
                  <c:v>1.1850164717883659E-3</c:v>
                </c:pt>
                <c:pt idx="35">
                  <c:v>1.2482140672799157E-3</c:v>
                </c:pt>
                <c:pt idx="36">
                  <c:v>1.3132071688054276E-3</c:v>
                </c:pt>
                <c:pt idx="37">
                  <c:v>1.3799958626047576E-3</c:v>
                </c:pt>
                <c:pt idx="38">
                  <c:v>1.4485797701176716E-3</c:v>
                </c:pt>
                <c:pt idx="39">
                  <c:v>1.5189580814113251E-3</c:v>
                </c:pt>
                <c:pt idx="40">
                  <c:v>1.5911295865569802E-3</c:v>
                </c:pt>
                <c:pt idx="41">
                  <c:v>1.6650927050680185E-3</c:v>
                </c:pt>
                <c:pt idx="42">
                  <c:v>1.740845513507076E-3</c:v>
                </c:pt>
                <c:pt idx="43">
                  <c:v>1.8183857713656919E-3</c:v>
                </c:pt>
                <c:pt idx="44">
                  <c:v>1.8977109453152826E-3</c:v>
                </c:pt>
                <c:pt idx="45">
                  <c:v>1.9788182319237283E-3</c:v>
                </c:pt>
                <c:pt idx="46">
                  <c:v>2.0617045789273697E-3</c:v>
                </c:pt>
                <c:pt idx="47">
                  <c:v>2.1463667051436625E-3</c:v>
                </c:pt>
                <c:pt idx="48">
                  <c:v>2.2328011191054568E-3</c:v>
                </c:pt>
                <c:pt idx="49">
                  <c:v>2.3210041364935784E-3</c:v>
                </c:pt>
                <c:pt idx="50">
                  <c:v>2.410971896440222E-3</c:v>
                </c:pt>
                <c:pt idx="51">
                  <c:v>2.5027003767718039E-3</c:v>
                </c:pt>
                <c:pt idx="52">
                  <c:v>2.5961854082559685E-3</c:v>
                </c:pt>
                <c:pt idx="53">
                  <c:v>2.6914226879138949E-3</c:v>
                </c:pt>
                <c:pt idx="54">
                  <c:v>2.7884077914554712E-3</c:v>
                </c:pt>
                <c:pt idx="55">
                  <c:v>2.88713618489163E-3</c:v>
                </c:pt>
                <c:pt idx="56">
                  <c:v>2.9876032353748643E-3</c:v>
                </c:pt>
                <c:pt idx="57">
                  <c:v>3.0898042213161024E-3</c:v>
                </c:pt>
                <c:pt idx="58">
                  <c:v>3.193734341823011E-3</c:v>
                </c:pt>
                <c:pt idx="59">
                  <c:v>3.2993887255023742E-3</c:v>
                </c:pt>
                <c:pt idx="60">
                  <c:v>3.4067624386663457E-3</c:v>
                </c:pt>
                <c:pt idx="61">
                  <c:v>3.5158504929801893E-3</c:v>
                </c:pt>
                <c:pt idx="62">
                  <c:v>3.6266478525866807E-3</c:v>
                </c:pt>
                <c:pt idx="63">
                  <c:v>3.7391494407402457E-3</c:v>
                </c:pt>
                <c:pt idx="64">
                  <c:v>3.8533501459819008E-3</c:v>
                </c:pt>
                <c:pt idx="65">
                  <c:v>3.9692448278841061E-3</c:v>
                </c:pt>
                <c:pt idx="66">
                  <c:v>4.0868283223928171E-3</c:v>
                </c:pt>
                <c:pt idx="67">
                  <c:v>4.2060954467924303E-3</c:v>
                </c:pt>
                <c:pt idx="68">
                  <c:v>4.3270410043176393E-3</c:v>
                </c:pt>
                <c:pt idx="69">
                  <c:v>4.4496597884346777E-3</c:v>
                </c:pt>
                <c:pt idx="70">
                  <c:v>4.5739465868131803E-3</c:v>
                </c:pt>
                <c:pt idx="71">
                  <c:v>4.6998961850083952E-3</c:v>
                </c:pt>
                <c:pt idx="72">
                  <c:v>4.8275033698723779E-3</c:v>
                </c:pt>
                <c:pt idx="73">
                  <c:v>4.9567629327115208E-3</c:v>
                </c:pt>
                <c:pt idx="74">
                  <c:v>5.0876696722067741E-3</c:v>
                </c:pt>
                <c:pt idx="75">
                  <c:v>5.2202183971118525E-3</c:v>
                </c:pt>
                <c:pt idx="76">
                  <c:v>5.3544039287437388E-3</c:v>
                </c:pt>
                <c:pt idx="77">
                  <c:v>5.4902211032788811E-3</c:v>
                </c:pt>
                <c:pt idx="78">
                  <c:v>5.6276647738678024E-3</c:v>
                </c:pt>
                <c:pt idx="79">
                  <c:v>5.7667298125797127E-3</c:v>
                </c:pt>
                <c:pt idx="80">
                  <c:v>5.9074111121884178E-3</c:v>
                </c:pt>
                <c:pt idx="81">
                  <c:v>6.0497035878096309E-3</c:v>
                </c:pt>
                <c:pt idx="82">
                  <c:v>6.1936021783995645E-3</c:v>
                </c:pt>
                <c:pt idx="83">
                  <c:v>6.3391018481238921E-3</c:v>
                </c:pt>
                <c:pt idx="84">
                  <c:v>6.4861975876054348E-3</c:v>
                </c:pt>
                <c:pt idx="85">
                  <c:v>6.6348844150588169E-3</c:v>
                </c:pt>
                <c:pt idx="86">
                  <c:v>6.7851573773192704E-3</c:v>
                </c:pt>
                <c:pt idx="87">
                  <c:v>6.937011550772895E-3</c:v>
                </c:pt>
                <c:pt idx="88">
                  <c:v>7.0904420421946885E-3</c:v>
                </c:pt>
                <c:pt idx="89">
                  <c:v>7.2454439895006549E-3</c:v>
                </c:pt>
                <c:pt idx="90">
                  <c:v>7.4020125624197275E-3</c:v>
                </c:pt>
                <c:pt idx="91">
                  <c:v>7.5601429630908776E-3</c:v>
                </c:pt>
                <c:pt idx="92">
                  <c:v>7.7198304265904318E-3</c:v>
                </c:pt>
                <c:pt idx="93">
                  <c:v>7.8810702213944778E-3</c:v>
                </c:pt>
                <c:pt idx="94">
                  <c:v>8.0438576497806127E-3</c:v>
                </c:pt>
                <c:pt idx="95">
                  <c:v>8.2081880481734287E-3</c:v>
                </c:pt>
                <c:pt idx="96">
                  <c:v>8.3740567874373232E-3</c:v>
                </c:pt>
                <c:pt idx="97">
                  <c:v>8.5414592731206749E-3</c:v>
                </c:pt>
                <c:pt idx="98">
                  <c:v>8.7103909456544004E-3</c:v>
                </c:pt>
                <c:pt idx="99">
                  <c:v>8.8808472805083968E-3</c:v>
                </c:pt>
                <c:pt idx="100">
                  <c:v>9.0528237883088156E-3</c:v>
                </c:pt>
                <c:pt idx="101">
                  <c:v>9.2263160149187971E-3</c:v>
                </c:pt>
                <c:pt idx="102">
                  <c:v>9.4013195414855387E-3</c:v>
                </c:pt>
                <c:pt idx="103">
                  <c:v>9.5778299844560995E-3</c:v>
                </c:pt>
                <c:pt idx="104">
                  <c:v>9.7558429955640503E-3</c:v>
                </c:pt>
                <c:pt idx="105">
                  <c:v>9.9353542617894603E-3</c:v>
                </c:pt>
                <c:pt idx="106">
                  <c:v>1.0116359505294039E-2</c:v>
                </c:pt>
                <c:pt idx="107">
                  <c:v>1.0298854483333311E-2</c:v>
                </c:pt>
                <c:pt idx="108">
                  <c:v>1.0482834988147728E-2</c:v>
                </c:pt>
                <c:pt idx="109">
                  <c:v>1.0668296846834329E-2</c:v>
                </c:pt>
                <c:pt idx="110">
                  <c:v>1.0855235921200366E-2</c:v>
                </c:pt>
                <c:pt idx="111">
                  <c:v>1.104364810760069E-2</c:v>
                </c:pt>
                <c:pt idx="112">
                  <c:v>1.1233529336759791E-2</c:v>
                </c:pt>
                <c:pt idx="113">
                  <c:v>1.1424875573580216E-2</c:v>
                </c:pt>
                <c:pt idx="114">
                  <c:v>1.1617682816938223E-2</c:v>
                </c:pt>
                <c:pt idx="115">
                  <c:v>1.1811947099468067E-2</c:v>
                </c:pt>
                <c:pt idx="116">
                  <c:v>1.2007664487335661E-2</c:v>
                </c:pt>
                <c:pt idx="117">
                  <c:v>1.220483108000278E-2</c:v>
                </c:pt>
                <c:pt idx="118">
                  <c:v>1.2403443009982794E-2</c:v>
                </c:pt>
                <c:pt idx="119">
                  <c:v>1.2603496442588468E-2</c:v>
                </c:pt>
                <c:pt idx="120">
                  <c:v>1.2804987575672956E-2</c:v>
                </c:pt>
                <c:pt idx="121">
                  <c:v>1.3007912639364603E-2</c:v>
                </c:pt>
                <c:pt idx="122">
                  <c:v>1.3212267895796059E-2</c:v>
                </c:pt>
                <c:pt idx="123">
                  <c:v>1.3418049638828752E-2</c:v>
                </c:pt>
                <c:pt idx="124">
                  <c:v>1.3625254193773013E-2</c:v>
                </c:pt>
                <c:pt idx="125">
                  <c:v>1.3833877917104389E-2</c:v>
                </c:pt>
                <c:pt idx="126">
                  <c:v>1.4043917196176915E-2</c:v>
                </c:pt>
                <c:pt idx="127">
                  <c:v>1.4255368448933678E-2</c:v>
                </c:pt>
                <c:pt idx="128">
                  <c:v>1.446822812361508E-2</c:v>
                </c:pt>
                <c:pt idx="129">
                  <c:v>1.4682492698465307E-2</c:v>
                </c:pt>
                <c:pt idx="130">
                  <c:v>1.4898158681437422E-2</c:v>
                </c:pt>
                <c:pt idx="131">
                  <c:v>1.5115222609897318E-2</c:v>
                </c:pt>
                <c:pt idx="132">
                  <c:v>1.5333681050327091E-2</c:v>
                </c:pt>
                <c:pt idx="133">
                  <c:v>1.5553530598027755E-2</c:v>
                </c:pt>
                <c:pt idx="134">
                  <c:v>1.5774767876822138E-2</c:v>
                </c:pt>
                <c:pt idx="135">
                  <c:v>1.599738953875773E-2</c:v>
                </c:pt>
                <c:pt idx="136">
                  <c:v>1.6221392263810044E-2</c:v>
                </c:pt>
                <c:pt idx="137">
                  <c:v>1.6446772759586534E-2</c:v>
                </c:pt>
                <c:pt idx="138">
                  <c:v>1.6673527761031374E-2</c:v>
                </c:pt>
                <c:pt idx="139">
                  <c:v>1.690165403013142E-2</c:v>
                </c:pt>
                <c:pt idx="140">
                  <c:v>1.7131148355623182E-2</c:v>
                </c:pt>
                <c:pt idx="141">
                  <c:v>1.7362007552701352E-2</c:v>
                </c:pt>
                <c:pt idx="142">
                  <c:v>1.7594228462728852E-2</c:v>
                </c:pt>
                <c:pt idx="143">
                  <c:v>1.7827807952948523E-2</c:v>
                </c:pt>
                <c:pt idx="144">
                  <c:v>1.8062742916196601E-2</c:v>
                </c:pt>
                <c:pt idx="145">
                  <c:v>1.8299030270618282E-2</c:v>
                </c:pt>
                <c:pt idx="146">
                  <c:v>1.8536666959385221E-2</c:v>
                </c:pt>
                <c:pt idx="147">
                  <c:v>1.8775649950415061E-2</c:v>
                </c:pt>
                <c:pt idx="148">
                  <c:v>1.9015976236093472E-2</c:v>
                </c:pt>
                <c:pt idx="149">
                  <c:v>1.9257642832998252E-2</c:v>
                </c:pt>
                <c:pt idx="150">
                  <c:v>1.9500646781625833E-2</c:v>
                </c:pt>
                <c:pt idx="151">
                  <c:v>1.9744985146120407E-2</c:v>
                </c:pt>
                <c:pt idx="152">
                  <c:v>1.9990655014005286E-2</c:v>
                </c:pt>
                <c:pt idx="153">
                  <c:v>2.023765349591709E-2</c:v>
                </c:pt>
                <c:pt idx="154">
                  <c:v>2.0485977725342233E-2</c:v>
                </c:pt>
                <c:pt idx="155">
                  <c:v>2.0735624858356286E-2</c:v>
                </c:pt>
                <c:pt idx="156">
                  <c:v>2.0986592073365971E-2</c:v>
                </c:pt>
                <c:pt idx="157">
                  <c:v>2.123887657085359E-2</c:v>
                </c:pt>
                <c:pt idx="158">
                  <c:v>2.1492475573124607E-2</c:v>
                </c:pt>
                <c:pt idx="159">
                  <c:v>2.1747386324057524E-2</c:v>
                </c:pt>
                <c:pt idx="160">
                  <c:v>2.2003606088856875E-2</c:v>
                </c:pt>
                <c:pt idx="161">
                  <c:v>2.2261132153808698E-2</c:v>
                </c:pt>
                <c:pt idx="162">
                  <c:v>2.2519961826038954E-2</c:v>
                </c:pt>
                <c:pt idx="163">
                  <c:v>2.2780092433274696E-2</c:v>
                </c:pt>
                <c:pt idx="164">
                  <c:v>2.3041521323607879E-2</c:v>
                </c:pt>
                <c:pt idx="165">
                  <c:v>2.3304245865262224E-2</c:v>
                </c:pt>
                <c:pt idx="166">
                  <c:v>2.3568263446362561E-2</c:v>
                </c:pt>
                <c:pt idx="167">
                  <c:v>2.3833571474707126E-2</c:v>
                </c:pt>
                <c:pt idx="168">
                  <c:v>2.4100167377542513E-2</c:v>
                </c:pt>
                <c:pt idx="169">
                  <c:v>2.4368048601341553E-2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5-4645-B8FD-A590AF870385}"/>
            </c:ext>
          </c:extLst>
        </c:ser>
        <c:ser>
          <c:idx val="1"/>
          <c:order val="1"/>
          <c:tx>
            <c:v>Einstein &amp; Brown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'compare_fun_test '!$L$31:$L$200</c:f>
              <c:numCache>
                <c:formatCode>General</c:formatCode>
                <c:ptCount val="170"/>
                <c:pt idx="0">
                  <c:v>57.191622173366866</c:v>
                </c:pt>
                <c:pt idx="1">
                  <c:v>58.640476601758827</c:v>
                </c:pt>
                <c:pt idx="2">
                  <c:v>60.089331030150788</c:v>
                </c:pt>
                <c:pt idx="3">
                  <c:v>61.538185458542749</c:v>
                </c:pt>
                <c:pt idx="4">
                  <c:v>62.98703988693471</c:v>
                </c:pt>
                <c:pt idx="5">
                  <c:v>64.435894315326664</c:v>
                </c:pt>
                <c:pt idx="6">
                  <c:v>65.884748743718617</c:v>
                </c:pt>
                <c:pt idx="7">
                  <c:v>67.333603172110571</c:v>
                </c:pt>
                <c:pt idx="8">
                  <c:v>68.782457600502525</c:v>
                </c:pt>
                <c:pt idx="9">
                  <c:v>70.231312028894479</c:v>
                </c:pt>
                <c:pt idx="10">
                  <c:v>71.680166457286433</c:v>
                </c:pt>
                <c:pt idx="11">
                  <c:v>73.129020885678386</c:v>
                </c:pt>
                <c:pt idx="12">
                  <c:v>74.57787531407034</c:v>
                </c:pt>
                <c:pt idx="13">
                  <c:v>76.026729742462294</c:v>
                </c:pt>
                <c:pt idx="14">
                  <c:v>77.475584170854248</c:v>
                </c:pt>
                <c:pt idx="15">
                  <c:v>78.924438599246201</c:v>
                </c:pt>
                <c:pt idx="16">
                  <c:v>80.373293027638155</c:v>
                </c:pt>
                <c:pt idx="17">
                  <c:v>81.822147456030109</c:v>
                </c:pt>
                <c:pt idx="18">
                  <c:v>83.271001884422063</c:v>
                </c:pt>
                <c:pt idx="19">
                  <c:v>84.719856312814017</c:v>
                </c:pt>
                <c:pt idx="20">
                  <c:v>86.16871074120597</c:v>
                </c:pt>
                <c:pt idx="21">
                  <c:v>87.617565169597924</c:v>
                </c:pt>
                <c:pt idx="22">
                  <c:v>89.066419597989878</c:v>
                </c:pt>
                <c:pt idx="23">
                  <c:v>90.515274026381832</c:v>
                </c:pt>
                <c:pt idx="24">
                  <c:v>91.964128454773785</c:v>
                </c:pt>
                <c:pt idx="25">
                  <c:v>93.412982883165739</c:v>
                </c:pt>
                <c:pt idx="26">
                  <c:v>94.861837311557693</c:v>
                </c:pt>
                <c:pt idx="27">
                  <c:v>96.310691739949647</c:v>
                </c:pt>
                <c:pt idx="28">
                  <c:v>97.7595461683416</c:v>
                </c:pt>
                <c:pt idx="29">
                  <c:v>99.208400596733554</c:v>
                </c:pt>
                <c:pt idx="30">
                  <c:v>100.65725502512551</c:v>
                </c:pt>
                <c:pt idx="31">
                  <c:v>102.10610945351746</c:v>
                </c:pt>
                <c:pt idx="32">
                  <c:v>103.55496388190942</c:v>
                </c:pt>
                <c:pt idx="33">
                  <c:v>105.00381831030137</c:v>
                </c:pt>
                <c:pt idx="34">
                  <c:v>106.45267273869332</c:v>
                </c:pt>
                <c:pt idx="35">
                  <c:v>107.90152716708528</c:v>
                </c:pt>
                <c:pt idx="36">
                  <c:v>109.35038159547723</c:v>
                </c:pt>
                <c:pt idx="37">
                  <c:v>110.79923602386918</c:v>
                </c:pt>
                <c:pt idx="38">
                  <c:v>112.24809045226114</c:v>
                </c:pt>
                <c:pt idx="39">
                  <c:v>113.69694488065309</c:v>
                </c:pt>
                <c:pt idx="40">
                  <c:v>115.14579930904505</c:v>
                </c:pt>
                <c:pt idx="41">
                  <c:v>116.594653737437</c:v>
                </c:pt>
                <c:pt idx="42">
                  <c:v>118.04350816582895</c:v>
                </c:pt>
                <c:pt idx="43">
                  <c:v>119.49236259422091</c:v>
                </c:pt>
                <c:pt idx="44">
                  <c:v>120.94121702261286</c:v>
                </c:pt>
                <c:pt idx="45">
                  <c:v>122.39007145100481</c:v>
                </c:pt>
                <c:pt idx="46">
                  <c:v>123.83892587939677</c:v>
                </c:pt>
                <c:pt idx="47">
                  <c:v>125.28778030778872</c:v>
                </c:pt>
                <c:pt idx="48">
                  <c:v>126.73663473618068</c:v>
                </c:pt>
                <c:pt idx="49">
                  <c:v>128.18548916457263</c:v>
                </c:pt>
                <c:pt idx="50">
                  <c:v>129.6343435929646</c:v>
                </c:pt>
                <c:pt idx="51">
                  <c:v>131.08319802135657</c:v>
                </c:pt>
                <c:pt idx="52">
                  <c:v>132.53205244974853</c:v>
                </c:pt>
                <c:pt idx="53">
                  <c:v>133.9809068781405</c:v>
                </c:pt>
                <c:pt idx="54">
                  <c:v>135.42976130653247</c:v>
                </c:pt>
                <c:pt idx="55">
                  <c:v>136.87861573492444</c:v>
                </c:pt>
                <c:pt idx="56">
                  <c:v>138.32747016331641</c:v>
                </c:pt>
                <c:pt idx="57">
                  <c:v>139.77632459170837</c:v>
                </c:pt>
                <c:pt idx="58">
                  <c:v>141.22517902010034</c:v>
                </c:pt>
                <c:pt idx="59">
                  <c:v>142.67403344849231</c:v>
                </c:pt>
                <c:pt idx="60">
                  <c:v>144.12288787688428</c:v>
                </c:pt>
                <c:pt idx="61">
                  <c:v>145.57174230527625</c:v>
                </c:pt>
                <c:pt idx="62">
                  <c:v>147.02059673366821</c:v>
                </c:pt>
                <c:pt idx="63">
                  <c:v>148.46945116206018</c:v>
                </c:pt>
                <c:pt idx="64">
                  <c:v>149.91830559045215</c:v>
                </c:pt>
                <c:pt idx="65">
                  <c:v>151.36716001884412</c:v>
                </c:pt>
                <c:pt idx="66">
                  <c:v>152.81601444723609</c:v>
                </c:pt>
                <c:pt idx="67">
                  <c:v>154.26486887562805</c:v>
                </c:pt>
                <c:pt idx="68">
                  <c:v>155.71372330402002</c:v>
                </c:pt>
                <c:pt idx="69">
                  <c:v>157.16257773241199</c:v>
                </c:pt>
                <c:pt idx="70">
                  <c:v>158.61143216080396</c:v>
                </c:pt>
                <c:pt idx="71">
                  <c:v>160.06028658919593</c:v>
                </c:pt>
                <c:pt idx="72">
                  <c:v>161.50914101758789</c:v>
                </c:pt>
                <c:pt idx="73">
                  <c:v>162.95799544597986</c:v>
                </c:pt>
                <c:pt idx="74">
                  <c:v>164.40684987437183</c:v>
                </c:pt>
                <c:pt idx="75">
                  <c:v>165.8557043027638</c:v>
                </c:pt>
                <c:pt idx="76">
                  <c:v>167.30455873115577</c:v>
                </c:pt>
                <c:pt idx="77">
                  <c:v>168.75341315954773</c:v>
                </c:pt>
                <c:pt idx="78">
                  <c:v>170.2022675879397</c:v>
                </c:pt>
                <c:pt idx="79">
                  <c:v>171.65112201633167</c:v>
                </c:pt>
                <c:pt idx="80">
                  <c:v>173.09997644472364</c:v>
                </c:pt>
                <c:pt idx="81">
                  <c:v>174.54883087311561</c:v>
                </c:pt>
                <c:pt idx="82">
                  <c:v>175.99768530150757</c:v>
                </c:pt>
                <c:pt idx="83">
                  <c:v>177.44653972989954</c:v>
                </c:pt>
                <c:pt idx="84">
                  <c:v>178.89539415829151</c:v>
                </c:pt>
                <c:pt idx="85">
                  <c:v>180.34424858668348</c:v>
                </c:pt>
                <c:pt idx="86">
                  <c:v>181.79310301507545</c:v>
                </c:pt>
                <c:pt idx="87">
                  <c:v>183.24195744346741</c:v>
                </c:pt>
                <c:pt idx="88">
                  <c:v>184.69081187185938</c:v>
                </c:pt>
                <c:pt idx="89">
                  <c:v>186.13966630025135</c:v>
                </c:pt>
                <c:pt idx="90">
                  <c:v>187.58852072864332</c:v>
                </c:pt>
                <c:pt idx="91">
                  <c:v>189.03737515703529</c:v>
                </c:pt>
                <c:pt idx="92">
                  <c:v>190.48622958542725</c:v>
                </c:pt>
                <c:pt idx="93">
                  <c:v>191.93508401381922</c:v>
                </c:pt>
                <c:pt idx="94">
                  <c:v>193.38393844221119</c:v>
                </c:pt>
                <c:pt idx="95">
                  <c:v>194.83279287060316</c:v>
                </c:pt>
                <c:pt idx="96">
                  <c:v>196.28164729899513</c:v>
                </c:pt>
                <c:pt idx="97">
                  <c:v>197.73050172738709</c:v>
                </c:pt>
                <c:pt idx="98">
                  <c:v>199.17935615577906</c:v>
                </c:pt>
                <c:pt idx="99">
                  <c:v>200.62821058417103</c:v>
                </c:pt>
                <c:pt idx="100">
                  <c:v>202.077065012563</c:v>
                </c:pt>
                <c:pt idx="101">
                  <c:v>203.52591944095497</c:v>
                </c:pt>
                <c:pt idx="102">
                  <c:v>204.97477386934693</c:v>
                </c:pt>
                <c:pt idx="103">
                  <c:v>206.4236282977389</c:v>
                </c:pt>
                <c:pt idx="104">
                  <c:v>207.87248272613087</c:v>
                </c:pt>
                <c:pt idx="105">
                  <c:v>209.32133715452284</c:v>
                </c:pt>
                <c:pt idx="106">
                  <c:v>210.7701915829148</c:v>
                </c:pt>
                <c:pt idx="107">
                  <c:v>212.21904601130677</c:v>
                </c:pt>
                <c:pt idx="108">
                  <c:v>213.66790043969874</c:v>
                </c:pt>
                <c:pt idx="109">
                  <c:v>215.11675486809071</c:v>
                </c:pt>
                <c:pt idx="110">
                  <c:v>216.56560929648268</c:v>
                </c:pt>
                <c:pt idx="111">
                  <c:v>218.01446372487464</c:v>
                </c:pt>
                <c:pt idx="112">
                  <c:v>219.46331815326661</c:v>
                </c:pt>
                <c:pt idx="113">
                  <c:v>220.91217258165858</c:v>
                </c:pt>
                <c:pt idx="114">
                  <c:v>222.36102701005055</c:v>
                </c:pt>
                <c:pt idx="115">
                  <c:v>223.80988143844252</c:v>
                </c:pt>
                <c:pt idx="116">
                  <c:v>225.25873586683448</c:v>
                </c:pt>
                <c:pt idx="117">
                  <c:v>226.70759029522645</c:v>
                </c:pt>
                <c:pt idx="118">
                  <c:v>228.15644472361842</c:v>
                </c:pt>
                <c:pt idx="119">
                  <c:v>229.60529915201039</c:v>
                </c:pt>
                <c:pt idx="120">
                  <c:v>231.05415358040236</c:v>
                </c:pt>
                <c:pt idx="121">
                  <c:v>232.50300800879432</c:v>
                </c:pt>
                <c:pt idx="122">
                  <c:v>233.95186243718629</c:v>
                </c:pt>
                <c:pt idx="123">
                  <c:v>235.40071686557826</c:v>
                </c:pt>
                <c:pt idx="124">
                  <c:v>236.84957129397023</c:v>
                </c:pt>
                <c:pt idx="125">
                  <c:v>238.2984257223622</c:v>
                </c:pt>
                <c:pt idx="126">
                  <c:v>239.74728015075416</c:v>
                </c:pt>
                <c:pt idx="127">
                  <c:v>241.19613457914613</c:v>
                </c:pt>
                <c:pt idx="128">
                  <c:v>242.6449890075381</c:v>
                </c:pt>
                <c:pt idx="129">
                  <c:v>244.09384343593007</c:v>
                </c:pt>
                <c:pt idx="130">
                  <c:v>245.54269786432204</c:v>
                </c:pt>
                <c:pt idx="131">
                  <c:v>246.991552292714</c:v>
                </c:pt>
                <c:pt idx="132">
                  <c:v>248.44040672110597</c:v>
                </c:pt>
                <c:pt idx="133">
                  <c:v>249.88926114949794</c:v>
                </c:pt>
                <c:pt idx="134">
                  <c:v>251.33811557788991</c:v>
                </c:pt>
                <c:pt idx="135">
                  <c:v>252.78697000628188</c:v>
                </c:pt>
                <c:pt idx="136">
                  <c:v>254.23582443467384</c:v>
                </c:pt>
                <c:pt idx="137">
                  <c:v>255.68467886306581</c:v>
                </c:pt>
                <c:pt idx="138">
                  <c:v>257.13353329145775</c:v>
                </c:pt>
                <c:pt idx="139">
                  <c:v>258.58238771984969</c:v>
                </c:pt>
                <c:pt idx="140">
                  <c:v>260.03124214824163</c:v>
                </c:pt>
                <c:pt idx="141">
                  <c:v>261.48009657663357</c:v>
                </c:pt>
                <c:pt idx="142">
                  <c:v>262.92895100502551</c:v>
                </c:pt>
                <c:pt idx="143">
                  <c:v>264.37780543341745</c:v>
                </c:pt>
                <c:pt idx="144">
                  <c:v>265.82665986180939</c:v>
                </c:pt>
                <c:pt idx="145">
                  <c:v>267.27551429020133</c:v>
                </c:pt>
                <c:pt idx="146">
                  <c:v>268.72436871859327</c:v>
                </c:pt>
                <c:pt idx="147">
                  <c:v>270.17322314698521</c:v>
                </c:pt>
                <c:pt idx="148">
                  <c:v>271.62207757537715</c:v>
                </c:pt>
                <c:pt idx="149">
                  <c:v>273.07093200376909</c:v>
                </c:pt>
                <c:pt idx="150">
                  <c:v>274.51978643216103</c:v>
                </c:pt>
                <c:pt idx="151">
                  <c:v>275.96864086055297</c:v>
                </c:pt>
                <c:pt idx="152">
                  <c:v>277.41749528894491</c:v>
                </c:pt>
                <c:pt idx="153">
                  <c:v>278.86634971733685</c:v>
                </c:pt>
                <c:pt idx="154">
                  <c:v>280.31520414572879</c:v>
                </c:pt>
                <c:pt idx="155">
                  <c:v>281.76405857412072</c:v>
                </c:pt>
                <c:pt idx="156">
                  <c:v>283.21291300251266</c:v>
                </c:pt>
                <c:pt idx="157">
                  <c:v>284.6617674309046</c:v>
                </c:pt>
                <c:pt idx="158">
                  <c:v>286.11062185929654</c:v>
                </c:pt>
                <c:pt idx="159">
                  <c:v>287.55947628768848</c:v>
                </c:pt>
                <c:pt idx="160">
                  <c:v>289.00833071608042</c:v>
                </c:pt>
                <c:pt idx="161">
                  <c:v>290.45718514447236</c:v>
                </c:pt>
                <c:pt idx="162">
                  <c:v>291.9060395728643</c:v>
                </c:pt>
                <c:pt idx="163">
                  <c:v>293.35489400125624</c:v>
                </c:pt>
                <c:pt idx="164">
                  <c:v>294.80374842964818</c:v>
                </c:pt>
                <c:pt idx="165">
                  <c:v>296.25260285804012</c:v>
                </c:pt>
                <c:pt idx="166">
                  <c:v>297.70145728643206</c:v>
                </c:pt>
                <c:pt idx="167">
                  <c:v>299.150311714824</c:v>
                </c:pt>
                <c:pt idx="168">
                  <c:v>300.59916614321594</c:v>
                </c:pt>
                <c:pt idx="169">
                  <c:v>302.04802057160788</c:v>
                </c:pt>
              </c:numCache>
            </c:numRef>
          </c:xVal>
          <c:yVal>
            <c:numRef>
              <c:f>'compare_fun_test '!$AR$31:$AR$200</c:f>
              <c:numCache>
                <c:formatCode>General</c:formatCode>
                <c:ptCount val="170"/>
                <c:pt idx="0">
                  <c:v>3.6070246083005053E-5</c:v>
                </c:pt>
                <c:pt idx="1">
                  <c:v>4.427988960039657E-5</c:v>
                </c:pt>
                <c:pt idx="2">
                  <c:v>5.3823174165192355E-5</c:v>
                </c:pt>
                <c:pt idx="3">
                  <c:v>6.4824738738384187E-5</c:v>
                </c:pt>
                <c:pt idx="4">
                  <c:v>7.7409874841722086E-5</c:v>
                </c:pt>
                <c:pt idx="5">
                  <c:v>9.1703673602269435E-5</c:v>
                </c:pt>
                <c:pt idx="6">
                  <c:v>1.0783021932656437E-4</c:v>
                </c:pt>
                <c:pt idx="7">
                  <c:v>1.259118375610692E-4</c:v>
                </c:pt>
                <c:pt idx="8">
                  <c:v>1.4606840337822184E-4</c:v>
                </c:pt>
                <c:pt idx="9">
                  <c:v>1.6841671364916573E-4</c:v>
                </c:pt>
                <c:pt idx="10">
                  <c:v>1.930699253384797E-4</c:v>
                </c:pt>
                <c:pt idx="11">
                  <c:v>2.2013706038325471E-4</c:v>
                </c:pt>
                <c:pt idx="12">
                  <c:v>2.4972257648952172E-4</c:v>
                </c:pt>
                <c:pt idx="13">
                  <c:v>2.8192600217767124E-4</c:v>
                </c:pt>
                <c:pt idx="14">
                  <c:v>3.168416336154831E-4</c:v>
                </c:pt>
                <c:pt idx="15">
                  <c:v>3.545582901708061E-4</c:v>
                </c:pt>
                <c:pt idx="16">
                  <c:v>3.9515912517322109E-4</c:v>
                </c:pt>
                <c:pt idx="17">
                  <c:v>4.3872148807286401E-4</c:v>
                </c:pt>
                <c:pt idx="18">
                  <c:v>4.8531683400367359E-4</c:v>
                </c:pt>
                <c:pt idx="19">
                  <c:v>5.3501067667783783E-4</c:v>
                </c:pt>
                <c:pt idx="20">
                  <c:v>5.8786258054015607E-4</c:v>
                </c:pt>
                <c:pt idx="21">
                  <c:v>6.4392618817911862E-4</c:v>
                </c:pt>
                <c:pt idx="22">
                  <c:v>7.0324927911168784E-4</c:v>
                </c:pt>
                <c:pt idx="23">
                  <c:v>7.6587385621851984E-4</c:v>
                </c:pt>
                <c:pt idx="24">
                  <c:v>8.3183625629516128E-4</c:v>
                </c:pt>
                <c:pt idx="25">
                  <c:v>9.011672813936919E-4</c:v>
                </c:pt>
                <c:pt idx="26">
                  <c:v>9.7389234785071554E-4</c:v>
                </c:pt>
                <c:pt idx="27">
                  <c:v>1.0500316501255772E-3</c:v>
                </c:pt>
                <c:pt idx="28">
                  <c:v>1.1296003368020328E-3</c:v>
                </c:pt>
                <c:pt idx="29">
                  <c:v>1.2126086963334295E-3</c:v>
                </c:pt>
                <c:pt idx="30">
                  <c:v>1.2990623503326903E-3</c:v>
                </c:pt>
                <c:pt idx="31">
                  <c:v>1.3889624524216033E-3</c:v>
                </c:pt>
                <c:pt idx="32">
                  <c:v>1.4823058908573902E-3</c:v>
                </c:pt>
                <c:pt idx="33">
                  <c:v>1.5790854933471524E-3</c:v>
                </c:pt>
                <c:pt idx="34">
                  <c:v>1.6792902326416134E-3</c:v>
                </c:pt>
                <c:pt idx="35">
                  <c:v>1.7829054316683671E-3</c:v>
                </c:pt>
                <c:pt idx="36">
                  <c:v>1.8899129671213315E-3</c:v>
                </c:pt>
                <c:pt idx="37">
                  <c:v>2.0002914705673971E-3</c:v>
                </c:pt>
                <c:pt idx="38">
                  <c:v>2.1140165262637203E-3</c:v>
                </c:pt>
                <c:pt idx="39">
                  <c:v>2.2310608649999501E-3</c:v>
                </c:pt>
                <c:pt idx="40">
                  <c:v>2.3513945533895409E-3</c:v>
                </c:pt>
                <c:pt idx="41">
                  <c:v>2.4749851781337138E-3</c:v>
                </c:pt>
                <c:pt idx="42">
                  <c:v>2.6017980248710325E-3</c:v>
                </c:pt>
                <c:pt idx="43">
                  <c:v>2.7317962513058983E-3</c:v>
                </c:pt>
                <c:pt idx="44">
                  <c:v>2.8649410543808312E-3</c:v>
                </c:pt>
                <c:pt idx="45">
                  <c:v>3.0011918313210197E-3</c:v>
                </c:pt>
                <c:pt idx="46">
                  <c:v>3.1405063344359268E-3</c:v>
                </c:pt>
                <c:pt idx="47">
                  <c:v>3.2828408196122166E-3</c:v>
                </c:pt>
                <c:pt idx="48">
                  <c:v>3.4281501884755204E-3</c:v>
                </c:pt>
                <c:pt idx="49">
                  <c:v>3.5763881242363042E-3</c:v>
                </c:pt>
                <c:pt idx="50">
                  <c:v>3.7275072212675487E-3</c:v>
                </c:pt>
                <c:pt idx="51">
                  <c:v>3.8814591084898823E-3</c:v>
                </c:pt>
                <c:pt idx="52">
                  <c:v>4.0381945666635635E-3</c:v>
                </c:pt>
                <c:pt idx="53">
                  <c:v>4.1976636397065697E-3</c:v>
                </c:pt>
                <c:pt idx="54">
                  <c:v>4.3598157401747249E-3</c:v>
                </c:pt>
                <c:pt idx="55">
                  <c:v>4.5245997490533018E-3</c:v>
                </c:pt>
                <c:pt idx="56">
                  <c:v>4.6919641100205333E-3</c:v>
                </c:pt>
                <c:pt idx="57">
                  <c:v>4.8618569183518706E-3</c:v>
                </c:pt>
                <c:pt idx="58">
                  <c:v>5.0342260046403967E-3</c:v>
                </c:pt>
                <c:pt idx="59">
                  <c:v>5.2090190135132717E-3</c:v>
                </c:pt>
                <c:pt idx="60">
                  <c:v>5.3861834775271716E-3</c:v>
                </c:pt>
                <c:pt idx="61">
                  <c:v>5.5656668864271569E-3</c:v>
                </c:pt>
                <c:pt idx="62">
                  <c:v>5.7474167519538308E-3</c:v>
                </c:pt>
                <c:pt idx="63">
                  <c:v>5.9313806683828863E-3</c:v>
                </c:pt>
                <c:pt idx="64">
                  <c:v>6.117506368979557E-3</c:v>
                </c:pt>
                <c:pt idx="65">
                  <c:v>6.3057417785480881E-3</c:v>
                </c:pt>
                <c:pt idx="66">
                  <c:v>6.4960350622533655E-3</c:v>
                </c:pt>
                <c:pt idx="67">
                  <c:v>6.6883346708882033E-3</c:v>
                </c:pt>
                <c:pt idx="68">
                  <c:v>6.8825893827558424E-3</c:v>
                </c:pt>
                <c:pt idx="69">
                  <c:v>7.0787483423327959E-3</c:v>
                </c:pt>
                <c:pt idx="70">
                  <c:v>7.2767610958725908E-3</c:v>
                </c:pt>
                <c:pt idx="71">
                  <c:v>7.4765776241059534E-3</c:v>
                </c:pt>
                <c:pt idx="72">
                  <c:v>7.678148372188099E-3</c:v>
                </c:pt>
                <c:pt idx="73">
                  <c:v>7.8814242770385689E-3</c:v>
                </c:pt>
                <c:pt idx="74">
                  <c:v>8.0863567922137107E-3</c:v>
                </c:pt>
                <c:pt idx="75">
                  <c:v>8.2928979104470047E-3</c:v>
                </c:pt>
                <c:pt idx="76">
                  <c:v>8.5010001839867112E-3</c:v>
                </c:pt>
                <c:pt idx="77">
                  <c:v>8.7106167428555592E-3</c:v>
                </c:pt>
                <c:pt idx="78">
                  <c:v>8.9217013111517474E-3</c:v>
                </c:pt>
                <c:pt idx="79">
                  <c:v>9.1342082215054802E-3</c:v>
                </c:pt>
                <c:pt idx="80">
                  <c:v>9.3480924278004779E-3</c:v>
                </c:pt>
                <c:pt idx="81">
                  <c:v>9.5633095162646897E-3</c:v>
                </c:pt>
                <c:pt idx="82">
                  <c:v>9.7798157150299422E-3</c:v>
                </c:pt>
                <c:pt idx="83">
                  <c:v>9.9975679022555122E-3</c:v>
                </c:pt>
                <c:pt idx="84">
                  <c:v>1.0216523612906012E-2</c:v>
                </c:pt>
                <c:pt idx="85">
                  <c:v>1.0436641044269834E-2</c:v>
                </c:pt>
                <c:pt idx="86">
                  <c:v>1.0657879060299883E-2</c:v>
                </c:pt>
                <c:pt idx="87">
                  <c:v>1.0880197194854528E-2</c:v>
                </c:pt>
                <c:pt idx="88">
                  <c:v>1.11035556539126E-2</c:v>
                </c:pt>
                <c:pt idx="89">
                  <c:v>1.132791531683241E-2</c:v>
                </c:pt>
                <c:pt idx="90">
                  <c:v>1.1553237736721404E-2</c:v>
                </c:pt>
                <c:pt idx="91">
                  <c:v>1.1779485139979224E-2</c:v>
                </c:pt>
                <c:pt idx="92">
                  <c:v>1.2006620425073843E-2</c:v>
                </c:pt>
                <c:pt idx="93">
                  <c:v>1.2234607160607142E-2</c:v>
                </c:pt>
                <c:pt idx="94">
                  <c:v>1.246340958272317E-2</c:v>
                </c:pt>
                <c:pt idx="95">
                  <c:v>1.2692992591909471E-2</c:v>
                </c:pt>
                <c:pt idx="96">
                  <c:v>1.2923321749239096E-2</c:v>
                </c:pt>
                <c:pt idx="97">
                  <c:v>1.3154363272097977E-2</c:v>
                </c:pt>
                <c:pt idx="98">
                  <c:v>1.3386084029440215E-2</c:v>
                </c:pt>
                <c:pt idx="99">
                  <c:v>1.3618451536610912E-2</c:v>
                </c:pt>
                <c:pt idx="100">
                  <c:v>1.3851433949774325E-2</c:v>
                </c:pt>
                <c:pt idx="101">
                  <c:v>1.4085000059982552E-2</c:v>
                </c:pt>
                <c:pt idx="102">
                  <c:v>1.4319119286917974E-2</c:v>
                </c:pt>
                <c:pt idx="103">
                  <c:v>1.4553761672340897E-2</c:v>
                </c:pt>
                <c:pt idx="104">
                  <c:v>1.4788897873271515E-2</c:v>
                </c:pt>
                <c:pt idx="105">
                  <c:v>1.5024499154933924E-2</c:v>
                </c:pt>
                <c:pt idx="106">
                  <c:v>1.5260537383488022E-2</c:v>
                </c:pt>
                <c:pt idx="107">
                  <c:v>1.5496985018573441E-2</c:v>
                </c:pt>
                <c:pt idx="108">
                  <c:v>1.5733815105688342E-2</c:v>
                </c:pt>
                <c:pt idx="109">
                  <c:v>1.5971001268424267E-2</c:v>
                </c:pt>
                <c:pt idx="110">
                  <c:v>1.6208517700576883E-2</c:v>
                </c:pt>
                <c:pt idx="111">
                  <c:v>1.6446339158151361E-2</c:v>
                </c:pt>
                <c:pt idx="112">
                  <c:v>1.6684440951279505E-2</c:v>
                </c:pt>
                <c:pt idx="113">
                  <c:v>1.6922798936065055E-2</c:v>
                </c:pt>
                <c:pt idx="114">
                  <c:v>1.7161389506372065E-2</c:v>
                </c:pt>
                <c:pt idx="115">
                  <c:v>1.7400189585570471E-2</c:v>
                </c:pt>
                <c:pt idx="116">
                  <c:v>1.763917661825206E-2</c:v>
                </c:pt>
                <c:pt idx="117">
                  <c:v>1.7878328561928617E-2</c:v>
                </c:pt>
                <c:pt idx="118">
                  <c:v>1.8117623878723975E-2</c:v>
                </c:pt>
                <c:pt idx="119">
                  <c:v>1.8357041527070052E-2</c:v>
                </c:pt>
                <c:pt idx="120">
                  <c:v>1.8605562645767439E-2</c:v>
                </c:pt>
                <c:pt idx="121">
                  <c:v>1.8957767621994227E-2</c:v>
                </c:pt>
                <c:pt idx="122">
                  <c:v>1.9314389632799155E-2</c:v>
                </c:pt>
                <c:pt idx="123">
                  <c:v>1.9675456203159906E-2</c:v>
                </c:pt>
                <c:pt idx="124">
                  <c:v>2.0040994858054186E-2</c:v>
                </c:pt>
                <c:pt idx="125">
                  <c:v>2.0411033122459673E-2</c:v>
                </c:pt>
                <c:pt idx="126">
                  <c:v>2.0785598521354084E-2</c:v>
                </c:pt>
                <c:pt idx="127">
                  <c:v>2.1164718579715084E-2</c:v>
                </c:pt>
                <c:pt idx="128">
                  <c:v>2.1548420822520377E-2</c:v>
                </c:pt>
                <c:pt idx="129">
                  <c:v>2.1936732774747662E-2</c:v>
                </c:pt>
                <c:pt idx="130">
                  <c:v>2.2329681961374619E-2</c:v>
                </c:pt>
                <c:pt idx="131">
                  <c:v>2.2727295907378962E-2</c:v>
                </c:pt>
                <c:pt idx="132">
                  <c:v>2.3129602137738365E-2</c:v>
                </c:pt>
                <c:pt idx="133">
                  <c:v>2.3536628177430508E-2</c:v>
                </c:pt>
                <c:pt idx="134">
                  <c:v>2.3948401551433122E-2</c:v>
                </c:pt>
                <c:pt idx="135">
                  <c:v>2.4364949784723856E-2</c:v>
                </c:pt>
                <c:pt idx="136">
                  <c:v>2.4786300402280442E-2</c:v>
                </c:pt>
                <c:pt idx="137">
                  <c:v>2.5212480929080554E-2</c:v>
                </c:pt>
                <c:pt idx="138">
                  <c:v>2.5643518890101861E-2</c:v>
                </c:pt>
                <c:pt idx="139">
                  <c:v>2.6079441810322089E-2</c:v>
                </c:pt>
                <c:pt idx="140">
                  <c:v>2.6520277214718925E-2</c:v>
                </c:pt>
                <c:pt idx="141">
                  <c:v>2.6966052628270065E-2</c:v>
                </c:pt>
                <c:pt idx="142">
                  <c:v>2.7416795575953182E-2</c:v>
                </c:pt>
                <c:pt idx="143">
                  <c:v>2.7872533582745978E-2</c:v>
                </c:pt>
                <c:pt idx="144">
                  <c:v>2.8333294173626147E-2</c:v>
                </c:pt>
                <c:pt idx="145">
                  <c:v>2.8799104873571398E-2</c:v>
                </c:pt>
                <c:pt idx="146">
                  <c:v>2.9269993207559405E-2</c:v>
                </c:pt>
                <c:pt idx="147">
                  <c:v>2.9745986700567849E-2</c:v>
                </c:pt>
                <c:pt idx="148">
                  <c:v>3.0227112877574455E-2</c:v>
                </c:pt>
                <c:pt idx="149">
                  <c:v>3.0713399263556897E-2</c:v>
                </c:pt>
                <c:pt idx="150">
                  <c:v>3.120487338349286E-2</c:v>
                </c:pt>
                <c:pt idx="151">
                  <c:v>3.1701562762360046E-2</c:v>
                </c:pt>
                <c:pt idx="152">
                  <c:v>3.2203494925136154E-2</c:v>
                </c:pt>
                <c:pt idx="153">
                  <c:v>3.2710697396798862E-2</c:v>
                </c:pt>
                <c:pt idx="154">
                  <c:v>3.3223197702325881E-2</c:v>
                </c:pt>
                <c:pt idx="155">
                  <c:v>3.3741023366694871E-2</c:v>
                </c:pt>
                <c:pt idx="156">
                  <c:v>3.4264201914883573E-2</c:v>
                </c:pt>
                <c:pt idx="157">
                  <c:v>3.4792760871869645E-2</c:v>
                </c:pt>
                <c:pt idx="158">
                  <c:v>3.532672776263078E-2</c:v>
                </c:pt>
                <c:pt idx="159">
                  <c:v>3.5866130112144685E-2</c:v>
                </c:pt>
                <c:pt idx="160">
                  <c:v>3.641099544538904E-2</c:v>
                </c:pt>
                <c:pt idx="161">
                  <c:v>3.6961351287341543E-2</c:v>
                </c:pt>
                <c:pt idx="162">
                  <c:v>3.7517225162979888E-2</c:v>
                </c:pt>
                <c:pt idx="163">
                  <c:v>3.8078644597281774E-2</c:v>
                </c:pt>
                <c:pt idx="164">
                  <c:v>3.8645637115224868E-2</c:v>
                </c:pt>
                <c:pt idx="165">
                  <c:v>3.9218230241786896E-2</c:v>
                </c:pt>
                <c:pt idx="166">
                  <c:v>3.9796451501945537E-2</c:v>
                </c:pt>
                <c:pt idx="167">
                  <c:v>4.0380328420678478E-2</c:v>
                </c:pt>
                <c:pt idx="168">
                  <c:v>4.0969888522963398E-2</c:v>
                </c:pt>
                <c:pt idx="169">
                  <c:v>4.156515933377803E-2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5-4645-B8FD-A590AF870385}"/>
            </c:ext>
          </c:extLst>
        </c:ser>
        <c:ser>
          <c:idx val="2"/>
          <c:order val="2"/>
          <c:tx>
            <c:v>Meyer Peter &amp; Muller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'compare_fun_test '!$L$31:$L$200</c:f>
              <c:numCache>
                <c:formatCode>General</c:formatCode>
                <c:ptCount val="170"/>
                <c:pt idx="0">
                  <c:v>57.191622173366866</c:v>
                </c:pt>
                <c:pt idx="1">
                  <c:v>58.640476601758827</c:v>
                </c:pt>
                <c:pt idx="2">
                  <c:v>60.089331030150788</c:v>
                </c:pt>
                <c:pt idx="3">
                  <c:v>61.538185458542749</c:v>
                </c:pt>
                <c:pt idx="4">
                  <c:v>62.98703988693471</c:v>
                </c:pt>
                <c:pt idx="5">
                  <c:v>64.435894315326664</c:v>
                </c:pt>
                <c:pt idx="6">
                  <c:v>65.884748743718617</c:v>
                </c:pt>
                <c:pt idx="7">
                  <c:v>67.333603172110571</c:v>
                </c:pt>
                <c:pt idx="8">
                  <c:v>68.782457600502525</c:v>
                </c:pt>
                <c:pt idx="9">
                  <c:v>70.231312028894479</c:v>
                </c:pt>
                <c:pt idx="10">
                  <c:v>71.680166457286433</c:v>
                </c:pt>
                <c:pt idx="11">
                  <c:v>73.129020885678386</c:v>
                </c:pt>
                <c:pt idx="12">
                  <c:v>74.57787531407034</c:v>
                </c:pt>
                <c:pt idx="13">
                  <c:v>76.026729742462294</c:v>
                </c:pt>
                <c:pt idx="14">
                  <c:v>77.475584170854248</c:v>
                </c:pt>
                <c:pt idx="15">
                  <c:v>78.924438599246201</c:v>
                </c:pt>
                <c:pt idx="16">
                  <c:v>80.373293027638155</c:v>
                </c:pt>
                <c:pt idx="17">
                  <c:v>81.822147456030109</c:v>
                </c:pt>
                <c:pt idx="18">
                  <c:v>83.271001884422063</c:v>
                </c:pt>
                <c:pt idx="19">
                  <c:v>84.719856312814017</c:v>
                </c:pt>
                <c:pt idx="20">
                  <c:v>86.16871074120597</c:v>
                </c:pt>
                <c:pt idx="21">
                  <c:v>87.617565169597924</c:v>
                </c:pt>
                <c:pt idx="22">
                  <c:v>89.066419597989878</c:v>
                </c:pt>
                <c:pt idx="23">
                  <c:v>90.515274026381832</c:v>
                </c:pt>
                <c:pt idx="24">
                  <c:v>91.964128454773785</c:v>
                </c:pt>
                <c:pt idx="25">
                  <c:v>93.412982883165739</c:v>
                </c:pt>
                <c:pt idx="26">
                  <c:v>94.861837311557693</c:v>
                </c:pt>
                <c:pt idx="27">
                  <c:v>96.310691739949647</c:v>
                </c:pt>
                <c:pt idx="28">
                  <c:v>97.7595461683416</c:v>
                </c:pt>
                <c:pt idx="29">
                  <c:v>99.208400596733554</c:v>
                </c:pt>
                <c:pt idx="30">
                  <c:v>100.65725502512551</c:v>
                </c:pt>
                <c:pt idx="31">
                  <c:v>102.10610945351746</c:v>
                </c:pt>
                <c:pt idx="32">
                  <c:v>103.55496388190942</c:v>
                </c:pt>
                <c:pt idx="33">
                  <c:v>105.00381831030137</c:v>
                </c:pt>
                <c:pt idx="34">
                  <c:v>106.45267273869332</c:v>
                </c:pt>
                <c:pt idx="35">
                  <c:v>107.90152716708528</c:v>
                </c:pt>
                <c:pt idx="36">
                  <c:v>109.35038159547723</c:v>
                </c:pt>
                <c:pt idx="37">
                  <c:v>110.79923602386918</c:v>
                </c:pt>
                <c:pt idx="38">
                  <c:v>112.24809045226114</c:v>
                </c:pt>
                <c:pt idx="39">
                  <c:v>113.69694488065309</c:v>
                </c:pt>
                <c:pt idx="40">
                  <c:v>115.14579930904505</c:v>
                </c:pt>
                <c:pt idx="41">
                  <c:v>116.594653737437</c:v>
                </c:pt>
                <c:pt idx="42">
                  <c:v>118.04350816582895</c:v>
                </c:pt>
                <c:pt idx="43">
                  <c:v>119.49236259422091</c:v>
                </c:pt>
                <c:pt idx="44">
                  <c:v>120.94121702261286</c:v>
                </c:pt>
                <c:pt idx="45">
                  <c:v>122.39007145100481</c:v>
                </c:pt>
                <c:pt idx="46">
                  <c:v>123.83892587939677</c:v>
                </c:pt>
                <c:pt idx="47">
                  <c:v>125.28778030778872</c:v>
                </c:pt>
                <c:pt idx="48">
                  <c:v>126.73663473618068</c:v>
                </c:pt>
                <c:pt idx="49">
                  <c:v>128.18548916457263</c:v>
                </c:pt>
                <c:pt idx="50">
                  <c:v>129.6343435929646</c:v>
                </c:pt>
                <c:pt idx="51">
                  <c:v>131.08319802135657</c:v>
                </c:pt>
                <c:pt idx="52">
                  <c:v>132.53205244974853</c:v>
                </c:pt>
                <c:pt idx="53">
                  <c:v>133.9809068781405</c:v>
                </c:pt>
                <c:pt idx="54">
                  <c:v>135.42976130653247</c:v>
                </c:pt>
                <c:pt idx="55">
                  <c:v>136.87861573492444</c:v>
                </c:pt>
                <c:pt idx="56">
                  <c:v>138.32747016331641</c:v>
                </c:pt>
                <c:pt idx="57">
                  <c:v>139.77632459170837</c:v>
                </c:pt>
                <c:pt idx="58">
                  <c:v>141.22517902010034</c:v>
                </c:pt>
                <c:pt idx="59">
                  <c:v>142.67403344849231</c:v>
                </c:pt>
                <c:pt idx="60">
                  <c:v>144.12288787688428</c:v>
                </c:pt>
                <c:pt idx="61">
                  <c:v>145.57174230527625</c:v>
                </c:pt>
                <c:pt idx="62">
                  <c:v>147.02059673366821</c:v>
                </c:pt>
                <c:pt idx="63">
                  <c:v>148.46945116206018</c:v>
                </c:pt>
                <c:pt idx="64">
                  <c:v>149.91830559045215</c:v>
                </c:pt>
                <c:pt idx="65">
                  <c:v>151.36716001884412</c:v>
                </c:pt>
                <c:pt idx="66">
                  <c:v>152.81601444723609</c:v>
                </c:pt>
                <c:pt idx="67">
                  <c:v>154.26486887562805</c:v>
                </c:pt>
                <c:pt idx="68">
                  <c:v>155.71372330402002</c:v>
                </c:pt>
                <c:pt idx="69">
                  <c:v>157.16257773241199</c:v>
                </c:pt>
                <c:pt idx="70">
                  <c:v>158.61143216080396</c:v>
                </c:pt>
                <c:pt idx="71">
                  <c:v>160.06028658919593</c:v>
                </c:pt>
                <c:pt idx="72">
                  <c:v>161.50914101758789</c:v>
                </c:pt>
                <c:pt idx="73">
                  <c:v>162.95799544597986</c:v>
                </c:pt>
                <c:pt idx="74">
                  <c:v>164.40684987437183</c:v>
                </c:pt>
                <c:pt idx="75">
                  <c:v>165.8557043027638</c:v>
                </c:pt>
                <c:pt idx="76">
                  <c:v>167.30455873115577</c:v>
                </c:pt>
                <c:pt idx="77">
                  <c:v>168.75341315954773</c:v>
                </c:pt>
                <c:pt idx="78">
                  <c:v>170.2022675879397</c:v>
                </c:pt>
                <c:pt idx="79">
                  <c:v>171.65112201633167</c:v>
                </c:pt>
                <c:pt idx="80">
                  <c:v>173.09997644472364</c:v>
                </c:pt>
                <c:pt idx="81">
                  <c:v>174.54883087311561</c:v>
                </c:pt>
                <c:pt idx="82">
                  <c:v>175.99768530150757</c:v>
                </c:pt>
                <c:pt idx="83">
                  <c:v>177.44653972989954</c:v>
                </c:pt>
                <c:pt idx="84">
                  <c:v>178.89539415829151</c:v>
                </c:pt>
                <c:pt idx="85">
                  <c:v>180.34424858668348</c:v>
                </c:pt>
                <c:pt idx="86">
                  <c:v>181.79310301507545</c:v>
                </c:pt>
                <c:pt idx="87">
                  <c:v>183.24195744346741</c:v>
                </c:pt>
                <c:pt idx="88">
                  <c:v>184.69081187185938</c:v>
                </c:pt>
                <c:pt idx="89">
                  <c:v>186.13966630025135</c:v>
                </c:pt>
                <c:pt idx="90">
                  <c:v>187.58852072864332</c:v>
                </c:pt>
                <c:pt idx="91">
                  <c:v>189.03737515703529</c:v>
                </c:pt>
                <c:pt idx="92">
                  <c:v>190.48622958542725</c:v>
                </c:pt>
                <c:pt idx="93">
                  <c:v>191.93508401381922</c:v>
                </c:pt>
                <c:pt idx="94">
                  <c:v>193.38393844221119</c:v>
                </c:pt>
                <c:pt idx="95">
                  <c:v>194.83279287060316</c:v>
                </c:pt>
                <c:pt idx="96">
                  <c:v>196.28164729899513</c:v>
                </c:pt>
                <c:pt idx="97">
                  <c:v>197.73050172738709</c:v>
                </c:pt>
                <c:pt idx="98">
                  <c:v>199.17935615577906</c:v>
                </c:pt>
                <c:pt idx="99">
                  <c:v>200.62821058417103</c:v>
                </c:pt>
                <c:pt idx="100">
                  <c:v>202.077065012563</c:v>
                </c:pt>
                <c:pt idx="101">
                  <c:v>203.52591944095497</c:v>
                </c:pt>
                <c:pt idx="102">
                  <c:v>204.97477386934693</c:v>
                </c:pt>
                <c:pt idx="103">
                  <c:v>206.4236282977389</c:v>
                </c:pt>
                <c:pt idx="104">
                  <c:v>207.87248272613087</c:v>
                </c:pt>
                <c:pt idx="105">
                  <c:v>209.32133715452284</c:v>
                </c:pt>
                <c:pt idx="106">
                  <c:v>210.7701915829148</c:v>
                </c:pt>
                <c:pt idx="107">
                  <c:v>212.21904601130677</c:v>
                </c:pt>
                <c:pt idx="108">
                  <c:v>213.66790043969874</c:v>
                </c:pt>
                <c:pt idx="109">
                  <c:v>215.11675486809071</c:v>
                </c:pt>
                <c:pt idx="110">
                  <c:v>216.56560929648268</c:v>
                </c:pt>
                <c:pt idx="111">
                  <c:v>218.01446372487464</c:v>
                </c:pt>
                <c:pt idx="112">
                  <c:v>219.46331815326661</c:v>
                </c:pt>
                <c:pt idx="113">
                  <c:v>220.91217258165858</c:v>
                </c:pt>
                <c:pt idx="114">
                  <c:v>222.36102701005055</c:v>
                </c:pt>
                <c:pt idx="115">
                  <c:v>223.80988143844252</c:v>
                </c:pt>
                <c:pt idx="116">
                  <c:v>225.25873586683448</c:v>
                </c:pt>
                <c:pt idx="117">
                  <c:v>226.70759029522645</c:v>
                </c:pt>
                <c:pt idx="118">
                  <c:v>228.15644472361842</c:v>
                </c:pt>
                <c:pt idx="119">
                  <c:v>229.60529915201039</c:v>
                </c:pt>
                <c:pt idx="120">
                  <c:v>231.05415358040236</c:v>
                </c:pt>
                <c:pt idx="121">
                  <c:v>232.50300800879432</c:v>
                </c:pt>
                <c:pt idx="122">
                  <c:v>233.95186243718629</c:v>
                </c:pt>
                <c:pt idx="123">
                  <c:v>235.40071686557826</c:v>
                </c:pt>
                <c:pt idx="124">
                  <c:v>236.84957129397023</c:v>
                </c:pt>
                <c:pt idx="125">
                  <c:v>238.2984257223622</c:v>
                </c:pt>
                <c:pt idx="126">
                  <c:v>239.74728015075416</c:v>
                </c:pt>
                <c:pt idx="127">
                  <c:v>241.19613457914613</c:v>
                </c:pt>
                <c:pt idx="128">
                  <c:v>242.6449890075381</c:v>
                </c:pt>
                <c:pt idx="129">
                  <c:v>244.09384343593007</c:v>
                </c:pt>
                <c:pt idx="130">
                  <c:v>245.54269786432204</c:v>
                </c:pt>
                <c:pt idx="131">
                  <c:v>246.991552292714</c:v>
                </c:pt>
                <c:pt idx="132">
                  <c:v>248.44040672110597</c:v>
                </c:pt>
                <c:pt idx="133">
                  <c:v>249.88926114949794</c:v>
                </c:pt>
                <c:pt idx="134">
                  <c:v>251.33811557788991</c:v>
                </c:pt>
                <c:pt idx="135">
                  <c:v>252.78697000628188</c:v>
                </c:pt>
                <c:pt idx="136">
                  <c:v>254.23582443467384</c:v>
                </c:pt>
                <c:pt idx="137">
                  <c:v>255.68467886306581</c:v>
                </c:pt>
                <c:pt idx="138">
                  <c:v>257.13353329145775</c:v>
                </c:pt>
                <c:pt idx="139">
                  <c:v>258.58238771984969</c:v>
                </c:pt>
                <c:pt idx="140">
                  <c:v>260.03124214824163</c:v>
                </c:pt>
                <c:pt idx="141">
                  <c:v>261.48009657663357</c:v>
                </c:pt>
                <c:pt idx="142">
                  <c:v>262.92895100502551</c:v>
                </c:pt>
                <c:pt idx="143">
                  <c:v>264.37780543341745</c:v>
                </c:pt>
                <c:pt idx="144">
                  <c:v>265.82665986180939</c:v>
                </c:pt>
                <c:pt idx="145">
                  <c:v>267.27551429020133</c:v>
                </c:pt>
                <c:pt idx="146">
                  <c:v>268.72436871859327</c:v>
                </c:pt>
                <c:pt idx="147">
                  <c:v>270.17322314698521</c:v>
                </c:pt>
                <c:pt idx="148">
                  <c:v>271.62207757537715</c:v>
                </c:pt>
                <c:pt idx="149">
                  <c:v>273.07093200376909</c:v>
                </c:pt>
                <c:pt idx="150">
                  <c:v>274.51978643216103</c:v>
                </c:pt>
                <c:pt idx="151">
                  <c:v>275.96864086055297</c:v>
                </c:pt>
                <c:pt idx="152">
                  <c:v>277.41749528894491</c:v>
                </c:pt>
                <c:pt idx="153">
                  <c:v>278.86634971733685</c:v>
                </c:pt>
                <c:pt idx="154">
                  <c:v>280.31520414572879</c:v>
                </c:pt>
                <c:pt idx="155">
                  <c:v>281.76405857412072</c:v>
                </c:pt>
                <c:pt idx="156">
                  <c:v>283.21291300251266</c:v>
                </c:pt>
                <c:pt idx="157">
                  <c:v>284.6617674309046</c:v>
                </c:pt>
                <c:pt idx="158">
                  <c:v>286.11062185929654</c:v>
                </c:pt>
                <c:pt idx="159">
                  <c:v>287.55947628768848</c:v>
                </c:pt>
                <c:pt idx="160">
                  <c:v>289.00833071608042</c:v>
                </c:pt>
                <c:pt idx="161">
                  <c:v>290.45718514447236</c:v>
                </c:pt>
                <c:pt idx="162">
                  <c:v>291.9060395728643</c:v>
                </c:pt>
                <c:pt idx="163">
                  <c:v>293.35489400125624</c:v>
                </c:pt>
                <c:pt idx="164">
                  <c:v>294.80374842964818</c:v>
                </c:pt>
                <c:pt idx="165">
                  <c:v>296.25260285804012</c:v>
                </c:pt>
                <c:pt idx="166">
                  <c:v>297.70145728643206</c:v>
                </c:pt>
                <c:pt idx="167">
                  <c:v>299.150311714824</c:v>
                </c:pt>
                <c:pt idx="168">
                  <c:v>300.59916614321594</c:v>
                </c:pt>
                <c:pt idx="169">
                  <c:v>302.04802057160788</c:v>
                </c:pt>
              </c:numCache>
            </c:numRef>
          </c:xVal>
          <c:yVal>
            <c:numRef>
              <c:f>'compare_fun_test '!$AN$31:$AN$200</c:f>
              <c:numCache>
                <c:formatCode>General</c:formatCode>
                <c:ptCount val="170"/>
                <c:pt idx="0">
                  <c:v>7.684449563925761E-7</c:v>
                </c:pt>
                <c:pt idx="1">
                  <c:v>3.1130406128232032E-5</c:v>
                </c:pt>
                <c:pt idx="2">
                  <c:v>8.2511280374454824E-5</c:v>
                </c:pt>
                <c:pt idx="3">
                  <c:v>1.4824035401297611E-4</c:v>
                </c:pt>
                <c:pt idx="4">
                  <c:v>2.2567224050060411E-4</c:v>
                </c:pt>
                <c:pt idx="5">
                  <c:v>3.1324745578107028E-4</c:v>
                </c:pt>
                <c:pt idx="6">
                  <c:v>4.0990341821021302E-4</c:v>
                </c:pt>
                <c:pt idx="7">
                  <c:v>5.1485539299316366E-4</c:v>
                </c:pt>
                <c:pt idx="8">
                  <c:v>6.2749290298358689E-4</c:v>
                </c:pt>
                <c:pt idx="9">
                  <c:v>7.4732335672221648E-4</c:v>
                </c:pt>
                <c:pt idx="10">
                  <c:v>8.7393834379651523E-4</c:v>
                </c:pt>
                <c:pt idx="11">
                  <c:v>1.0069920632759424E-3</c:v>
                </c:pt>
                <c:pt idx="12">
                  <c:v>1.1461867841550373E-3</c:v>
                </c:pt>
                <c:pt idx="13">
                  <c:v>1.2912626375803065E-3</c:v>
                </c:pt>
                <c:pt idx="14">
                  <c:v>1.4419902097651555E-3</c:v>
                </c:pt>
                <c:pt idx="15">
                  <c:v>1.5981650184367898E-3</c:v>
                </c:pt>
                <c:pt idx="16">
                  <c:v>1.7596032981728148E-3</c:v>
                </c:pt>
                <c:pt idx="17">
                  <c:v>1.9261387208234946E-3</c:v>
                </c:pt>
                <c:pt idx="18">
                  <c:v>2.0976197999971547E-3</c:v>
                </c:pt>
                <c:pt idx="19">
                  <c:v>2.2739078063621059E-3</c:v>
                </c:pt>
                <c:pt idx="20">
                  <c:v>2.4548750713181112E-3</c:v>
                </c:pt>
                <c:pt idx="21">
                  <c:v>2.6404035906683128E-3</c:v>
                </c:pt>
                <c:pt idx="22">
                  <c:v>2.8303838633266373E-3</c:v>
                </c:pt>
                <c:pt idx="23">
                  <c:v>3.0247139165078922E-3</c:v>
                </c:pt>
                <c:pt idx="24">
                  <c:v>3.2232984805730352E-3</c:v>
                </c:pt>
                <c:pt idx="25">
                  <c:v>3.4260482852207252E-3</c:v>
                </c:pt>
                <c:pt idx="26">
                  <c:v>3.6328794549991788E-3</c:v>
                </c:pt>
                <c:pt idx="27">
                  <c:v>3.8437129868108535E-3</c:v>
                </c:pt>
                <c:pt idx="28">
                  <c:v>4.0584742956404221E-3</c:v>
                </c:pt>
                <c:pt idx="29">
                  <c:v>4.2770928174616779E-3</c:v>
                </c:pt>
                <c:pt idx="30">
                  <c:v>4.4995016603890017E-3</c:v>
                </c:pt>
                <c:pt idx="31">
                  <c:v>4.7256372967884085E-3</c:v>
                </c:pt>
                <c:pt idx="32">
                  <c:v>4.9554392903642048E-3</c:v>
                </c:pt>
                <c:pt idx="33">
                  <c:v>5.1888500532725574E-3</c:v>
                </c:pt>
                <c:pt idx="34">
                  <c:v>5.4258146291429861E-3</c:v>
                </c:pt>
                <c:pt idx="35">
                  <c:v>5.6662804985591342E-3</c:v>
                </c:pt>
                <c:pt idx="36">
                  <c:v>5.9101974040953716E-3</c:v>
                </c:pt>
                <c:pt idx="37">
                  <c:v>6.1575171924513911E-3</c:v>
                </c:pt>
                <c:pt idx="38">
                  <c:v>6.4081936715948565E-3</c:v>
                </c:pt>
                <c:pt idx="39">
                  <c:v>6.6621824811256584E-3</c:v>
                </c:pt>
                <c:pt idx="40">
                  <c:v>6.9194409743289524E-3</c:v>
                </c:pt>
                <c:pt idx="41">
                  <c:v>7.1799281105957499E-3</c:v>
                </c:pt>
                <c:pt idx="42">
                  <c:v>7.4436043570678808E-3</c:v>
                </c:pt>
                <c:pt idx="43">
                  <c:v>7.7104315985146487E-3</c:v>
                </c:pt>
                <c:pt idx="44">
                  <c:v>7.980373054576018E-3</c:v>
                </c:pt>
                <c:pt idx="45">
                  <c:v>8.2533932036157071E-3</c:v>
                </c:pt>
                <c:pt idx="46">
                  <c:v>8.5294577125204097E-3</c:v>
                </c:pt>
                <c:pt idx="47">
                  <c:v>8.8085333718613771E-3</c:v>
                </c:pt>
                <c:pt idx="48">
                  <c:v>9.0905880359025623E-3</c:v>
                </c:pt>
                <c:pt idx="49">
                  <c:v>9.3755905669996205E-3</c:v>
                </c:pt>
                <c:pt idx="50">
                  <c:v>9.6635107839846707E-3</c:v>
                </c:pt>
                <c:pt idx="51">
                  <c:v>9.9543194141770621E-3</c:v>
                </c:pt>
                <c:pt idx="52">
                  <c:v>1.02479880486989E-2</c:v>
                </c:pt>
                <c:pt idx="53">
                  <c:v>1.0544489100808433E-2</c:v>
                </c:pt>
                <c:pt idx="54">
                  <c:v>1.0843795766994119E-2</c:v>
                </c:pt>
                <c:pt idx="55">
                  <c:v>1.1145881990598634E-2</c:v>
                </c:pt>
                <c:pt idx="56">
                  <c:v>1.1450722427765085E-2</c:v>
                </c:pt>
                <c:pt idx="57">
                  <c:v>1.175829241551825E-2</c:v>
                </c:pt>
                <c:pt idx="58">
                  <c:v>1.2068567941811737E-2</c:v>
                </c:pt>
                <c:pt idx="59">
                  <c:v>1.2381525617388143E-2</c:v>
                </c:pt>
                <c:pt idx="60">
                  <c:v>1.2697142649313379E-2</c:v>
                </c:pt>
                <c:pt idx="61">
                  <c:v>1.3015396816059352E-2</c:v>
                </c:pt>
                <c:pt idx="62">
                  <c:v>1.3336266444020408E-2</c:v>
                </c:pt>
                <c:pt idx="63">
                  <c:v>1.365973038535912E-2</c:v>
                </c:pt>
                <c:pt idx="64">
                  <c:v>1.3985767997086323E-2</c:v>
                </c:pt>
                <c:pt idx="65">
                  <c:v>1.4314359121288209E-2</c:v>
                </c:pt>
                <c:pt idx="66">
                  <c:v>1.464548406642106E-2</c:v>
                </c:pt>
                <c:pt idx="67">
                  <c:v>1.4979123589600353E-2</c:v>
                </c:pt>
                <c:pt idx="68">
                  <c:v>1.5315258879817665E-2</c:v>
                </c:pt>
                <c:pt idx="69">
                  <c:v>1.5653871542023357E-2</c:v>
                </c:pt>
                <c:pt idx="70">
                  <c:v>1.599494358201892E-2</c:v>
                </c:pt>
                <c:pt idx="71">
                  <c:v>1.6338457392106251E-2</c:v>
                </c:pt>
                <c:pt idx="72">
                  <c:v>1.6684395737446383E-2</c:v>
                </c:pt>
                <c:pt idx="73">
                  <c:v>1.7032741743082672E-2</c:v>
                </c:pt>
                <c:pt idx="74">
                  <c:v>1.7383478881587769E-2</c:v>
                </c:pt>
                <c:pt idx="75">
                  <c:v>1.7736590961296088E-2</c:v>
                </c:pt>
                <c:pt idx="76">
                  <c:v>1.8092062115086752E-2</c:v>
                </c:pt>
                <c:pt idx="77">
                  <c:v>1.8449876789684277E-2</c:v>
                </c:pt>
                <c:pt idx="78">
                  <c:v>1.8810019735446572E-2</c:v>
                </c:pt>
                <c:pt idx="79">
                  <c:v>1.9172475996612284E-2</c:v>
                </c:pt>
                <c:pt idx="80">
                  <c:v>1.9537230901981121E-2</c:v>
                </c:pt>
                <c:pt idx="81">
                  <c:v>1.9904270056002676E-2</c:v>
                </c:pt>
                <c:pt idx="82">
                  <c:v>2.0273579330251233E-2</c:v>
                </c:pt>
                <c:pt idx="83">
                  <c:v>2.0645144855265193E-2</c:v>
                </c:pt>
                <c:pt idx="84">
                  <c:v>2.1018953012731226E-2</c:v>
                </c:pt>
                <c:pt idx="85">
                  <c:v>2.139499042799484E-2</c:v>
                </c:pt>
                <c:pt idx="86">
                  <c:v>2.1773243962879947E-2</c:v>
                </c:pt>
                <c:pt idx="87">
                  <c:v>2.2153700708801037E-2</c:v>
                </c:pt>
                <c:pt idx="88">
                  <c:v>2.2536347980153418E-2</c:v>
                </c:pt>
                <c:pt idx="89">
                  <c:v>2.2921173307966315E-2</c:v>
                </c:pt>
                <c:pt idx="90">
                  <c:v>2.3308164433806424E-2</c:v>
                </c:pt>
                <c:pt idx="91">
                  <c:v>2.3697309303918876E-2</c:v>
                </c:pt>
                <c:pt idx="92">
                  <c:v>2.4088596063593874E-2</c:v>
                </c:pt>
                <c:pt idx="93">
                  <c:v>2.4482013051748241E-2</c:v>
                </c:pt>
                <c:pt idx="94">
                  <c:v>2.4877548795711E-2</c:v>
                </c:pt>
                <c:pt idx="95">
                  <c:v>2.5275192006203685E-2</c:v>
                </c:pt>
                <c:pt idx="96">
                  <c:v>2.5674931572505805E-2</c:v>
                </c:pt>
                <c:pt idx="97">
                  <c:v>2.6076756557796812E-2</c:v>
                </c:pt>
                <c:pt idx="98">
                  <c:v>2.6480656194666587E-2</c:v>
                </c:pt>
                <c:pt idx="99">
                  <c:v>2.6886619880786434E-2</c:v>
                </c:pt>
                <c:pt idx="100">
                  <c:v>2.7294637174733381E-2</c:v>
                </c:pt>
                <c:pt idx="101">
                  <c:v>2.7704697791961011E-2</c:v>
                </c:pt>
                <c:pt idx="102">
                  <c:v>2.8116791600909775E-2</c:v>
                </c:pt>
                <c:pt idx="103">
                  <c:v>2.853090861925164E-2</c:v>
                </c:pt>
                <c:pt idx="104">
                  <c:v>2.894703901026174E-2</c:v>
                </c:pt>
                <c:pt idx="105">
                  <c:v>2.9365173079313144E-2</c:v>
                </c:pt>
                <c:pt idx="106">
                  <c:v>2.9785301270487979E-2</c:v>
                </c:pt>
                <c:pt idx="107">
                  <c:v>3.0207414163301076E-2</c:v>
                </c:pt>
                <c:pt idx="108">
                  <c:v>3.0631502469530711E-2</c:v>
                </c:pt>
                <c:pt idx="109">
                  <c:v>3.1057557030152321E-2</c:v>
                </c:pt>
                <c:pt idx="110">
                  <c:v>3.1485568812370773E-2</c:v>
                </c:pt>
                <c:pt idx="111">
                  <c:v>3.1915528906747301E-2</c:v>
                </c:pt>
                <c:pt idx="112">
                  <c:v>3.2347428524416959E-2</c:v>
                </c:pt>
                <c:pt idx="113">
                  <c:v>3.2781258994393464E-2</c:v>
                </c:pt>
                <c:pt idx="114">
                  <c:v>3.3217011760957309E-2</c:v>
                </c:pt>
                <c:pt idx="115">
                  <c:v>3.3654678381124438E-2</c:v>
                </c:pt>
                <c:pt idx="116">
                  <c:v>3.4094250522192039E-2</c:v>
                </c:pt>
                <c:pt idx="117">
                  <c:v>3.4535719959358224E-2</c:v>
                </c:pt>
                <c:pt idx="118">
                  <c:v>3.4979078573413473E-2</c:v>
                </c:pt>
                <c:pt idx="119">
                  <c:v>3.5424318348500225E-2</c:v>
                </c:pt>
                <c:pt idx="120">
                  <c:v>3.5871431369938721E-2</c:v>
                </c:pt>
                <c:pt idx="121">
                  <c:v>3.6320409822116193E-2</c:v>
                </c:pt>
                <c:pt idx="122">
                  <c:v>3.6771245986437336E-2</c:v>
                </c:pt>
                <c:pt idx="123">
                  <c:v>3.7223932239333492E-2</c:v>
                </c:pt>
                <c:pt idx="124">
                  <c:v>3.7678461050328696E-2</c:v>
                </c:pt>
                <c:pt idx="125">
                  <c:v>3.8134824980160333E-2</c:v>
                </c:pt>
                <c:pt idx="126">
                  <c:v>3.8593016678952485E-2</c:v>
                </c:pt>
                <c:pt idx="127">
                  <c:v>3.9053028884440025E-2</c:v>
                </c:pt>
                <c:pt idx="128">
                  <c:v>3.9514854420241871E-2</c:v>
                </c:pt>
                <c:pt idx="129">
                  <c:v>3.9978486194181387E-2</c:v>
                </c:pt>
                <c:pt idx="130">
                  <c:v>4.0443917196652371E-2</c:v>
                </c:pt>
                <c:pt idx="131">
                  <c:v>4.0911140499029303E-2</c:v>
                </c:pt>
                <c:pt idx="132">
                  <c:v>4.1380149252119899E-2</c:v>
                </c:pt>
                <c:pt idx="133">
                  <c:v>4.1850936684658842E-2</c:v>
                </c:pt>
                <c:pt idx="134">
                  <c:v>4.2323496101841197E-2</c:v>
                </c:pt>
                <c:pt idx="135">
                  <c:v>4.2797820883894236E-2</c:v>
                </c:pt>
                <c:pt idx="136">
                  <c:v>4.3273904484686175E-2</c:v>
                </c:pt>
                <c:pt idx="137">
                  <c:v>4.3751740430370889E-2</c:v>
                </c:pt>
                <c:pt idx="138">
                  <c:v>4.4231322318067347E-2</c:v>
                </c:pt>
                <c:pt idx="139">
                  <c:v>4.4712643814572371E-2</c:v>
                </c:pt>
                <c:pt idx="140">
                  <c:v>4.5195698655106052E-2</c:v>
                </c:pt>
                <c:pt idx="141">
                  <c:v>4.5680480642088427E-2</c:v>
                </c:pt>
                <c:pt idx="142">
                  <c:v>4.6166983643946669E-2</c:v>
                </c:pt>
                <c:pt idx="143">
                  <c:v>4.6655201593951597E-2</c:v>
                </c:pt>
                <c:pt idx="144">
                  <c:v>4.7145128489082887E-2</c:v>
                </c:pt>
                <c:pt idx="145">
                  <c:v>4.7636758388921563E-2</c:v>
                </c:pt>
                <c:pt idx="146">
                  <c:v>4.8130085414569639E-2</c:v>
                </c:pt>
                <c:pt idx="147">
                  <c:v>4.8625103747595363E-2</c:v>
                </c:pt>
                <c:pt idx="148">
                  <c:v>4.9121807629003859E-2</c:v>
                </c:pt>
                <c:pt idx="149">
                  <c:v>4.9620191358231938E-2</c:v>
                </c:pt>
                <c:pt idx="150">
                  <c:v>5.0120249292166692E-2</c:v>
                </c:pt>
                <c:pt idx="151">
                  <c:v>5.0621975844186866E-2</c:v>
                </c:pt>
                <c:pt idx="152">
                  <c:v>5.1125365483226742E-2</c:v>
                </c:pt>
                <c:pt idx="153">
                  <c:v>5.163041273286112E-2</c:v>
                </c:pt>
                <c:pt idx="154">
                  <c:v>5.2137112170411892E-2</c:v>
                </c:pt>
                <c:pt idx="155">
                  <c:v>5.2645458426074362E-2</c:v>
                </c:pt>
                <c:pt idx="156">
                  <c:v>5.3155446182063616E-2</c:v>
                </c:pt>
                <c:pt idx="157">
                  <c:v>5.3667070171780101E-2</c:v>
                </c:pt>
                <c:pt idx="158">
                  <c:v>5.4180325178993544E-2</c:v>
                </c:pt>
                <c:pt idx="159">
                  <c:v>5.4695206037045356E-2</c:v>
                </c:pt>
                <c:pt idx="160">
                  <c:v>5.5211707628068235E-2</c:v>
                </c:pt>
                <c:pt idx="161">
                  <c:v>5.5729824882223215E-2</c:v>
                </c:pt>
                <c:pt idx="162">
                  <c:v>5.6249552776952927E-2</c:v>
                </c:pt>
                <c:pt idx="163">
                  <c:v>5.6770886336251346E-2</c:v>
                </c:pt>
                <c:pt idx="164">
                  <c:v>5.7293820629949047E-2</c:v>
                </c:pt>
                <c:pt idx="165">
                  <c:v>5.7818350773013817E-2</c:v>
                </c:pt>
                <c:pt idx="166">
                  <c:v>5.8344471924866137E-2</c:v>
                </c:pt>
                <c:pt idx="167">
                  <c:v>5.8872179288708928E-2</c:v>
                </c:pt>
                <c:pt idx="168">
                  <c:v>5.940146811087154E-2</c:v>
                </c:pt>
                <c:pt idx="169">
                  <c:v>5.9932333680167565E-2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85-4645-B8FD-A590AF870385}"/>
            </c:ext>
          </c:extLst>
        </c:ser>
        <c:ser>
          <c:idx val="3"/>
          <c:order val="3"/>
          <c:tx>
            <c:v>Recking</c:v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'compare_fun_test '!$L$31:$L$200</c:f>
              <c:numCache>
                <c:formatCode>General</c:formatCode>
                <c:ptCount val="170"/>
                <c:pt idx="0">
                  <c:v>57.191622173366866</c:v>
                </c:pt>
                <c:pt idx="1">
                  <c:v>58.640476601758827</c:v>
                </c:pt>
                <c:pt idx="2">
                  <c:v>60.089331030150788</c:v>
                </c:pt>
                <c:pt idx="3">
                  <c:v>61.538185458542749</c:v>
                </c:pt>
                <c:pt idx="4">
                  <c:v>62.98703988693471</c:v>
                </c:pt>
                <c:pt idx="5">
                  <c:v>64.435894315326664</c:v>
                </c:pt>
                <c:pt idx="6">
                  <c:v>65.884748743718617</c:v>
                </c:pt>
                <c:pt idx="7">
                  <c:v>67.333603172110571</c:v>
                </c:pt>
                <c:pt idx="8">
                  <c:v>68.782457600502525</c:v>
                </c:pt>
                <c:pt idx="9">
                  <c:v>70.231312028894479</c:v>
                </c:pt>
                <c:pt idx="10">
                  <c:v>71.680166457286433</c:v>
                </c:pt>
                <c:pt idx="11">
                  <c:v>73.129020885678386</c:v>
                </c:pt>
                <c:pt idx="12">
                  <c:v>74.57787531407034</c:v>
                </c:pt>
                <c:pt idx="13">
                  <c:v>76.026729742462294</c:v>
                </c:pt>
                <c:pt idx="14">
                  <c:v>77.475584170854248</c:v>
                </c:pt>
                <c:pt idx="15">
                  <c:v>78.924438599246201</c:v>
                </c:pt>
                <c:pt idx="16">
                  <c:v>80.373293027638155</c:v>
                </c:pt>
                <c:pt idx="17">
                  <c:v>81.822147456030109</c:v>
                </c:pt>
                <c:pt idx="18">
                  <c:v>83.271001884422063</c:v>
                </c:pt>
                <c:pt idx="19">
                  <c:v>84.719856312814017</c:v>
                </c:pt>
                <c:pt idx="20">
                  <c:v>86.16871074120597</c:v>
                </c:pt>
                <c:pt idx="21">
                  <c:v>87.617565169597924</c:v>
                </c:pt>
                <c:pt idx="22">
                  <c:v>89.066419597989878</c:v>
                </c:pt>
                <c:pt idx="23">
                  <c:v>90.515274026381832</c:v>
                </c:pt>
                <c:pt idx="24">
                  <c:v>91.964128454773785</c:v>
                </c:pt>
                <c:pt idx="25">
                  <c:v>93.412982883165739</c:v>
                </c:pt>
                <c:pt idx="26">
                  <c:v>94.861837311557693</c:v>
                </c:pt>
                <c:pt idx="27">
                  <c:v>96.310691739949647</c:v>
                </c:pt>
                <c:pt idx="28">
                  <c:v>97.7595461683416</c:v>
                </c:pt>
                <c:pt idx="29">
                  <c:v>99.208400596733554</c:v>
                </c:pt>
                <c:pt idx="30">
                  <c:v>100.65725502512551</c:v>
                </c:pt>
                <c:pt idx="31">
                  <c:v>102.10610945351746</c:v>
                </c:pt>
                <c:pt idx="32">
                  <c:v>103.55496388190942</c:v>
                </c:pt>
                <c:pt idx="33">
                  <c:v>105.00381831030137</c:v>
                </c:pt>
                <c:pt idx="34">
                  <c:v>106.45267273869332</c:v>
                </c:pt>
                <c:pt idx="35">
                  <c:v>107.90152716708528</c:v>
                </c:pt>
                <c:pt idx="36">
                  <c:v>109.35038159547723</c:v>
                </c:pt>
                <c:pt idx="37">
                  <c:v>110.79923602386918</c:v>
                </c:pt>
                <c:pt idx="38">
                  <c:v>112.24809045226114</c:v>
                </c:pt>
                <c:pt idx="39">
                  <c:v>113.69694488065309</c:v>
                </c:pt>
                <c:pt idx="40">
                  <c:v>115.14579930904505</c:v>
                </c:pt>
                <c:pt idx="41">
                  <c:v>116.594653737437</c:v>
                </c:pt>
                <c:pt idx="42">
                  <c:v>118.04350816582895</c:v>
                </c:pt>
                <c:pt idx="43">
                  <c:v>119.49236259422091</c:v>
                </c:pt>
                <c:pt idx="44">
                  <c:v>120.94121702261286</c:v>
                </c:pt>
                <c:pt idx="45">
                  <c:v>122.39007145100481</c:v>
                </c:pt>
                <c:pt idx="46">
                  <c:v>123.83892587939677</c:v>
                </c:pt>
                <c:pt idx="47">
                  <c:v>125.28778030778872</c:v>
                </c:pt>
                <c:pt idx="48">
                  <c:v>126.73663473618068</c:v>
                </c:pt>
                <c:pt idx="49">
                  <c:v>128.18548916457263</c:v>
                </c:pt>
                <c:pt idx="50">
                  <c:v>129.6343435929646</c:v>
                </c:pt>
                <c:pt idx="51">
                  <c:v>131.08319802135657</c:v>
                </c:pt>
                <c:pt idx="52">
                  <c:v>132.53205244974853</c:v>
                </c:pt>
                <c:pt idx="53">
                  <c:v>133.9809068781405</c:v>
                </c:pt>
                <c:pt idx="54">
                  <c:v>135.42976130653247</c:v>
                </c:pt>
                <c:pt idx="55">
                  <c:v>136.87861573492444</c:v>
                </c:pt>
                <c:pt idx="56">
                  <c:v>138.32747016331641</c:v>
                </c:pt>
                <c:pt idx="57">
                  <c:v>139.77632459170837</c:v>
                </c:pt>
                <c:pt idx="58">
                  <c:v>141.22517902010034</c:v>
                </c:pt>
                <c:pt idx="59">
                  <c:v>142.67403344849231</c:v>
                </c:pt>
                <c:pt idx="60">
                  <c:v>144.12288787688428</c:v>
                </c:pt>
                <c:pt idx="61">
                  <c:v>145.57174230527625</c:v>
                </c:pt>
                <c:pt idx="62">
                  <c:v>147.02059673366821</c:v>
                </c:pt>
                <c:pt idx="63">
                  <c:v>148.46945116206018</c:v>
                </c:pt>
                <c:pt idx="64">
                  <c:v>149.91830559045215</c:v>
                </c:pt>
                <c:pt idx="65">
                  <c:v>151.36716001884412</c:v>
                </c:pt>
                <c:pt idx="66">
                  <c:v>152.81601444723609</c:v>
                </c:pt>
                <c:pt idx="67">
                  <c:v>154.26486887562805</c:v>
                </c:pt>
                <c:pt idx="68">
                  <c:v>155.71372330402002</c:v>
                </c:pt>
                <c:pt idx="69">
                  <c:v>157.16257773241199</c:v>
                </c:pt>
                <c:pt idx="70">
                  <c:v>158.61143216080396</c:v>
                </c:pt>
                <c:pt idx="71">
                  <c:v>160.06028658919593</c:v>
                </c:pt>
                <c:pt idx="72">
                  <c:v>161.50914101758789</c:v>
                </c:pt>
                <c:pt idx="73">
                  <c:v>162.95799544597986</c:v>
                </c:pt>
                <c:pt idx="74">
                  <c:v>164.40684987437183</c:v>
                </c:pt>
                <c:pt idx="75">
                  <c:v>165.8557043027638</c:v>
                </c:pt>
                <c:pt idx="76">
                  <c:v>167.30455873115577</c:v>
                </c:pt>
                <c:pt idx="77">
                  <c:v>168.75341315954773</c:v>
                </c:pt>
                <c:pt idx="78">
                  <c:v>170.2022675879397</c:v>
                </c:pt>
                <c:pt idx="79">
                  <c:v>171.65112201633167</c:v>
                </c:pt>
                <c:pt idx="80">
                  <c:v>173.09997644472364</c:v>
                </c:pt>
                <c:pt idx="81">
                  <c:v>174.54883087311561</c:v>
                </c:pt>
                <c:pt idx="82">
                  <c:v>175.99768530150757</c:v>
                </c:pt>
                <c:pt idx="83">
                  <c:v>177.44653972989954</c:v>
                </c:pt>
                <c:pt idx="84">
                  <c:v>178.89539415829151</c:v>
                </c:pt>
                <c:pt idx="85">
                  <c:v>180.34424858668348</c:v>
                </c:pt>
                <c:pt idx="86">
                  <c:v>181.79310301507545</c:v>
                </c:pt>
                <c:pt idx="87">
                  <c:v>183.24195744346741</c:v>
                </c:pt>
                <c:pt idx="88">
                  <c:v>184.69081187185938</c:v>
                </c:pt>
                <c:pt idx="89">
                  <c:v>186.13966630025135</c:v>
                </c:pt>
                <c:pt idx="90">
                  <c:v>187.58852072864332</c:v>
                </c:pt>
                <c:pt idx="91">
                  <c:v>189.03737515703529</c:v>
                </c:pt>
                <c:pt idx="92">
                  <c:v>190.48622958542725</c:v>
                </c:pt>
                <c:pt idx="93">
                  <c:v>191.93508401381922</c:v>
                </c:pt>
                <c:pt idx="94">
                  <c:v>193.38393844221119</c:v>
                </c:pt>
                <c:pt idx="95">
                  <c:v>194.83279287060316</c:v>
                </c:pt>
                <c:pt idx="96">
                  <c:v>196.28164729899513</c:v>
                </c:pt>
                <c:pt idx="97">
                  <c:v>197.73050172738709</c:v>
                </c:pt>
                <c:pt idx="98">
                  <c:v>199.17935615577906</c:v>
                </c:pt>
                <c:pt idx="99">
                  <c:v>200.62821058417103</c:v>
                </c:pt>
                <c:pt idx="100">
                  <c:v>202.077065012563</c:v>
                </c:pt>
                <c:pt idx="101">
                  <c:v>203.52591944095497</c:v>
                </c:pt>
                <c:pt idx="102">
                  <c:v>204.97477386934693</c:v>
                </c:pt>
                <c:pt idx="103">
                  <c:v>206.4236282977389</c:v>
                </c:pt>
                <c:pt idx="104">
                  <c:v>207.87248272613087</c:v>
                </c:pt>
                <c:pt idx="105">
                  <c:v>209.32133715452284</c:v>
                </c:pt>
                <c:pt idx="106">
                  <c:v>210.7701915829148</c:v>
                </c:pt>
                <c:pt idx="107">
                  <c:v>212.21904601130677</c:v>
                </c:pt>
                <c:pt idx="108">
                  <c:v>213.66790043969874</c:v>
                </c:pt>
                <c:pt idx="109">
                  <c:v>215.11675486809071</c:v>
                </c:pt>
                <c:pt idx="110">
                  <c:v>216.56560929648268</c:v>
                </c:pt>
                <c:pt idx="111">
                  <c:v>218.01446372487464</c:v>
                </c:pt>
                <c:pt idx="112">
                  <c:v>219.46331815326661</c:v>
                </c:pt>
                <c:pt idx="113">
                  <c:v>220.91217258165858</c:v>
                </c:pt>
                <c:pt idx="114">
                  <c:v>222.36102701005055</c:v>
                </c:pt>
                <c:pt idx="115">
                  <c:v>223.80988143844252</c:v>
                </c:pt>
                <c:pt idx="116">
                  <c:v>225.25873586683448</c:v>
                </c:pt>
                <c:pt idx="117">
                  <c:v>226.70759029522645</c:v>
                </c:pt>
                <c:pt idx="118">
                  <c:v>228.15644472361842</c:v>
                </c:pt>
                <c:pt idx="119">
                  <c:v>229.60529915201039</c:v>
                </c:pt>
                <c:pt idx="120">
                  <c:v>231.05415358040236</c:v>
                </c:pt>
                <c:pt idx="121">
                  <c:v>232.50300800879432</c:v>
                </c:pt>
                <c:pt idx="122">
                  <c:v>233.95186243718629</c:v>
                </c:pt>
                <c:pt idx="123">
                  <c:v>235.40071686557826</c:v>
                </c:pt>
                <c:pt idx="124">
                  <c:v>236.84957129397023</c:v>
                </c:pt>
                <c:pt idx="125">
                  <c:v>238.2984257223622</c:v>
                </c:pt>
                <c:pt idx="126">
                  <c:v>239.74728015075416</c:v>
                </c:pt>
                <c:pt idx="127">
                  <c:v>241.19613457914613</c:v>
                </c:pt>
                <c:pt idx="128">
                  <c:v>242.6449890075381</c:v>
                </c:pt>
                <c:pt idx="129">
                  <c:v>244.09384343593007</c:v>
                </c:pt>
                <c:pt idx="130">
                  <c:v>245.54269786432204</c:v>
                </c:pt>
                <c:pt idx="131">
                  <c:v>246.991552292714</c:v>
                </c:pt>
                <c:pt idx="132">
                  <c:v>248.44040672110597</c:v>
                </c:pt>
                <c:pt idx="133">
                  <c:v>249.88926114949794</c:v>
                </c:pt>
                <c:pt idx="134">
                  <c:v>251.33811557788991</c:v>
                </c:pt>
                <c:pt idx="135">
                  <c:v>252.78697000628188</c:v>
                </c:pt>
                <c:pt idx="136">
                  <c:v>254.23582443467384</c:v>
                </c:pt>
                <c:pt idx="137">
                  <c:v>255.68467886306581</c:v>
                </c:pt>
                <c:pt idx="138">
                  <c:v>257.13353329145775</c:v>
                </c:pt>
                <c:pt idx="139">
                  <c:v>258.58238771984969</c:v>
                </c:pt>
                <c:pt idx="140">
                  <c:v>260.03124214824163</c:v>
                </c:pt>
                <c:pt idx="141">
                  <c:v>261.48009657663357</c:v>
                </c:pt>
                <c:pt idx="142">
                  <c:v>262.92895100502551</c:v>
                </c:pt>
                <c:pt idx="143">
                  <c:v>264.37780543341745</c:v>
                </c:pt>
                <c:pt idx="144">
                  <c:v>265.82665986180939</c:v>
                </c:pt>
                <c:pt idx="145">
                  <c:v>267.27551429020133</c:v>
                </c:pt>
                <c:pt idx="146">
                  <c:v>268.72436871859327</c:v>
                </c:pt>
                <c:pt idx="147">
                  <c:v>270.17322314698521</c:v>
                </c:pt>
                <c:pt idx="148">
                  <c:v>271.62207757537715</c:v>
                </c:pt>
                <c:pt idx="149">
                  <c:v>273.07093200376909</c:v>
                </c:pt>
                <c:pt idx="150">
                  <c:v>274.51978643216103</c:v>
                </c:pt>
                <c:pt idx="151">
                  <c:v>275.96864086055297</c:v>
                </c:pt>
                <c:pt idx="152">
                  <c:v>277.41749528894491</c:v>
                </c:pt>
                <c:pt idx="153">
                  <c:v>278.86634971733685</c:v>
                </c:pt>
                <c:pt idx="154">
                  <c:v>280.31520414572879</c:v>
                </c:pt>
                <c:pt idx="155">
                  <c:v>281.76405857412072</c:v>
                </c:pt>
                <c:pt idx="156">
                  <c:v>283.21291300251266</c:v>
                </c:pt>
                <c:pt idx="157">
                  <c:v>284.6617674309046</c:v>
                </c:pt>
                <c:pt idx="158">
                  <c:v>286.11062185929654</c:v>
                </c:pt>
                <c:pt idx="159">
                  <c:v>287.55947628768848</c:v>
                </c:pt>
                <c:pt idx="160">
                  <c:v>289.00833071608042</c:v>
                </c:pt>
                <c:pt idx="161">
                  <c:v>290.45718514447236</c:v>
                </c:pt>
                <c:pt idx="162">
                  <c:v>291.9060395728643</c:v>
                </c:pt>
                <c:pt idx="163">
                  <c:v>293.35489400125624</c:v>
                </c:pt>
                <c:pt idx="164">
                  <c:v>294.80374842964818</c:v>
                </c:pt>
                <c:pt idx="165">
                  <c:v>296.25260285804012</c:v>
                </c:pt>
                <c:pt idx="166">
                  <c:v>297.70145728643206</c:v>
                </c:pt>
                <c:pt idx="167">
                  <c:v>299.150311714824</c:v>
                </c:pt>
                <c:pt idx="168">
                  <c:v>300.59916614321594</c:v>
                </c:pt>
                <c:pt idx="169">
                  <c:v>302.04802057160788</c:v>
                </c:pt>
              </c:numCache>
            </c:numRef>
          </c:xVal>
          <c:yVal>
            <c:numRef>
              <c:f>'compare_fun_test '!$AT$31:$AT$200</c:f>
              <c:numCache>
                <c:formatCode>General</c:formatCode>
                <c:ptCount val="170"/>
                <c:pt idx="0">
                  <c:v>7.432345969015597E-7</c:v>
                </c:pt>
                <c:pt idx="1">
                  <c:v>8.7378425458826931E-7</c:v>
                </c:pt>
                <c:pt idx="2">
                  <c:v>1.0231339749163933E-6</c:v>
                </c:pt>
                <c:pt idx="3">
                  <c:v>1.193415531162805E-6</c:v>
                </c:pt>
                <c:pt idx="4">
                  <c:v>1.3869374842579828E-6</c:v>
                </c:pt>
                <c:pt idx="5">
                  <c:v>1.6061940249982087E-6</c:v>
                </c:pt>
                <c:pt idx="6">
                  <c:v>1.8538738300417207E-6</c:v>
                </c:pt>
                <c:pt idx="7">
                  <c:v>2.1328688962203944E-6</c:v>
                </c:pt>
                <c:pt idx="8">
                  <c:v>2.4462833153740336E-6</c:v>
                </c:pt>
                <c:pt idx="9">
                  <c:v>2.7974419496402359E-6</c:v>
                </c:pt>
                <c:pt idx="10">
                  <c:v>3.1898989649319838E-6</c:v>
                </c:pt>
                <c:pt idx="11">
                  <c:v>3.6274461782325294E-6</c:v>
                </c:pt>
                <c:pt idx="12">
                  <c:v>4.1141211723587704E-6</c:v>
                </c:pt>
                <c:pt idx="13">
                  <c:v>4.6542151300176554E-6</c:v>
                </c:pt>
                <c:pt idx="14">
                  <c:v>5.252280337334195E-6</c:v>
                </c:pt>
                <c:pt idx="15">
                  <c:v>5.9131373055930157E-6</c:v>
                </c:pt>
                <c:pt idx="16">
                  <c:v>6.6418814587391609E-6</c:v>
                </c:pt>
                <c:pt idx="17">
                  <c:v>7.4438893332576396E-6</c:v>
                </c:pt>
                <c:pt idx="18">
                  <c:v>8.3248242364252687E-6</c:v>
                </c:pt>
                <c:pt idx="19">
                  <c:v>9.2906413086325489E-6</c:v>
                </c:pt>
                <c:pt idx="20">
                  <c:v>1.0347591935536575E-5</c:v>
                </c:pt>
                <c:pt idx="21">
                  <c:v>1.1502227456254883E-5</c:v>
                </c:pt>
                <c:pt idx="22">
                  <c:v>1.2761402114670534E-5</c:v>
                </c:pt>
                <c:pt idx="23">
                  <c:v>1.4132275202214075E-5</c:v>
                </c:pt>
                <c:pt idx="24">
                  <c:v>1.5622312342237263E-5</c:v>
                </c:pt>
                <c:pt idx="25">
                  <c:v>1.7239285868313351E-5</c:v>
                </c:pt>
                <c:pt idx="26">
                  <c:v>1.8991274251502952E-5</c:v>
                </c:pt>
                <c:pt idx="27">
                  <c:v>2.0886660534819424E-5</c:v>
                </c:pt>
                <c:pt idx="28">
                  <c:v>2.2934129736816939E-5</c:v>
                </c:pt>
                <c:pt idx="29">
                  <c:v>2.514266519040622E-5</c:v>
                </c:pt>
                <c:pt idx="30">
                  <c:v>2.7521543787667811E-5</c:v>
                </c:pt>
                <c:pt idx="31">
                  <c:v>3.0080330106567098E-5</c:v>
                </c:pt>
                <c:pt idx="32">
                  <c:v>3.2828869401057309E-5</c:v>
                </c:pt>
                <c:pt idx="33">
                  <c:v>3.5777279442061992E-5</c:v>
                </c:pt>
                <c:pt idx="34">
                  <c:v>3.8935941203216634E-5</c:v>
                </c:pt>
                <c:pt idx="35">
                  <c:v>4.231548839198744E-5</c:v>
                </c:pt>
                <c:pt idx="36">
                  <c:v>4.5926795833820157E-5</c:v>
                </c:pt>
                <c:pt idx="37">
                  <c:v>4.9780966724252801E-5</c:v>
                </c:pt>
                <c:pt idx="38">
                  <c:v>5.3889318771395136E-5</c:v>
                </c:pt>
                <c:pt idx="39">
                  <c:v>5.8263369258766936E-5</c:v>
                </c:pt>
                <c:pt idx="40">
                  <c:v>6.2914819066127979E-5</c:v>
                </c:pt>
                <c:pt idx="41">
                  <c:v>6.7855535693562107E-5</c:v>
                </c:pt>
                <c:pt idx="42">
                  <c:v>7.309753534159543E-5</c:v>
                </c:pt>
                <c:pt idx="43">
                  <c:v>7.8652964107490746E-5</c:v>
                </c:pt>
                <c:pt idx="44">
                  <c:v>8.4534078364954758E-5</c:v>
                </c:pt>
                <c:pt idx="45">
                  <c:v>9.0753224401263146E-5</c:v>
                </c:pt>
                <c:pt idx="46">
                  <c:v>9.7322817392169183E-5</c:v>
                </c:pt>
                <c:pt idx="47">
                  <c:v>1.0425531980083048E-4</c:v>
                </c:pt>
                <c:pt idx="48">
                  <c:v>1.1156321929230535E-4</c:v>
                </c:pt>
                <c:pt idx="49">
                  <c:v>1.1925900625986397E-4</c:v>
                </c:pt>
                <c:pt idx="50">
                  <c:v>1.2735515106335998E-4</c:v>
                </c:pt>
                <c:pt idx="51">
                  <c:v>1.3586408108318289E-4</c:v>
                </c:pt>
                <c:pt idx="52">
                  <c:v>1.4479815769578893E-4</c:v>
                </c:pt>
                <c:pt idx="53">
                  <c:v>1.5416965327846716E-4</c:v>
                </c:pt>
                <c:pt idx="54">
                  <c:v>1.639907283518123E-4</c:v>
                </c:pt>
                <c:pt idx="55">
                  <c:v>1.7427340896831135E-4</c:v>
                </c:pt>
                <c:pt idx="56">
                  <c:v>1.8502956445451958E-4</c:v>
                </c:pt>
                <c:pt idx="57">
                  <c:v>1.962708856124991E-4</c:v>
                </c:pt>
                <c:pt idx="58">
                  <c:v>2.0800886348352609E-4</c:v>
                </c:pt>
                <c:pt idx="59">
                  <c:v>2.2025476877357745E-4</c:v>
                </c:pt>
                <c:pt idx="60">
                  <c:v>2.3301963203582147E-4</c:v>
                </c:pt>
                <c:pt idx="61">
                  <c:v>2.4631422470027805E-4</c:v>
                </c:pt>
                <c:pt idx="62">
                  <c:v>2.6014904103508971E-4</c:v>
                </c:pt>
                <c:pt idx="63">
                  <c:v>2.7453428111743705E-4</c:v>
                </c:pt>
                <c:pt idx="64">
                  <c:v>2.8947983488520842E-4</c:v>
                </c:pt>
                <c:pt idx="65">
                  <c:v>3.0499526733307659E-4</c:v>
                </c:pt>
                <c:pt idx="66">
                  <c:v>3.210898049087894E-4</c:v>
                </c:pt>
                <c:pt idx="67">
                  <c:v>3.3777232315729884E-4</c:v>
                </c:pt>
                <c:pt idx="68">
                  <c:v>3.5505133565193523E-4</c:v>
                </c:pt>
                <c:pt idx="69">
                  <c:v>3.7293498424325353E-4</c:v>
                </c:pt>
                <c:pt idx="70">
                  <c:v>3.9143103064755115E-4</c:v>
                </c:pt>
                <c:pt idx="71">
                  <c:v>4.1054684938842567E-4</c:v>
                </c:pt>
                <c:pt idx="72">
                  <c:v>4.3028942209623404E-4</c:v>
                </c:pt>
                <c:pt idx="73">
                  <c:v>4.5066533316198552E-4</c:v>
                </c:pt>
                <c:pt idx="74">
                  <c:v>4.7168076673412843E-4</c:v>
                </c:pt>
                <c:pt idx="75">
                  <c:v>4.933415050389537E-4</c:v>
                </c:pt>
                <c:pt idx="76">
                  <c:v>5.156529279979746E-4</c:v>
                </c:pt>
                <c:pt idx="77">
                  <c:v>5.3862001410877184E-4</c:v>
                </c:pt>
                <c:pt idx="78">
                  <c:v>5.622473425493554E-4</c:v>
                </c:pt>
                <c:pt idx="79">
                  <c:v>5.8653909646024535E-4</c:v>
                </c:pt>
                <c:pt idx="80">
                  <c:v>6.1149906735318742E-4</c:v>
                </c:pt>
                <c:pt idx="81">
                  <c:v>6.3713066059069453E-4</c:v>
                </c:pt>
                <c:pt idx="82">
                  <c:v>6.6343690187653937E-4</c:v>
                </c:pt>
                <c:pt idx="83">
                  <c:v>6.9042044469385224E-4</c:v>
                </c:pt>
                <c:pt idx="84">
                  <c:v>7.1808357862461361E-4</c:v>
                </c:pt>
                <c:pt idx="85">
                  <c:v>7.4642823848214792E-4</c:v>
                </c:pt>
                <c:pt idx="86">
                  <c:v>7.7545601418653389E-4</c:v>
                </c:pt>
                <c:pt idx="87">
                  <c:v>8.0516816131190273E-4</c:v>
                </c:pt>
                <c:pt idx="88">
                  <c:v>8.3556561223402652E-4</c:v>
                </c:pt>
                <c:pt idx="89">
                  <c:v>8.6664898780673498E-4</c:v>
                </c:pt>
                <c:pt idx="90">
                  <c:v>8.984186094962369E-4</c:v>
                </c:pt>
                <c:pt idx="91">
                  <c:v>9.3087451190344101E-4</c:v>
                </c:pt>
                <c:pt idx="92">
                  <c:v>9.6401645560588662E-4</c:v>
                </c:pt>
                <c:pt idx="93">
                  <c:v>9.9784394025267866E-4</c:v>
                </c:pt>
                <c:pt idx="94">
                  <c:v>1.0323562178480769E-3</c:v>
                </c:pt>
                <c:pt idx="95">
                  <c:v>1.0675523061618969E-3</c:v>
                </c:pt>
                <c:pt idx="96">
                  <c:v>1.103431002207611E-3</c:v>
                </c:pt>
                <c:pt idx="97">
                  <c:v>1.1399908957320654E-3</c:v>
                </c:pt>
                <c:pt idx="98">
                  <c:v>1.1772303826639377E-3</c:v>
                </c:pt>
                <c:pt idx="99">
                  <c:v>1.2151476784712971E-3</c:v>
                </c:pt>
                <c:pt idx="100">
                  <c:v>1.2537408313821449E-3</c:v>
                </c:pt>
                <c:pt idx="101">
                  <c:v>1.293007735425259E-3</c:v>
                </c:pt>
                <c:pt idx="102">
                  <c:v>1.332946143252194E-3</c:v>
                </c:pt>
                <c:pt idx="103">
                  <c:v>1.3735536787048757E-3</c:v>
                </c:pt>
                <c:pt idx="104">
                  <c:v>1.4148278490966641E-3</c:v>
                </c:pt>
                <c:pt idx="105">
                  <c:v>1.4567660571783163E-3</c:v>
                </c:pt>
                <c:pt idx="106">
                  <c:v>1.499365612763569E-3</c:v>
                </c:pt>
                <c:pt idx="107">
                  <c:v>1.5426237439924633E-3</c:v>
                </c:pt>
                <c:pt idx="108">
                  <c:v>1.5865376082136371E-3</c:v>
                </c:pt>
                <c:pt idx="109">
                  <c:v>1.6311043024699236E-3</c:v>
                </c:pt>
                <c:pt idx="110">
                  <c:v>1.6763208735745055E-3</c:v>
                </c:pt>
                <c:pt idx="111">
                  <c:v>1.7221843277676378E-3</c:v>
                </c:pt>
                <c:pt idx="112">
                  <c:v>1.7686916399465959E-3</c:v>
                </c:pt>
                <c:pt idx="113">
                  <c:v>1.8158397624639324E-3</c:v>
                </c:pt>
                <c:pt idx="114">
                  <c:v>1.8636256334914692E-3</c:v>
                </c:pt>
                <c:pt idx="115">
                  <c:v>1.9120461849495016E-3</c:v>
                </c:pt>
                <c:pt idx="116">
                  <c:v>1.9610983500027244E-3</c:v>
                </c:pt>
                <c:pt idx="117">
                  <c:v>2.0107790701261326E-3</c:v>
                </c:pt>
                <c:pt idx="118">
                  <c:v>2.0610853017457753E-3</c:v>
                </c:pt>
                <c:pt idx="119">
                  <c:v>2.1120140224607578E-3</c:v>
                </c:pt>
                <c:pt idx="120">
                  <c:v>2.1635622368541118E-3</c:v>
                </c:pt>
                <c:pt idx="121">
                  <c:v>2.2157269819013908E-3</c:v>
                </c:pt>
                <c:pt idx="122">
                  <c:v>2.2685053319868201E-3</c:v>
                </c:pt>
                <c:pt idx="123">
                  <c:v>2.3218944035377164E-3</c:v>
                </c:pt>
                <c:pt idx="124">
                  <c:v>2.3758913592886476E-3</c:v>
                </c:pt>
                <c:pt idx="125">
                  <c:v>2.4304934121873976E-3</c:v>
                </c:pt>
                <c:pt idx="126">
                  <c:v>2.4856978289553551E-3</c:v>
                </c:pt>
                <c:pt idx="127">
                  <c:v>2.5415019333153068E-3</c:v>
                </c:pt>
                <c:pt idx="128">
                  <c:v>2.5979031088999094E-3</c:v>
                </c:pt>
                <c:pt idx="129">
                  <c:v>2.6548988018543773E-3</c:v>
                </c:pt>
                <c:pt idx="130">
                  <c:v>2.7124865231469551E-3</c:v>
                </c:pt>
                <c:pt idx="131">
                  <c:v>2.7706638506008979E-3</c:v>
                </c:pt>
                <c:pt idx="132">
                  <c:v>2.8294284306615387E-3</c:v>
                </c:pt>
                <c:pt idx="133">
                  <c:v>2.8887779799120421E-3</c:v>
                </c:pt>
                <c:pt idx="134">
                  <c:v>2.948710286351242E-3</c:v>
                </c:pt>
                <c:pt idx="135">
                  <c:v>3.0092232104467135E-3</c:v>
                </c:pt>
                <c:pt idx="136">
                  <c:v>3.0703146859761758E-3</c:v>
                </c:pt>
                <c:pt idx="137">
                  <c:v>3.1319827206697788E-3</c:v>
                </c:pt>
                <c:pt idx="138">
                  <c:v>3.1942253966657582E-3</c:v>
                </c:pt>
                <c:pt idx="139">
                  <c:v>3.2570408707914699E-3</c:v>
                </c:pt>
                <c:pt idx="140">
                  <c:v>3.320427374681472E-3</c:v>
                </c:pt>
                <c:pt idx="141">
                  <c:v>3.3843832147439704E-3</c:v>
                </c:pt>
                <c:pt idx="142">
                  <c:v>3.4489067719865566E-3</c:v>
                </c:pt>
                <c:pt idx="143">
                  <c:v>3.513996501711701E-3</c:v>
                </c:pt>
                <c:pt idx="144">
                  <c:v>3.5796509330921046E-3</c:v>
                </c:pt>
                <c:pt idx="145">
                  <c:v>3.6458686686355601E-3</c:v>
                </c:pt>
                <c:pt idx="146">
                  <c:v>3.7126483835485712E-3</c:v>
                </c:pt>
                <c:pt idx="147">
                  <c:v>3.779988825007588E-3</c:v>
                </c:pt>
                <c:pt idx="148">
                  <c:v>3.8478888113461442E-3</c:v>
                </c:pt>
                <c:pt idx="149">
                  <c:v>3.9163472311660071E-3</c:v>
                </c:pt>
                <c:pt idx="150">
                  <c:v>3.9853630423798353E-3</c:v>
                </c:pt>
                <c:pt idx="151">
                  <c:v>4.0549352711924938E-3</c:v>
                </c:pt>
                <c:pt idx="152">
                  <c:v>4.1250630110278861E-3</c:v>
                </c:pt>
                <c:pt idx="153">
                  <c:v>4.1957454214075814E-3</c:v>
                </c:pt>
                <c:pt idx="154">
                  <c:v>4.2669817267873321E-3</c:v>
                </c:pt>
                <c:pt idx="155">
                  <c:v>4.3387712153570698E-3</c:v>
                </c:pt>
                <c:pt idx="156">
                  <c:v>4.4111132378097211E-3</c:v>
                </c:pt>
                <c:pt idx="157">
                  <c:v>4.4840072060837602E-3</c:v>
                </c:pt>
                <c:pt idx="158">
                  <c:v>4.5574525920841534E-3</c:v>
                </c:pt>
                <c:pt idx="159">
                  <c:v>4.6314489263860163E-3</c:v>
                </c:pt>
                <c:pt idx="160">
                  <c:v>4.7059957969249099E-3</c:v>
                </c:pt>
                <c:pt idx="161">
                  <c:v>4.7810928476776527E-3</c:v>
                </c:pt>
                <c:pt idx="162">
                  <c:v>4.8567397773369722E-3</c:v>
                </c:pt>
                <c:pt idx="163">
                  <c:v>4.9329363379831915E-3</c:v>
                </c:pt>
                <c:pt idx="164">
                  <c:v>5.0096823337559705E-3</c:v>
                </c:pt>
                <c:pt idx="165">
                  <c:v>5.0869776195287091E-3</c:v>
                </c:pt>
                <c:pt idx="166">
                  <c:v>5.1648220995881315E-3</c:v>
                </c:pt>
                <c:pt idx="167">
                  <c:v>5.243215726321286E-3</c:v>
                </c:pt>
                <c:pt idx="168">
                  <c:v>5.3221584989120666E-3</c:v>
                </c:pt>
                <c:pt idx="169">
                  <c:v>5.4016504620490544E-3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85-4645-B8FD-A590AF870385}"/>
            </c:ext>
          </c:extLst>
        </c:ser>
        <c:ser>
          <c:idx val="4"/>
          <c:order val="4"/>
          <c:tx>
            <c:v>Van Rijin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'compare_fun_test '!$L$2:$L$200</c:f>
              <c:numCache>
                <c:formatCode>General</c:formatCode>
                <c:ptCount val="199"/>
                <c:pt idx="0">
                  <c:v>15.174843750000001</c:v>
                </c:pt>
                <c:pt idx="1">
                  <c:v>16.623698178391962</c:v>
                </c:pt>
                <c:pt idx="2">
                  <c:v>18.072552606783923</c:v>
                </c:pt>
                <c:pt idx="3">
                  <c:v>19.521407035175883</c:v>
                </c:pt>
                <c:pt idx="4">
                  <c:v>20.970261463567844</c:v>
                </c:pt>
                <c:pt idx="5">
                  <c:v>22.419115891959805</c:v>
                </c:pt>
                <c:pt idx="6">
                  <c:v>23.867970320351766</c:v>
                </c:pt>
                <c:pt idx="7">
                  <c:v>25.316824748743727</c:v>
                </c:pt>
                <c:pt idx="8">
                  <c:v>26.765679177135688</c:v>
                </c:pt>
                <c:pt idx="9">
                  <c:v>28.214533605527649</c:v>
                </c:pt>
                <c:pt idx="10">
                  <c:v>29.66338803391961</c:v>
                </c:pt>
                <c:pt idx="11">
                  <c:v>31.112242462311571</c:v>
                </c:pt>
                <c:pt idx="12">
                  <c:v>32.561096890703531</c:v>
                </c:pt>
                <c:pt idx="13">
                  <c:v>34.009951319095492</c:v>
                </c:pt>
                <c:pt idx="14">
                  <c:v>35.458805747487453</c:v>
                </c:pt>
                <c:pt idx="15">
                  <c:v>36.907660175879414</c:v>
                </c:pt>
                <c:pt idx="16">
                  <c:v>38.356514604271375</c:v>
                </c:pt>
                <c:pt idx="17">
                  <c:v>39.805369032663336</c:v>
                </c:pt>
                <c:pt idx="18">
                  <c:v>41.254223461055297</c:v>
                </c:pt>
                <c:pt idx="19">
                  <c:v>42.703077889447258</c:v>
                </c:pt>
                <c:pt idx="20">
                  <c:v>44.151932317839218</c:v>
                </c:pt>
                <c:pt idx="21">
                  <c:v>45.600786746231179</c:v>
                </c:pt>
                <c:pt idx="22">
                  <c:v>47.04964117462314</c:v>
                </c:pt>
                <c:pt idx="23">
                  <c:v>48.498495603015101</c:v>
                </c:pt>
                <c:pt idx="24">
                  <c:v>49.947350031407062</c:v>
                </c:pt>
                <c:pt idx="25">
                  <c:v>51.396204459799023</c:v>
                </c:pt>
                <c:pt idx="26">
                  <c:v>52.845058888190984</c:v>
                </c:pt>
                <c:pt idx="27">
                  <c:v>54.293913316582945</c:v>
                </c:pt>
                <c:pt idx="28">
                  <c:v>55.742767744974905</c:v>
                </c:pt>
                <c:pt idx="29">
                  <c:v>57.191622173366866</c:v>
                </c:pt>
                <c:pt idx="30">
                  <c:v>58.640476601758827</c:v>
                </c:pt>
                <c:pt idx="31">
                  <c:v>60.089331030150788</c:v>
                </c:pt>
                <c:pt idx="32">
                  <c:v>61.538185458542749</c:v>
                </c:pt>
                <c:pt idx="33">
                  <c:v>62.98703988693471</c:v>
                </c:pt>
                <c:pt idx="34">
                  <c:v>64.435894315326664</c:v>
                </c:pt>
                <c:pt idx="35">
                  <c:v>65.884748743718617</c:v>
                </c:pt>
                <c:pt idx="36">
                  <c:v>67.333603172110571</c:v>
                </c:pt>
                <c:pt idx="37">
                  <c:v>68.782457600502525</c:v>
                </c:pt>
                <c:pt idx="38">
                  <c:v>70.231312028894479</c:v>
                </c:pt>
                <c:pt idx="39">
                  <c:v>71.680166457286433</c:v>
                </c:pt>
                <c:pt idx="40">
                  <c:v>73.129020885678386</c:v>
                </c:pt>
                <c:pt idx="41">
                  <c:v>74.57787531407034</c:v>
                </c:pt>
                <c:pt idx="42">
                  <c:v>76.026729742462294</c:v>
                </c:pt>
                <c:pt idx="43">
                  <c:v>77.475584170854248</c:v>
                </c:pt>
                <c:pt idx="44">
                  <c:v>78.924438599246201</c:v>
                </c:pt>
                <c:pt idx="45">
                  <c:v>80.373293027638155</c:v>
                </c:pt>
                <c:pt idx="46">
                  <c:v>81.822147456030109</c:v>
                </c:pt>
                <c:pt idx="47">
                  <c:v>83.271001884422063</c:v>
                </c:pt>
                <c:pt idx="48">
                  <c:v>84.719856312814017</c:v>
                </c:pt>
                <c:pt idx="49">
                  <c:v>86.16871074120597</c:v>
                </c:pt>
                <c:pt idx="50">
                  <c:v>87.617565169597924</c:v>
                </c:pt>
                <c:pt idx="51">
                  <c:v>89.066419597989878</c:v>
                </c:pt>
                <c:pt idx="52">
                  <c:v>90.515274026381832</c:v>
                </c:pt>
                <c:pt idx="53">
                  <c:v>91.964128454773785</c:v>
                </c:pt>
                <c:pt idx="54">
                  <c:v>93.412982883165739</c:v>
                </c:pt>
                <c:pt idx="55">
                  <c:v>94.861837311557693</c:v>
                </c:pt>
                <c:pt idx="56">
                  <c:v>96.310691739949647</c:v>
                </c:pt>
                <c:pt idx="57">
                  <c:v>97.7595461683416</c:v>
                </c:pt>
                <c:pt idx="58">
                  <c:v>99.208400596733554</c:v>
                </c:pt>
                <c:pt idx="59">
                  <c:v>100.65725502512551</c:v>
                </c:pt>
                <c:pt idx="60">
                  <c:v>102.10610945351746</c:v>
                </c:pt>
                <c:pt idx="61">
                  <c:v>103.55496388190942</c:v>
                </c:pt>
                <c:pt idx="62">
                  <c:v>105.00381831030137</c:v>
                </c:pt>
                <c:pt idx="63">
                  <c:v>106.45267273869332</c:v>
                </c:pt>
                <c:pt idx="64">
                  <c:v>107.90152716708528</c:v>
                </c:pt>
                <c:pt idx="65">
                  <c:v>109.35038159547723</c:v>
                </c:pt>
                <c:pt idx="66">
                  <c:v>110.79923602386918</c:v>
                </c:pt>
                <c:pt idx="67">
                  <c:v>112.24809045226114</c:v>
                </c:pt>
                <c:pt idx="68">
                  <c:v>113.69694488065309</c:v>
                </c:pt>
                <c:pt idx="69">
                  <c:v>115.14579930904505</c:v>
                </c:pt>
                <c:pt idx="70">
                  <c:v>116.594653737437</c:v>
                </c:pt>
                <c:pt idx="71">
                  <c:v>118.04350816582895</c:v>
                </c:pt>
                <c:pt idx="72">
                  <c:v>119.49236259422091</c:v>
                </c:pt>
                <c:pt idx="73">
                  <c:v>120.94121702261286</c:v>
                </c:pt>
                <c:pt idx="74">
                  <c:v>122.39007145100481</c:v>
                </c:pt>
                <c:pt idx="75">
                  <c:v>123.83892587939677</c:v>
                </c:pt>
                <c:pt idx="76">
                  <c:v>125.28778030778872</c:v>
                </c:pt>
                <c:pt idx="77">
                  <c:v>126.73663473618068</c:v>
                </c:pt>
                <c:pt idx="78">
                  <c:v>128.18548916457263</c:v>
                </c:pt>
                <c:pt idx="79">
                  <c:v>129.6343435929646</c:v>
                </c:pt>
                <c:pt idx="80">
                  <c:v>131.08319802135657</c:v>
                </c:pt>
                <c:pt idx="81">
                  <c:v>132.53205244974853</c:v>
                </c:pt>
                <c:pt idx="82">
                  <c:v>133.9809068781405</c:v>
                </c:pt>
                <c:pt idx="83">
                  <c:v>135.42976130653247</c:v>
                </c:pt>
                <c:pt idx="84">
                  <c:v>136.87861573492444</c:v>
                </c:pt>
                <c:pt idx="85">
                  <c:v>138.32747016331641</c:v>
                </c:pt>
                <c:pt idx="86">
                  <c:v>139.77632459170837</c:v>
                </c:pt>
                <c:pt idx="87">
                  <c:v>141.22517902010034</c:v>
                </c:pt>
                <c:pt idx="88">
                  <c:v>142.67403344849231</c:v>
                </c:pt>
                <c:pt idx="89">
                  <c:v>144.12288787688428</c:v>
                </c:pt>
                <c:pt idx="90">
                  <c:v>145.57174230527625</c:v>
                </c:pt>
                <c:pt idx="91">
                  <c:v>147.02059673366821</c:v>
                </c:pt>
                <c:pt idx="92">
                  <c:v>148.46945116206018</c:v>
                </c:pt>
                <c:pt idx="93">
                  <c:v>149.91830559045215</c:v>
                </c:pt>
                <c:pt idx="94">
                  <c:v>151.36716001884412</c:v>
                </c:pt>
                <c:pt idx="95">
                  <c:v>152.81601444723609</c:v>
                </c:pt>
                <c:pt idx="96">
                  <c:v>154.26486887562805</c:v>
                </c:pt>
                <c:pt idx="97">
                  <c:v>155.71372330402002</c:v>
                </c:pt>
                <c:pt idx="98">
                  <c:v>157.16257773241199</c:v>
                </c:pt>
                <c:pt idx="99">
                  <c:v>158.61143216080396</c:v>
                </c:pt>
                <c:pt idx="100">
                  <c:v>160.06028658919593</c:v>
                </c:pt>
                <c:pt idx="101">
                  <c:v>161.50914101758789</c:v>
                </c:pt>
                <c:pt idx="102">
                  <c:v>162.95799544597986</c:v>
                </c:pt>
                <c:pt idx="103">
                  <c:v>164.40684987437183</c:v>
                </c:pt>
                <c:pt idx="104">
                  <c:v>165.8557043027638</c:v>
                </c:pt>
                <c:pt idx="105">
                  <c:v>167.30455873115577</c:v>
                </c:pt>
                <c:pt idx="106">
                  <c:v>168.75341315954773</c:v>
                </c:pt>
                <c:pt idx="107">
                  <c:v>170.2022675879397</c:v>
                </c:pt>
                <c:pt idx="108">
                  <c:v>171.65112201633167</c:v>
                </c:pt>
                <c:pt idx="109">
                  <c:v>173.09997644472364</c:v>
                </c:pt>
                <c:pt idx="110">
                  <c:v>174.54883087311561</c:v>
                </c:pt>
                <c:pt idx="111">
                  <c:v>175.99768530150757</c:v>
                </c:pt>
                <c:pt idx="112">
                  <c:v>177.44653972989954</c:v>
                </c:pt>
                <c:pt idx="113">
                  <c:v>178.89539415829151</c:v>
                </c:pt>
                <c:pt idx="114">
                  <c:v>180.34424858668348</c:v>
                </c:pt>
                <c:pt idx="115">
                  <c:v>181.79310301507545</c:v>
                </c:pt>
                <c:pt idx="116">
                  <c:v>183.24195744346741</c:v>
                </c:pt>
                <c:pt idx="117">
                  <c:v>184.69081187185938</c:v>
                </c:pt>
                <c:pt idx="118">
                  <c:v>186.13966630025135</c:v>
                </c:pt>
                <c:pt idx="119">
                  <c:v>187.58852072864332</c:v>
                </c:pt>
                <c:pt idx="120">
                  <c:v>189.03737515703529</c:v>
                </c:pt>
                <c:pt idx="121">
                  <c:v>190.48622958542725</c:v>
                </c:pt>
                <c:pt idx="122">
                  <c:v>191.93508401381922</c:v>
                </c:pt>
                <c:pt idx="123">
                  <c:v>193.38393844221119</c:v>
                </c:pt>
                <c:pt idx="124">
                  <c:v>194.83279287060316</c:v>
                </c:pt>
                <c:pt idx="125">
                  <c:v>196.28164729899513</c:v>
                </c:pt>
                <c:pt idx="126">
                  <c:v>197.73050172738709</c:v>
                </c:pt>
                <c:pt idx="127">
                  <c:v>199.17935615577906</c:v>
                </c:pt>
                <c:pt idx="128">
                  <c:v>200.62821058417103</c:v>
                </c:pt>
                <c:pt idx="129">
                  <c:v>202.077065012563</c:v>
                </c:pt>
                <c:pt idx="130">
                  <c:v>203.52591944095497</c:v>
                </c:pt>
                <c:pt idx="131">
                  <c:v>204.97477386934693</c:v>
                </c:pt>
                <c:pt idx="132">
                  <c:v>206.4236282977389</c:v>
                </c:pt>
                <c:pt idx="133">
                  <c:v>207.87248272613087</c:v>
                </c:pt>
                <c:pt idx="134">
                  <c:v>209.32133715452284</c:v>
                </c:pt>
                <c:pt idx="135">
                  <c:v>210.7701915829148</c:v>
                </c:pt>
                <c:pt idx="136">
                  <c:v>212.21904601130677</c:v>
                </c:pt>
                <c:pt idx="137">
                  <c:v>213.66790043969874</c:v>
                </c:pt>
                <c:pt idx="138">
                  <c:v>215.11675486809071</c:v>
                </c:pt>
                <c:pt idx="139">
                  <c:v>216.56560929648268</c:v>
                </c:pt>
                <c:pt idx="140">
                  <c:v>218.01446372487464</c:v>
                </c:pt>
                <c:pt idx="141">
                  <c:v>219.46331815326661</c:v>
                </c:pt>
                <c:pt idx="142">
                  <c:v>220.91217258165858</c:v>
                </c:pt>
                <c:pt idx="143">
                  <c:v>222.36102701005055</c:v>
                </c:pt>
                <c:pt idx="144">
                  <c:v>223.80988143844252</c:v>
                </c:pt>
                <c:pt idx="145">
                  <c:v>225.25873586683448</c:v>
                </c:pt>
                <c:pt idx="146">
                  <c:v>226.70759029522645</c:v>
                </c:pt>
                <c:pt idx="147">
                  <c:v>228.15644472361842</c:v>
                </c:pt>
                <c:pt idx="148">
                  <c:v>229.60529915201039</c:v>
                </c:pt>
                <c:pt idx="149">
                  <c:v>231.05415358040236</c:v>
                </c:pt>
                <c:pt idx="150">
                  <c:v>232.50300800879432</c:v>
                </c:pt>
                <c:pt idx="151">
                  <c:v>233.95186243718629</c:v>
                </c:pt>
                <c:pt idx="152">
                  <c:v>235.40071686557826</c:v>
                </c:pt>
                <c:pt idx="153">
                  <c:v>236.84957129397023</c:v>
                </c:pt>
                <c:pt idx="154">
                  <c:v>238.2984257223622</c:v>
                </c:pt>
                <c:pt idx="155">
                  <c:v>239.74728015075416</c:v>
                </c:pt>
                <c:pt idx="156">
                  <c:v>241.19613457914613</c:v>
                </c:pt>
                <c:pt idx="157">
                  <c:v>242.6449890075381</c:v>
                </c:pt>
                <c:pt idx="158">
                  <c:v>244.09384343593007</c:v>
                </c:pt>
                <c:pt idx="159">
                  <c:v>245.54269786432204</c:v>
                </c:pt>
                <c:pt idx="160">
                  <c:v>246.991552292714</c:v>
                </c:pt>
                <c:pt idx="161">
                  <c:v>248.44040672110597</c:v>
                </c:pt>
                <c:pt idx="162">
                  <c:v>249.88926114949794</c:v>
                </c:pt>
                <c:pt idx="163">
                  <c:v>251.33811557788991</c:v>
                </c:pt>
                <c:pt idx="164">
                  <c:v>252.78697000628188</c:v>
                </c:pt>
                <c:pt idx="165">
                  <c:v>254.23582443467384</c:v>
                </c:pt>
                <c:pt idx="166">
                  <c:v>255.68467886306581</c:v>
                </c:pt>
                <c:pt idx="167">
                  <c:v>257.13353329145775</c:v>
                </c:pt>
                <c:pt idx="168">
                  <c:v>258.58238771984969</c:v>
                </c:pt>
                <c:pt idx="169">
                  <c:v>260.03124214824163</c:v>
                </c:pt>
                <c:pt idx="170">
                  <c:v>261.48009657663357</c:v>
                </c:pt>
                <c:pt idx="171">
                  <c:v>262.92895100502551</c:v>
                </c:pt>
                <c:pt idx="172">
                  <c:v>264.37780543341745</c:v>
                </c:pt>
                <c:pt idx="173">
                  <c:v>265.82665986180939</c:v>
                </c:pt>
                <c:pt idx="174">
                  <c:v>267.27551429020133</c:v>
                </c:pt>
                <c:pt idx="175">
                  <c:v>268.72436871859327</c:v>
                </c:pt>
                <c:pt idx="176">
                  <c:v>270.17322314698521</c:v>
                </c:pt>
                <c:pt idx="177">
                  <c:v>271.62207757537715</c:v>
                </c:pt>
                <c:pt idx="178">
                  <c:v>273.07093200376909</c:v>
                </c:pt>
                <c:pt idx="179">
                  <c:v>274.51978643216103</c:v>
                </c:pt>
                <c:pt idx="180">
                  <c:v>275.96864086055297</c:v>
                </c:pt>
                <c:pt idx="181">
                  <c:v>277.41749528894491</c:v>
                </c:pt>
                <c:pt idx="182">
                  <c:v>278.86634971733685</c:v>
                </c:pt>
                <c:pt idx="183">
                  <c:v>280.31520414572879</c:v>
                </c:pt>
                <c:pt idx="184">
                  <c:v>281.76405857412072</c:v>
                </c:pt>
                <c:pt idx="185">
                  <c:v>283.21291300251266</c:v>
                </c:pt>
                <c:pt idx="186">
                  <c:v>284.6617674309046</c:v>
                </c:pt>
                <c:pt idx="187">
                  <c:v>286.11062185929654</c:v>
                </c:pt>
                <c:pt idx="188">
                  <c:v>287.55947628768848</c:v>
                </c:pt>
                <c:pt idx="189">
                  <c:v>289.00833071608042</c:v>
                </c:pt>
                <c:pt idx="190">
                  <c:v>290.45718514447236</c:v>
                </c:pt>
                <c:pt idx="191">
                  <c:v>291.9060395728643</c:v>
                </c:pt>
                <c:pt idx="192">
                  <c:v>293.35489400125624</c:v>
                </c:pt>
                <c:pt idx="193">
                  <c:v>294.80374842964818</c:v>
                </c:pt>
                <c:pt idx="194">
                  <c:v>296.25260285804012</c:v>
                </c:pt>
                <c:pt idx="195">
                  <c:v>297.70145728643206</c:v>
                </c:pt>
                <c:pt idx="196">
                  <c:v>299.150311714824</c:v>
                </c:pt>
                <c:pt idx="197">
                  <c:v>300.59916614321594</c:v>
                </c:pt>
                <c:pt idx="198">
                  <c:v>302.04802057160788</c:v>
                </c:pt>
              </c:numCache>
            </c:numRef>
          </c:xVal>
          <c:yVal>
            <c:numRef>
              <c:f>'compare_fun_test '!$AS$2:$AS$200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4.0317531802873709E-8</c:v>
                </c:pt>
                <c:pt idx="37">
                  <c:v>3.5378793416916737E-7</c:v>
                </c:pt>
                <c:pt idx="38">
                  <c:v>1.0055804883753374E-6</c:v>
                </c:pt>
                <c:pt idx="39">
                  <c:v>2.0137375617956948E-6</c:v>
                </c:pt>
                <c:pt idx="40">
                  <c:v>3.3904570286603693E-6</c:v>
                </c:pt>
                <c:pt idx="41">
                  <c:v>5.1450850008549221E-6</c:v>
                </c:pt>
                <c:pt idx="42">
                  <c:v>7.285248765090557E-6</c:v>
                </c:pt>
                <c:pt idx="43">
                  <c:v>9.817417053802303E-6</c:v>
                </c:pt>
                <c:pt idx="44">
                  <c:v>1.2747212408570122E-5</c:v>
                </c:pt>
                <c:pt idx="45">
                  <c:v>1.6079617769683129E-5</c:v>
                </c:pt>
                <c:pt idx="46">
                  <c:v>1.9819128526058873E-5</c:v>
                </c:pt>
                <c:pt idx="47">
                  <c:v>2.3969818623903884E-5</c:v>
                </c:pt>
                <c:pt idx="48">
                  <c:v>2.8535431466121922E-5</c:v>
                </c:pt>
                <c:pt idx="49">
                  <c:v>3.3519429493809409E-5</c:v>
                </c:pt>
                <c:pt idx="50">
                  <c:v>3.8925043767750828E-5</c:v>
                </c:pt>
                <c:pt idx="51">
                  <c:v>4.4755282232001307E-5</c:v>
                </c:pt>
                <c:pt idx="52">
                  <c:v>5.1012971031799455E-5</c:v>
                </c:pt>
                <c:pt idx="53">
                  <c:v>5.7700804095062751E-5</c:v>
                </c:pt>
                <c:pt idx="54">
                  <c:v>6.4821293550892194E-5</c:v>
                </c:pt>
                <c:pt idx="55">
                  <c:v>7.2376852365397949E-5</c:v>
                </c:pt>
                <c:pt idx="56">
                  <c:v>8.0369769550951611E-5</c:v>
                </c:pt>
                <c:pt idx="57">
                  <c:v>8.8802276274846826E-5</c:v>
                </c:pt>
                <c:pt idx="58">
                  <c:v>9.7676372324065301E-5</c:v>
                </c:pt>
                <c:pt idx="59">
                  <c:v>1.0699414012141443E-4</c:v>
                </c:pt>
                <c:pt idx="60">
                  <c:v>1.1675748029088506E-4</c:v>
                </c:pt>
                <c:pt idx="61">
                  <c:v>1.2696821082064242E-4</c:v>
                </c:pt>
                <c:pt idx="62">
                  <c:v>1.3762823233467734E-4</c:v>
                </c:pt>
                <c:pt idx="63">
                  <c:v>1.4873919754950364E-4</c:v>
                </c:pt>
                <c:pt idx="64">
                  <c:v>1.6030284181746082E-4</c:v>
                </c:pt>
                <c:pt idx="65">
                  <c:v>1.723206525834113E-4</c:v>
                </c:pt>
                <c:pt idx="66">
                  <c:v>1.8479428256386893E-4</c:v>
                </c:pt>
                <c:pt idx="67">
                  <c:v>1.9772521920369604E-4</c:v>
                </c:pt>
                <c:pt idx="68">
                  <c:v>2.1111503258358083E-4</c:v>
                </c:pt>
                <c:pt idx="69">
                  <c:v>2.2496504487673426E-4</c:v>
                </c:pt>
                <c:pt idx="70">
                  <c:v>2.3927674352801885E-4</c:v>
                </c:pt>
                <c:pt idx="71">
                  <c:v>2.540513680748199E-4</c:v>
                </c:pt>
                <c:pt idx="72">
                  <c:v>2.6929032332617409E-4</c:v>
                </c:pt>
                <c:pt idx="73">
                  <c:v>2.8499484881946687E-4</c:v>
                </c:pt>
                <c:pt idx="74">
                  <c:v>3.0116634936373495E-4</c:v>
                </c:pt>
                <c:pt idx="75">
                  <c:v>3.1780581658888657E-4</c:v>
                </c:pt>
                <c:pt idx="76">
                  <c:v>3.3491465530395852E-4</c:v>
                </c:pt>
                <c:pt idx="77">
                  <c:v>3.5249393977468461E-4</c:v>
                </c:pt>
                <c:pt idx="78">
                  <c:v>3.7054482690262476E-4</c:v>
                </c:pt>
                <c:pt idx="79">
                  <c:v>3.8906847358933849E-4</c:v>
                </c:pt>
                <c:pt idx="80">
                  <c:v>4.0806595410055978E-4</c:v>
                </c:pt>
                <c:pt idx="81">
                  <c:v>4.2753834270202261E-4</c:v>
                </c:pt>
                <c:pt idx="82">
                  <c:v>4.4748671365946093E-4</c:v>
                </c:pt>
                <c:pt idx="83">
                  <c:v>4.6791205860278301E-4</c:v>
                </c:pt>
                <c:pt idx="84">
                  <c:v>4.8881545179772291E-4</c:v>
                </c:pt>
                <c:pt idx="85">
                  <c:v>5.1019780223836319E-4</c:v>
                </c:pt>
                <c:pt idx="86">
                  <c:v>5.3206018419043775E-4</c:v>
                </c:pt>
                <c:pt idx="87">
                  <c:v>5.5440350664802938E-4</c:v>
                </c:pt>
                <c:pt idx="88">
                  <c:v>5.7722876124104605E-4</c:v>
                </c:pt>
                <c:pt idx="89">
                  <c:v>6.0053677432774487E-4</c:v>
                </c:pt>
                <c:pt idx="90">
                  <c:v>6.2432862017385981E-4</c:v>
                </c:pt>
                <c:pt idx="91">
                  <c:v>6.4860504250182206E-4</c:v>
                </c:pt>
                <c:pt idx="92">
                  <c:v>6.7336695030571412E-4</c:v>
                </c:pt>
                <c:pt idx="93">
                  <c:v>6.9861525257961866E-4</c:v>
                </c:pt>
                <c:pt idx="94">
                  <c:v>7.2435077568179258E-4</c:v>
                </c:pt>
                <c:pt idx="95">
                  <c:v>7.5057434597049276E-4</c:v>
                </c:pt>
                <c:pt idx="96">
                  <c:v>7.7728687243980201E-4</c:v>
                </c:pt>
                <c:pt idx="97">
                  <c:v>8.0448909881215109E-4</c:v>
                </c:pt>
                <c:pt idx="98">
                  <c:v>8.3218160353832021E-4</c:v>
                </c:pt>
                <c:pt idx="99">
                  <c:v>8.6036620460647445E-4</c:v>
                </c:pt>
                <c:pt idx="100">
                  <c:v>8.890416624792284E-4</c:v>
                </c:pt>
                <c:pt idx="101">
                  <c:v>9.1821128258960964E-4</c:v>
                </c:pt>
                <c:pt idx="102">
                  <c:v>9.4787341222110459E-4</c:v>
                </c:pt>
                <c:pt idx="103">
                  <c:v>9.7803053044848371E-4</c:v>
                </c:pt>
                <c:pt idx="104">
                  <c:v>1.008682637271747E-3</c:v>
                </c:pt>
                <c:pt idx="105">
                  <c:v>1.0398305590491516E-3</c:v>
                </c:pt>
                <c:pt idx="106">
                  <c:v>1.0714751221389542E-3</c:v>
                </c:pt>
                <c:pt idx="107">
                  <c:v>1.1036163265411548E-3</c:v>
                </c:pt>
                <c:pt idx="108">
                  <c:v>1.1362558249722674E-3</c:v>
                </c:pt>
                <c:pt idx="109">
                  <c:v>1.1693944437905486E-3</c:v>
                </c:pt>
                <c:pt idx="110">
                  <c:v>1.2030321829959987E-3</c:v>
                </c:pt>
                <c:pt idx="111">
                  <c:v>1.2371698689468745E-3</c:v>
                </c:pt>
                <c:pt idx="112">
                  <c:v>1.2718083280014328E-3</c:v>
                </c:pt>
                <c:pt idx="113">
                  <c:v>1.3069475601596736E-3</c:v>
                </c:pt>
                <c:pt idx="114">
                  <c:v>1.3425892181381108E-3</c:v>
                </c:pt>
                <c:pt idx="115">
                  <c:v>1.3787333019367445E-3</c:v>
                </c:pt>
                <c:pt idx="116">
                  <c:v>1.4153806379138313E-3</c:v>
                </c:pt>
                <c:pt idx="117">
                  <c:v>1.4525320524276285E-3</c:v>
                </c:pt>
                <c:pt idx="118">
                  <c:v>1.4901883718363926E-3</c:v>
                </c:pt>
                <c:pt idx="119">
                  <c:v>1.5283495961401238E-3</c:v>
                </c:pt>
                <c:pt idx="120">
                  <c:v>1.5670157253388222E-3</c:v>
                </c:pt>
                <c:pt idx="121">
                  <c:v>1.6061892385072583E-3</c:v>
                </c:pt>
                <c:pt idx="122">
                  <c:v>1.6458693092871752E-3</c:v>
                </c:pt>
                <c:pt idx="123">
                  <c:v>1.6860567640368299E-3</c:v>
                </c:pt>
                <c:pt idx="124">
                  <c:v>1.7267524291144794E-3</c:v>
                </c:pt>
                <c:pt idx="125">
                  <c:v>1.7679571308783805E-3</c:v>
                </c:pt>
                <c:pt idx="126">
                  <c:v>1.8096700429702762E-3</c:v>
                </c:pt>
                <c:pt idx="127">
                  <c:v>1.8518936444649374E-3</c:v>
                </c:pt>
                <c:pt idx="128">
                  <c:v>1.894627935362364E-3</c:v>
                </c:pt>
                <c:pt idx="129">
                  <c:v>1.937872089304299E-3</c:v>
                </c:pt>
                <c:pt idx="130">
                  <c:v>1.981628585365513E-3</c:v>
                </c:pt>
                <c:pt idx="131">
                  <c:v>2.0258965971877495E-3</c:v>
                </c:pt>
                <c:pt idx="132">
                  <c:v>2.0706777774875222E-3</c:v>
                </c:pt>
                <c:pt idx="133">
                  <c:v>2.1159721262648309E-3</c:v>
                </c:pt>
                <c:pt idx="134">
                  <c:v>2.1617796435196759E-3</c:v>
                </c:pt>
                <c:pt idx="135">
                  <c:v>2.2081011556103138E-3</c:v>
                </c:pt>
                <c:pt idx="136">
                  <c:v>2.2549374888950016E-3</c:v>
                </c:pt>
                <c:pt idx="137">
                  <c:v>2.3022894697319958E-3</c:v>
                </c:pt>
                <c:pt idx="138">
                  <c:v>2.3501562717630404E-3</c:v>
                </c:pt>
                <c:pt idx="139">
                  <c:v>2.3985403740629054E-3</c:v>
                </c:pt>
                <c:pt idx="140">
                  <c:v>2.4474401239150774E-3</c:v>
                </c:pt>
                <c:pt idx="141">
                  <c:v>2.4968580003943267E-3</c:v>
                </c:pt>
                <c:pt idx="142">
                  <c:v>2.5467923507841396E-3</c:v>
                </c:pt>
                <c:pt idx="143">
                  <c:v>2.5972464805175438E-3</c:v>
                </c:pt>
                <c:pt idx="144">
                  <c:v>2.648217910519769E-3</c:v>
                </c:pt>
                <c:pt idx="145">
                  <c:v>2.6997091198655851E-3</c:v>
                </c:pt>
                <c:pt idx="146">
                  <c:v>2.7517201085549927E-3</c:v>
                </c:pt>
                <c:pt idx="147">
                  <c:v>2.8042508765879917E-3</c:v>
                </c:pt>
                <c:pt idx="148">
                  <c:v>2.8573022503228392E-3</c:v>
                </c:pt>
                <c:pt idx="149">
                  <c:v>2.9108750561177912E-3</c:v>
                </c:pt>
                <c:pt idx="150">
                  <c:v>2.9649684676145917E-3</c:v>
                </c:pt>
                <c:pt idx="151">
                  <c:v>3.0195849638880116E-3</c:v>
                </c:pt>
                <c:pt idx="152">
                  <c:v>3.074722892221536E-3</c:v>
                </c:pt>
                <c:pt idx="153">
                  <c:v>3.130383905331679E-3</c:v>
                </c:pt>
                <c:pt idx="154">
                  <c:v>3.1865688295766984E-3</c:v>
                </c:pt>
                <c:pt idx="155">
                  <c:v>3.2432768385983364E-3</c:v>
                </c:pt>
                <c:pt idx="156">
                  <c:v>3.3005087587548508E-3</c:v>
                </c:pt>
                <c:pt idx="157">
                  <c:v>3.3582662427627543E-3</c:v>
                </c:pt>
                <c:pt idx="158">
                  <c:v>3.4165484642637908E-3</c:v>
                </c:pt>
                <c:pt idx="159">
                  <c:v>3.4753554232579598E-3</c:v>
                </c:pt>
                <c:pt idx="160">
                  <c:v>3.5346895988200323E-3</c:v>
                </c:pt>
                <c:pt idx="161">
                  <c:v>3.5945493382334944E-3</c:v>
                </c:pt>
                <c:pt idx="162">
                  <c:v>3.6549354678566031E-3</c:v>
                </c:pt>
                <c:pt idx="163">
                  <c:v>3.7158496404058722E-3</c:v>
                </c:pt>
                <c:pt idx="164">
                  <c:v>3.7772910295230449E-3</c:v>
                </c:pt>
                <c:pt idx="165">
                  <c:v>3.8392604615663777E-3</c:v>
                </c:pt>
                <c:pt idx="166">
                  <c:v>3.901757936535871E-3</c:v>
                </c:pt>
                <c:pt idx="167">
                  <c:v>3.964784280789781E-3</c:v>
                </c:pt>
                <c:pt idx="168">
                  <c:v>4.0283403206863655E-3</c:v>
                </c:pt>
                <c:pt idx="169">
                  <c:v>4.0924252298673676E-3</c:v>
                </c:pt>
                <c:pt idx="170">
                  <c:v>4.1570406610493002E-3</c:v>
                </c:pt>
                <c:pt idx="171">
                  <c:v>4.2221866142321636E-3</c:v>
                </c:pt>
                <c:pt idx="172">
                  <c:v>4.2878639157742154E-3</c:v>
                </c:pt>
                <c:pt idx="173">
                  <c:v>4.3540717393171988E-3</c:v>
                </c:pt>
                <c:pt idx="174">
                  <c:v>4.4208109112193689E-3</c:v>
                </c:pt>
                <c:pt idx="175">
                  <c:v>4.4880822578389845E-3</c:v>
                </c:pt>
                <c:pt idx="176">
                  <c:v>4.5558866055343027E-3</c:v>
                </c:pt>
                <c:pt idx="177">
                  <c:v>4.6242231279470646E-3</c:v>
                </c:pt>
                <c:pt idx="178">
                  <c:v>4.6930926514355282E-3</c:v>
                </c:pt>
                <c:pt idx="179">
                  <c:v>4.7624951759996943E-3</c:v>
                </c:pt>
                <c:pt idx="180">
                  <c:v>4.8324323543560751E-3</c:v>
                </c:pt>
                <c:pt idx="181">
                  <c:v>4.9029041865046724E-3</c:v>
                </c:pt>
                <c:pt idx="182">
                  <c:v>4.9739098460872275E-3</c:v>
                </c:pt>
                <c:pt idx="183">
                  <c:v>5.0454501594619982E-3</c:v>
                </c:pt>
                <c:pt idx="184">
                  <c:v>5.1175267793454986E-3</c:v>
                </c:pt>
                <c:pt idx="185">
                  <c:v>5.1901380530212154E-3</c:v>
                </c:pt>
                <c:pt idx="186">
                  <c:v>5.2632864595639171E-3</c:v>
                </c:pt>
                <c:pt idx="187">
                  <c:v>5.3369703462570915E-3</c:v>
                </c:pt>
                <c:pt idx="188">
                  <c:v>5.4111913658172524E-3</c:v>
                </c:pt>
                <c:pt idx="189">
                  <c:v>5.485950344602657E-3</c:v>
                </c:pt>
                <c:pt idx="190">
                  <c:v>5.5612456298967895E-3</c:v>
                </c:pt>
                <c:pt idx="191">
                  <c:v>5.6370788744161664E-3</c:v>
                </c:pt>
                <c:pt idx="192">
                  <c:v>5.7134509045190431E-3</c:v>
                </c:pt>
                <c:pt idx="193">
                  <c:v>5.7903608938471626E-3</c:v>
                </c:pt>
                <c:pt idx="194">
                  <c:v>5.8678096687587826E-3</c:v>
                </c:pt>
                <c:pt idx="195">
                  <c:v>5.9457980556121594E-3</c:v>
                </c:pt>
                <c:pt idx="196">
                  <c:v>6.0243260544072938E-3</c:v>
                </c:pt>
                <c:pt idx="197">
                  <c:v>6.103393665144184E-3</c:v>
                </c:pt>
                <c:pt idx="198">
                  <c:v>6.183001714181088E-3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85-4645-B8FD-A590AF870385}"/>
            </c:ext>
          </c:extLst>
        </c:ser>
        <c:ser>
          <c:idx val="5"/>
          <c:order val="5"/>
          <c:tx>
            <c:v>Wong &amp; Parker</c:v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'compare_fun_test '!$L$31:$L$200</c:f>
              <c:numCache>
                <c:formatCode>General</c:formatCode>
                <c:ptCount val="170"/>
                <c:pt idx="0">
                  <c:v>57.191622173366866</c:v>
                </c:pt>
                <c:pt idx="1">
                  <c:v>58.640476601758827</c:v>
                </c:pt>
                <c:pt idx="2">
                  <c:v>60.089331030150788</c:v>
                </c:pt>
                <c:pt idx="3">
                  <c:v>61.538185458542749</c:v>
                </c:pt>
                <c:pt idx="4">
                  <c:v>62.98703988693471</c:v>
                </c:pt>
                <c:pt idx="5">
                  <c:v>64.435894315326664</c:v>
                </c:pt>
                <c:pt idx="6">
                  <c:v>65.884748743718617</c:v>
                </c:pt>
                <c:pt idx="7">
                  <c:v>67.333603172110571</c:v>
                </c:pt>
                <c:pt idx="8">
                  <c:v>68.782457600502525</c:v>
                </c:pt>
                <c:pt idx="9">
                  <c:v>70.231312028894479</c:v>
                </c:pt>
                <c:pt idx="10">
                  <c:v>71.680166457286433</c:v>
                </c:pt>
                <c:pt idx="11">
                  <c:v>73.129020885678386</c:v>
                </c:pt>
                <c:pt idx="12">
                  <c:v>74.57787531407034</c:v>
                </c:pt>
                <c:pt idx="13">
                  <c:v>76.026729742462294</c:v>
                </c:pt>
                <c:pt idx="14">
                  <c:v>77.475584170854248</c:v>
                </c:pt>
                <c:pt idx="15">
                  <c:v>78.924438599246201</c:v>
                </c:pt>
                <c:pt idx="16">
                  <c:v>80.373293027638155</c:v>
                </c:pt>
                <c:pt idx="17">
                  <c:v>81.822147456030109</c:v>
                </c:pt>
                <c:pt idx="18">
                  <c:v>83.271001884422063</c:v>
                </c:pt>
                <c:pt idx="19">
                  <c:v>84.719856312814017</c:v>
                </c:pt>
                <c:pt idx="20">
                  <c:v>86.16871074120597</c:v>
                </c:pt>
                <c:pt idx="21">
                  <c:v>87.617565169597924</c:v>
                </c:pt>
                <c:pt idx="22">
                  <c:v>89.066419597989878</c:v>
                </c:pt>
                <c:pt idx="23">
                  <c:v>90.515274026381832</c:v>
                </c:pt>
                <c:pt idx="24">
                  <c:v>91.964128454773785</c:v>
                </c:pt>
                <c:pt idx="25">
                  <c:v>93.412982883165739</c:v>
                </c:pt>
                <c:pt idx="26">
                  <c:v>94.861837311557693</c:v>
                </c:pt>
                <c:pt idx="27">
                  <c:v>96.310691739949647</c:v>
                </c:pt>
                <c:pt idx="28">
                  <c:v>97.7595461683416</c:v>
                </c:pt>
                <c:pt idx="29">
                  <c:v>99.208400596733554</c:v>
                </c:pt>
                <c:pt idx="30">
                  <c:v>100.65725502512551</c:v>
                </c:pt>
                <c:pt idx="31">
                  <c:v>102.10610945351746</c:v>
                </c:pt>
                <c:pt idx="32">
                  <c:v>103.55496388190942</c:v>
                </c:pt>
                <c:pt idx="33">
                  <c:v>105.00381831030137</c:v>
                </c:pt>
                <c:pt idx="34">
                  <c:v>106.45267273869332</c:v>
                </c:pt>
                <c:pt idx="35">
                  <c:v>107.90152716708528</c:v>
                </c:pt>
                <c:pt idx="36">
                  <c:v>109.35038159547723</c:v>
                </c:pt>
                <c:pt idx="37">
                  <c:v>110.79923602386918</c:v>
                </c:pt>
                <c:pt idx="38">
                  <c:v>112.24809045226114</c:v>
                </c:pt>
                <c:pt idx="39">
                  <c:v>113.69694488065309</c:v>
                </c:pt>
                <c:pt idx="40">
                  <c:v>115.14579930904505</c:v>
                </c:pt>
                <c:pt idx="41">
                  <c:v>116.594653737437</c:v>
                </c:pt>
                <c:pt idx="42">
                  <c:v>118.04350816582895</c:v>
                </c:pt>
                <c:pt idx="43">
                  <c:v>119.49236259422091</c:v>
                </c:pt>
                <c:pt idx="44">
                  <c:v>120.94121702261286</c:v>
                </c:pt>
                <c:pt idx="45">
                  <c:v>122.39007145100481</c:v>
                </c:pt>
                <c:pt idx="46">
                  <c:v>123.83892587939677</c:v>
                </c:pt>
                <c:pt idx="47">
                  <c:v>125.28778030778872</c:v>
                </c:pt>
                <c:pt idx="48">
                  <c:v>126.73663473618068</c:v>
                </c:pt>
                <c:pt idx="49">
                  <c:v>128.18548916457263</c:v>
                </c:pt>
                <c:pt idx="50">
                  <c:v>129.6343435929646</c:v>
                </c:pt>
                <c:pt idx="51">
                  <c:v>131.08319802135657</c:v>
                </c:pt>
                <c:pt idx="52">
                  <c:v>132.53205244974853</c:v>
                </c:pt>
                <c:pt idx="53">
                  <c:v>133.9809068781405</c:v>
                </c:pt>
                <c:pt idx="54">
                  <c:v>135.42976130653247</c:v>
                </c:pt>
                <c:pt idx="55">
                  <c:v>136.87861573492444</c:v>
                </c:pt>
                <c:pt idx="56">
                  <c:v>138.32747016331641</c:v>
                </c:pt>
                <c:pt idx="57">
                  <c:v>139.77632459170837</c:v>
                </c:pt>
                <c:pt idx="58">
                  <c:v>141.22517902010034</c:v>
                </c:pt>
                <c:pt idx="59">
                  <c:v>142.67403344849231</c:v>
                </c:pt>
                <c:pt idx="60">
                  <c:v>144.12288787688428</c:v>
                </c:pt>
                <c:pt idx="61">
                  <c:v>145.57174230527625</c:v>
                </c:pt>
                <c:pt idx="62">
                  <c:v>147.02059673366821</c:v>
                </c:pt>
                <c:pt idx="63">
                  <c:v>148.46945116206018</c:v>
                </c:pt>
                <c:pt idx="64">
                  <c:v>149.91830559045215</c:v>
                </c:pt>
                <c:pt idx="65">
                  <c:v>151.36716001884412</c:v>
                </c:pt>
                <c:pt idx="66">
                  <c:v>152.81601444723609</c:v>
                </c:pt>
                <c:pt idx="67">
                  <c:v>154.26486887562805</c:v>
                </c:pt>
                <c:pt idx="68">
                  <c:v>155.71372330402002</c:v>
                </c:pt>
                <c:pt idx="69">
                  <c:v>157.16257773241199</c:v>
                </c:pt>
                <c:pt idx="70">
                  <c:v>158.61143216080396</c:v>
                </c:pt>
                <c:pt idx="71">
                  <c:v>160.06028658919593</c:v>
                </c:pt>
                <c:pt idx="72">
                  <c:v>161.50914101758789</c:v>
                </c:pt>
                <c:pt idx="73">
                  <c:v>162.95799544597986</c:v>
                </c:pt>
                <c:pt idx="74">
                  <c:v>164.40684987437183</c:v>
                </c:pt>
                <c:pt idx="75">
                  <c:v>165.8557043027638</c:v>
                </c:pt>
                <c:pt idx="76">
                  <c:v>167.30455873115577</c:v>
                </c:pt>
                <c:pt idx="77">
                  <c:v>168.75341315954773</c:v>
                </c:pt>
                <c:pt idx="78">
                  <c:v>170.2022675879397</c:v>
                </c:pt>
                <c:pt idx="79">
                  <c:v>171.65112201633167</c:v>
                </c:pt>
                <c:pt idx="80">
                  <c:v>173.09997644472364</c:v>
                </c:pt>
                <c:pt idx="81">
                  <c:v>174.54883087311561</c:v>
                </c:pt>
                <c:pt idx="82">
                  <c:v>175.99768530150757</c:v>
                </c:pt>
                <c:pt idx="83">
                  <c:v>177.44653972989954</c:v>
                </c:pt>
                <c:pt idx="84">
                  <c:v>178.89539415829151</c:v>
                </c:pt>
                <c:pt idx="85">
                  <c:v>180.34424858668348</c:v>
                </c:pt>
                <c:pt idx="86">
                  <c:v>181.79310301507545</c:v>
                </c:pt>
                <c:pt idx="87">
                  <c:v>183.24195744346741</c:v>
                </c:pt>
                <c:pt idx="88">
                  <c:v>184.69081187185938</c:v>
                </c:pt>
                <c:pt idx="89">
                  <c:v>186.13966630025135</c:v>
                </c:pt>
                <c:pt idx="90">
                  <c:v>187.58852072864332</c:v>
                </c:pt>
                <c:pt idx="91">
                  <c:v>189.03737515703529</c:v>
                </c:pt>
                <c:pt idx="92">
                  <c:v>190.48622958542725</c:v>
                </c:pt>
                <c:pt idx="93">
                  <c:v>191.93508401381922</c:v>
                </c:pt>
                <c:pt idx="94">
                  <c:v>193.38393844221119</c:v>
                </c:pt>
                <c:pt idx="95">
                  <c:v>194.83279287060316</c:v>
                </c:pt>
                <c:pt idx="96">
                  <c:v>196.28164729899513</c:v>
                </c:pt>
                <c:pt idx="97">
                  <c:v>197.73050172738709</c:v>
                </c:pt>
                <c:pt idx="98">
                  <c:v>199.17935615577906</c:v>
                </c:pt>
                <c:pt idx="99">
                  <c:v>200.62821058417103</c:v>
                </c:pt>
                <c:pt idx="100">
                  <c:v>202.077065012563</c:v>
                </c:pt>
                <c:pt idx="101">
                  <c:v>203.52591944095497</c:v>
                </c:pt>
                <c:pt idx="102">
                  <c:v>204.97477386934693</c:v>
                </c:pt>
                <c:pt idx="103">
                  <c:v>206.4236282977389</c:v>
                </c:pt>
                <c:pt idx="104">
                  <c:v>207.87248272613087</c:v>
                </c:pt>
                <c:pt idx="105">
                  <c:v>209.32133715452284</c:v>
                </c:pt>
                <c:pt idx="106">
                  <c:v>210.7701915829148</c:v>
                </c:pt>
                <c:pt idx="107">
                  <c:v>212.21904601130677</c:v>
                </c:pt>
                <c:pt idx="108">
                  <c:v>213.66790043969874</c:v>
                </c:pt>
                <c:pt idx="109">
                  <c:v>215.11675486809071</c:v>
                </c:pt>
                <c:pt idx="110">
                  <c:v>216.56560929648268</c:v>
                </c:pt>
                <c:pt idx="111">
                  <c:v>218.01446372487464</c:v>
                </c:pt>
                <c:pt idx="112">
                  <c:v>219.46331815326661</c:v>
                </c:pt>
                <c:pt idx="113">
                  <c:v>220.91217258165858</c:v>
                </c:pt>
                <c:pt idx="114">
                  <c:v>222.36102701005055</c:v>
                </c:pt>
                <c:pt idx="115">
                  <c:v>223.80988143844252</c:v>
                </c:pt>
                <c:pt idx="116">
                  <c:v>225.25873586683448</c:v>
                </c:pt>
                <c:pt idx="117">
                  <c:v>226.70759029522645</c:v>
                </c:pt>
                <c:pt idx="118">
                  <c:v>228.15644472361842</c:v>
                </c:pt>
                <c:pt idx="119">
                  <c:v>229.60529915201039</c:v>
                </c:pt>
                <c:pt idx="120">
                  <c:v>231.05415358040236</c:v>
                </c:pt>
                <c:pt idx="121">
                  <c:v>232.50300800879432</c:v>
                </c:pt>
                <c:pt idx="122">
                  <c:v>233.95186243718629</c:v>
                </c:pt>
                <c:pt idx="123">
                  <c:v>235.40071686557826</c:v>
                </c:pt>
                <c:pt idx="124">
                  <c:v>236.84957129397023</c:v>
                </c:pt>
                <c:pt idx="125">
                  <c:v>238.2984257223622</c:v>
                </c:pt>
                <c:pt idx="126">
                  <c:v>239.74728015075416</c:v>
                </c:pt>
                <c:pt idx="127">
                  <c:v>241.19613457914613</c:v>
                </c:pt>
                <c:pt idx="128">
                  <c:v>242.6449890075381</c:v>
                </c:pt>
                <c:pt idx="129">
                  <c:v>244.09384343593007</c:v>
                </c:pt>
                <c:pt idx="130">
                  <c:v>245.54269786432204</c:v>
                </c:pt>
                <c:pt idx="131">
                  <c:v>246.991552292714</c:v>
                </c:pt>
                <c:pt idx="132">
                  <c:v>248.44040672110597</c:v>
                </c:pt>
                <c:pt idx="133">
                  <c:v>249.88926114949794</c:v>
                </c:pt>
                <c:pt idx="134">
                  <c:v>251.33811557788991</c:v>
                </c:pt>
                <c:pt idx="135">
                  <c:v>252.78697000628188</c:v>
                </c:pt>
                <c:pt idx="136">
                  <c:v>254.23582443467384</c:v>
                </c:pt>
                <c:pt idx="137">
                  <c:v>255.68467886306581</c:v>
                </c:pt>
                <c:pt idx="138">
                  <c:v>257.13353329145775</c:v>
                </c:pt>
                <c:pt idx="139">
                  <c:v>258.58238771984969</c:v>
                </c:pt>
                <c:pt idx="140">
                  <c:v>260.03124214824163</c:v>
                </c:pt>
                <c:pt idx="141">
                  <c:v>261.48009657663357</c:v>
                </c:pt>
                <c:pt idx="142">
                  <c:v>262.92895100502551</c:v>
                </c:pt>
                <c:pt idx="143">
                  <c:v>264.37780543341745</c:v>
                </c:pt>
                <c:pt idx="144">
                  <c:v>265.82665986180939</c:v>
                </c:pt>
                <c:pt idx="145">
                  <c:v>267.27551429020133</c:v>
                </c:pt>
                <c:pt idx="146">
                  <c:v>268.72436871859327</c:v>
                </c:pt>
                <c:pt idx="147">
                  <c:v>270.17322314698521</c:v>
                </c:pt>
                <c:pt idx="148">
                  <c:v>271.62207757537715</c:v>
                </c:pt>
                <c:pt idx="149">
                  <c:v>273.07093200376909</c:v>
                </c:pt>
                <c:pt idx="150">
                  <c:v>274.51978643216103</c:v>
                </c:pt>
                <c:pt idx="151">
                  <c:v>275.96864086055297</c:v>
                </c:pt>
                <c:pt idx="152">
                  <c:v>277.41749528894491</c:v>
                </c:pt>
                <c:pt idx="153">
                  <c:v>278.86634971733685</c:v>
                </c:pt>
                <c:pt idx="154">
                  <c:v>280.31520414572879</c:v>
                </c:pt>
                <c:pt idx="155">
                  <c:v>281.76405857412072</c:v>
                </c:pt>
                <c:pt idx="156">
                  <c:v>283.21291300251266</c:v>
                </c:pt>
                <c:pt idx="157">
                  <c:v>284.6617674309046</c:v>
                </c:pt>
                <c:pt idx="158">
                  <c:v>286.11062185929654</c:v>
                </c:pt>
                <c:pt idx="159">
                  <c:v>287.55947628768848</c:v>
                </c:pt>
                <c:pt idx="160">
                  <c:v>289.00833071608042</c:v>
                </c:pt>
                <c:pt idx="161">
                  <c:v>290.45718514447236</c:v>
                </c:pt>
                <c:pt idx="162">
                  <c:v>291.9060395728643</c:v>
                </c:pt>
                <c:pt idx="163">
                  <c:v>293.35489400125624</c:v>
                </c:pt>
                <c:pt idx="164">
                  <c:v>294.80374842964818</c:v>
                </c:pt>
                <c:pt idx="165">
                  <c:v>296.25260285804012</c:v>
                </c:pt>
                <c:pt idx="166">
                  <c:v>297.70145728643206</c:v>
                </c:pt>
                <c:pt idx="167">
                  <c:v>299.150311714824</c:v>
                </c:pt>
                <c:pt idx="168">
                  <c:v>300.59916614321594</c:v>
                </c:pt>
                <c:pt idx="169">
                  <c:v>302.04802057160788</c:v>
                </c:pt>
              </c:numCache>
            </c:numRef>
          </c:xVal>
          <c:yVal>
            <c:numRef>
              <c:f>'compare_fun_test '!$AO$31:$AO$200</c:f>
              <c:numCache>
                <c:formatCode>General</c:formatCode>
                <c:ptCount val="170"/>
                <c:pt idx="0">
                  <c:v>3.8422247819628805E-7</c:v>
                </c:pt>
                <c:pt idx="1">
                  <c:v>1.5565203064116016E-5</c:v>
                </c:pt>
                <c:pt idx="2">
                  <c:v>4.1255640187227412E-5</c:v>
                </c:pt>
                <c:pt idx="3">
                  <c:v>7.4120177006488055E-5</c:v>
                </c:pt>
                <c:pt idx="4">
                  <c:v>1.1283612025030205E-4</c:v>
                </c:pt>
                <c:pt idx="5">
                  <c:v>1.5662372789053514E-4</c:v>
                </c:pt>
                <c:pt idx="6">
                  <c:v>2.0495170910510651E-4</c:v>
                </c:pt>
                <c:pt idx="7">
                  <c:v>2.5742769649658183E-4</c:v>
                </c:pt>
                <c:pt idx="8">
                  <c:v>3.1374645149179344E-4</c:v>
                </c:pt>
                <c:pt idx="9">
                  <c:v>3.7366167836110824E-4</c:v>
                </c:pt>
                <c:pt idx="10">
                  <c:v>4.3696917189825761E-4</c:v>
                </c:pt>
                <c:pt idx="11">
                  <c:v>5.0349603163797119E-4</c:v>
                </c:pt>
                <c:pt idx="12">
                  <c:v>5.7309339207751867E-4</c:v>
                </c:pt>
                <c:pt idx="13">
                  <c:v>6.4563131879015326E-4</c:v>
                </c:pt>
                <c:pt idx="14">
                  <c:v>7.2099510488257777E-4</c:v>
                </c:pt>
                <c:pt idx="15">
                  <c:v>7.9908250921839489E-4</c:v>
                </c:pt>
                <c:pt idx="16">
                  <c:v>8.7980164908640739E-4</c:v>
                </c:pt>
                <c:pt idx="17">
                  <c:v>9.6306936041174731E-4</c:v>
                </c:pt>
                <c:pt idx="18">
                  <c:v>1.0488098999985773E-3</c:v>
                </c:pt>
                <c:pt idx="19">
                  <c:v>1.136953903181053E-3</c:v>
                </c:pt>
                <c:pt idx="20">
                  <c:v>1.2274375356590556E-3</c:v>
                </c:pt>
                <c:pt idx="21">
                  <c:v>1.3202017953341564E-3</c:v>
                </c:pt>
                <c:pt idx="22">
                  <c:v>1.4151919316633186E-3</c:v>
                </c:pt>
                <c:pt idx="23">
                  <c:v>1.5123569582539461E-3</c:v>
                </c:pt>
                <c:pt idx="24">
                  <c:v>1.6116492402865176E-3</c:v>
                </c:pt>
                <c:pt idx="25">
                  <c:v>1.7130241426103626E-3</c:v>
                </c:pt>
                <c:pt idx="26">
                  <c:v>1.8164397274995894E-3</c:v>
                </c:pt>
                <c:pt idx="27">
                  <c:v>1.9218564934054268E-3</c:v>
                </c:pt>
                <c:pt idx="28">
                  <c:v>2.0292371478202111E-3</c:v>
                </c:pt>
                <c:pt idx="29">
                  <c:v>2.138546408730839E-3</c:v>
                </c:pt>
                <c:pt idx="30">
                  <c:v>2.2497508301945008E-3</c:v>
                </c:pt>
                <c:pt idx="31">
                  <c:v>2.3628186483942042E-3</c:v>
                </c:pt>
                <c:pt idx="32">
                  <c:v>2.4777196451821024E-3</c:v>
                </c:pt>
                <c:pt idx="33">
                  <c:v>2.5944250266362787E-3</c:v>
                </c:pt>
                <c:pt idx="34">
                  <c:v>2.7129073145714931E-3</c:v>
                </c:pt>
                <c:pt idx="35">
                  <c:v>2.8331402492795671E-3</c:v>
                </c:pt>
                <c:pt idx="36">
                  <c:v>2.9550987020476858E-3</c:v>
                </c:pt>
                <c:pt idx="37">
                  <c:v>3.0787585962256956E-3</c:v>
                </c:pt>
                <c:pt idx="38">
                  <c:v>3.2040968357974283E-3</c:v>
                </c:pt>
                <c:pt idx="39">
                  <c:v>3.3310912405628292E-3</c:v>
                </c:pt>
                <c:pt idx="40">
                  <c:v>3.4597204871644762E-3</c:v>
                </c:pt>
                <c:pt idx="41">
                  <c:v>3.589964055297875E-3</c:v>
                </c:pt>
                <c:pt idx="42">
                  <c:v>3.7218021785339404E-3</c:v>
                </c:pt>
                <c:pt idx="43">
                  <c:v>3.8552157992573243E-3</c:v>
                </c:pt>
                <c:pt idx="44">
                  <c:v>3.990186527288009E-3</c:v>
                </c:pt>
                <c:pt idx="45">
                  <c:v>4.1266966018078536E-3</c:v>
                </c:pt>
                <c:pt idx="46">
                  <c:v>4.2647288562602048E-3</c:v>
                </c:pt>
                <c:pt idx="47">
                  <c:v>4.4042666859306885E-3</c:v>
                </c:pt>
                <c:pt idx="48">
                  <c:v>4.5452940179512812E-3</c:v>
                </c:pt>
                <c:pt idx="49">
                  <c:v>4.6877952834998102E-3</c:v>
                </c:pt>
                <c:pt idx="50">
                  <c:v>4.8317553919923354E-3</c:v>
                </c:pt>
                <c:pt idx="51">
                  <c:v>4.9771597070885311E-3</c:v>
                </c:pt>
                <c:pt idx="52">
                  <c:v>5.1239940243494502E-3</c:v>
                </c:pt>
                <c:pt idx="53">
                  <c:v>5.2722445504042167E-3</c:v>
                </c:pt>
                <c:pt idx="54">
                  <c:v>5.4218978834970595E-3</c:v>
                </c:pt>
                <c:pt idx="55">
                  <c:v>5.5729409952993171E-3</c:v>
                </c:pt>
                <c:pt idx="56">
                  <c:v>5.7253612138825427E-3</c:v>
                </c:pt>
                <c:pt idx="57">
                  <c:v>5.879146207759125E-3</c:v>
                </c:pt>
                <c:pt idx="58">
                  <c:v>6.0342839709058684E-3</c:v>
                </c:pt>
                <c:pt idx="59">
                  <c:v>6.1907628086940716E-3</c:v>
                </c:pt>
                <c:pt idx="60">
                  <c:v>6.3485713246566895E-3</c:v>
                </c:pt>
                <c:pt idx="61">
                  <c:v>6.5076984080296761E-3</c:v>
                </c:pt>
                <c:pt idx="62">
                  <c:v>6.6681332220102042E-3</c:v>
                </c:pt>
                <c:pt idx="63">
                  <c:v>6.8298651926795599E-3</c:v>
                </c:pt>
                <c:pt idx="64">
                  <c:v>6.9928839985431614E-3</c:v>
                </c:pt>
                <c:pt idx="65">
                  <c:v>7.1571795606441046E-3</c:v>
                </c:pt>
                <c:pt idx="66">
                  <c:v>7.32274203321053E-3</c:v>
                </c:pt>
                <c:pt idx="67">
                  <c:v>7.4895617948001767E-3</c:v>
                </c:pt>
                <c:pt idx="68">
                  <c:v>7.6576294399088324E-3</c:v>
                </c:pt>
                <c:pt idx="69">
                  <c:v>7.8269357710116783E-3</c:v>
                </c:pt>
                <c:pt idx="70">
                  <c:v>7.9974717910094601E-3</c:v>
                </c:pt>
                <c:pt idx="71">
                  <c:v>8.1692286960531255E-3</c:v>
                </c:pt>
                <c:pt idx="72">
                  <c:v>8.3421978687231915E-3</c:v>
                </c:pt>
                <c:pt idx="73">
                  <c:v>8.5163708715413362E-3</c:v>
                </c:pt>
                <c:pt idx="74">
                  <c:v>8.6917394407938844E-3</c:v>
                </c:pt>
                <c:pt idx="75">
                  <c:v>8.8682954806480439E-3</c:v>
                </c:pt>
                <c:pt idx="76">
                  <c:v>9.0460310575433758E-3</c:v>
                </c:pt>
                <c:pt idx="77">
                  <c:v>9.2249383948421384E-3</c:v>
                </c:pt>
                <c:pt idx="78">
                  <c:v>9.4050098677232862E-3</c:v>
                </c:pt>
                <c:pt idx="79">
                  <c:v>9.5862379983061418E-3</c:v>
                </c:pt>
                <c:pt idx="80">
                  <c:v>9.7686154509905605E-3</c:v>
                </c:pt>
                <c:pt idx="81">
                  <c:v>9.9521350280013382E-3</c:v>
                </c:pt>
                <c:pt idx="82">
                  <c:v>1.0136789665125616E-2</c:v>
                </c:pt>
                <c:pt idx="83">
                  <c:v>1.0322572427632596E-2</c:v>
                </c:pt>
                <c:pt idx="84">
                  <c:v>1.0509476506365613E-2</c:v>
                </c:pt>
                <c:pt idx="85">
                  <c:v>1.069749521399742E-2</c:v>
                </c:pt>
                <c:pt idx="86">
                  <c:v>1.0886621981439974E-2</c:v>
                </c:pt>
                <c:pt idx="87">
                  <c:v>1.1076850354400519E-2</c:v>
                </c:pt>
                <c:pt idx="88">
                  <c:v>1.1268173990076709E-2</c:v>
                </c:pt>
                <c:pt idx="89">
                  <c:v>1.1460586653983158E-2</c:v>
                </c:pt>
                <c:pt idx="90">
                  <c:v>1.1654082216903212E-2</c:v>
                </c:pt>
                <c:pt idx="91">
                  <c:v>1.1848654651959438E-2</c:v>
                </c:pt>
                <c:pt idx="92">
                  <c:v>1.2044298031796937E-2</c:v>
                </c:pt>
                <c:pt idx="93">
                  <c:v>1.2241006525874121E-2</c:v>
                </c:pt>
                <c:pt idx="94">
                  <c:v>1.24387743978555E-2</c:v>
                </c:pt>
                <c:pt idx="95">
                  <c:v>1.2637596003101843E-2</c:v>
                </c:pt>
                <c:pt idx="96">
                  <c:v>1.2837465786252902E-2</c:v>
                </c:pt>
                <c:pt idx="97">
                  <c:v>1.3038378278898406E-2</c:v>
                </c:pt>
                <c:pt idx="98">
                  <c:v>1.3240328097333293E-2</c:v>
                </c:pt>
                <c:pt idx="99">
                  <c:v>1.3443309940393217E-2</c:v>
                </c:pt>
                <c:pt idx="100">
                  <c:v>1.364731858736669E-2</c:v>
                </c:pt>
                <c:pt idx="101">
                  <c:v>1.3852348895980506E-2</c:v>
                </c:pt>
                <c:pt idx="102">
                  <c:v>1.4058395800454888E-2</c:v>
                </c:pt>
                <c:pt idx="103">
                  <c:v>1.426545430962582E-2</c:v>
                </c:pt>
                <c:pt idx="104">
                  <c:v>1.447351950513087E-2</c:v>
                </c:pt>
                <c:pt idx="105">
                  <c:v>1.4682586539656572E-2</c:v>
                </c:pt>
                <c:pt idx="106">
                  <c:v>1.489265063524399E-2</c:v>
                </c:pt>
                <c:pt idx="107">
                  <c:v>1.5103707081650538E-2</c:v>
                </c:pt>
                <c:pt idx="108">
                  <c:v>1.5315751234765355E-2</c:v>
                </c:pt>
                <c:pt idx="109">
                  <c:v>1.5528778515076161E-2</c:v>
                </c:pt>
                <c:pt idx="110">
                  <c:v>1.5742784406185387E-2</c:v>
                </c:pt>
                <c:pt idx="111">
                  <c:v>1.595776445337365E-2</c:v>
                </c:pt>
                <c:pt idx="112">
                  <c:v>1.6173714262208479E-2</c:v>
                </c:pt>
                <c:pt idx="113">
                  <c:v>1.6390629497196732E-2</c:v>
                </c:pt>
                <c:pt idx="114">
                  <c:v>1.6608505880478654E-2</c:v>
                </c:pt>
                <c:pt idx="115">
                  <c:v>1.6827339190562219E-2</c:v>
                </c:pt>
                <c:pt idx="116">
                  <c:v>1.704712526109602E-2</c:v>
                </c:pt>
                <c:pt idx="117">
                  <c:v>1.7267859979679112E-2</c:v>
                </c:pt>
                <c:pt idx="118">
                  <c:v>1.7489539286706737E-2</c:v>
                </c:pt>
                <c:pt idx="119">
                  <c:v>1.7712159174250112E-2</c:v>
                </c:pt>
                <c:pt idx="120">
                  <c:v>1.793571568496936E-2</c:v>
                </c:pt>
                <c:pt idx="121">
                  <c:v>1.8160204911058096E-2</c:v>
                </c:pt>
                <c:pt idx="122">
                  <c:v>1.8385622993218668E-2</c:v>
                </c:pt>
                <c:pt idx="123">
                  <c:v>1.8611966119666746E-2</c:v>
                </c:pt>
                <c:pt idx="124">
                  <c:v>1.8839230525164348E-2</c:v>
                </c:pt>
                <c:pt idx="125">
                  <c:v>1.9067412490080166E-2</c:v>
                </c:pt>
                <c:pt idx="126">
                  <c:v>1.9296508339476243E-2</c:v>
                </c:pt>
                <c:pt idx="127">
                  <c:v>1.9526514442220012E-2</c:v>
                </c:pt>
                <c:pt idx="128">
                  <c:v>1.9757427210120936E-2</c:v>
                </c:pt>
                <c:pt idx="129">
                  <c:v>1.9989243097090693E-2</c:v>
                </c:pt>
                <c:pt idx="130">
                  <c:v>2.0221958598326185E-2</c:v>
                </c:pt>
                <c:pt idx="131">
                  <c:v>2.0455570249514651E-2</c:v>
                </c:pt>
                <c:pt idx="132">
                  <c:v>2.069007462605995E-2</c:v>
                </c:pt>
                <c:pt idx="133">
                  <c:v>2.0925468342329421E-2</c:v>
                </c:pt>
                <c:pt idx="134">
                  <c:v>2.1161748050920599E-2</c:v>
                </c:pt>
                <c:pt idx="135">
                  <c:v>2.1398910441947118E-2</c:v>
                </c:pt>
                <c:pt idx="136">
                  <c:v>2.1636952242343088E-2</c:v>
                </c:pt>
                <c:pt idx="137">
                  <c:v>2.1875870215185445E-2</c:v>
                </c:pt>
                <c:pt idx="138">
                  <c:v>2.2115661159033673E-2</c:v>
                </c:pt>
                <c:pt idx="139">
                  <c:v>2.2356321907286186E-2</c:v>
                </c:pt>
                <c:pt idx="140">
                  <c:v>2.2597849327553026E-2</c:v>
                </c:pt>
                <c:pt idx="141">
                  <c:v>2.2840240321044213E-2</c:v>
                </c:pt>
                <c:pt idx="142">
                  <c:v>2.3083491821973334E-2</c:v>
                </c:pt>
                <c:pt idx="143">
                  <c:v>2.3327600796975798E-2</c:v>
                </c:pt>
                <c:pt idx="144">
                  <c:v>2.3572564244541443E-2</c:v>
                </c:pt>
                <c:pt idx="145">
                  <c:v>2.3818379194460781E-2</c:v>
                </c:pt>
                <c:pt idx="146">
                  <c:v>2.4065042707284819E-2</c:v>
                </c:pt>
                <c:pt idx="147">
                  <c:v>2.4312551873797682E-2</c:v>
                </c:pt>
                <c:pt idx="148">
                  <c:v>2.456090381450193E-2</c:v>
                </c:pt>
                <c:pt idx="149">
                  <c:v>2.4810095679115969E-2</c:v>
                </c:pt>
                <c:pt idx="150">
                  <c:v>2.5060124646083346E-2</c:v>
                </c:pt>
                <c:pt idx="151">
                  <c:v>2.5310987922093433E-2</c:v>
                </c:pt>
                <c:pt idx="152">
                  <c:v>2.5562682741613371E-2</c:v>
                </c:pt>
                <c:pt idx="153">
                  <c:v>2.581520636643056E-2</c:v>
                </c:pt>
                <c:pt idx="154">
                  <c:v>2.6068556085205946E-2</c:v>
                </c:pt>
                <c:pt idx="155">
                  <c:v>2.6322729213037181E-2</c:v>
                </c:pt>
                <c:pt idx="156">
                  <c:v>2.6577723091031808E-2</c:v>
                </c:pt>
                <c:pt idx="157">
                  <c:v>2.6833535085890051E-2</c:v>
                </c:pt>
                <c:pt idx="158">
                  <c:v>2.7090162589496772E-2</c:v>
                </c:pt>
                <c:pt idx="159">
                  <c:v>2.7347603018522678E-2</c:v>
                </c:pt>
                <c:pt idx="160">
                  <c:v>2.7605853814034118E-2</c:v>
                </c:pt>
                <c:pt idx="161">
                  <c:v>2.7864912441111608E-2</c:v>
                </c:pt>
                <c:pt idx="162">
                  <c:v>2.8124776388476463E-2</c:v>
                </c:pt>
                <c:pt idx="163">
                  <c:v>2.8385443168125673E-2</c:v>
                </c:pt>
                <c:pt idx="164">
                  <c:v>2.8646910314974523E-2</c:v>
                </c:pt>
                <c:pt idx="165">
                  <c:v>2.8909175386506909E-2</c:v>
                </c:pt>
                <c:pt idx="166">
                  <c:v>2.9172235962433068E-2</c:v>
                </c:pt>
                <c:pt idx="167">
                  <c:v>2.9436089644354464E-2</c:v>
                </c:pt>
                <c:pt idx="168">
                  <c:v>2.970073405543577E-2</c:v>
                </c:pt>
                <c:pt idx="169">
                  <c:v>2.9966166840083783E-2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85-4645-B8FD-A590AF870385}"/>
            </c:ext>
          </c:extLst>
        </c:ser>
        <c:ser>
          <c:idx val="6"/>
          <c:order val="6"/>
          <c:tx>
            <c:v>Yalin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'compare_fun_test '!$L$31:$L$200</c:f>
              <c:numCache>
                <c:formatCode>General</c:formatCode>
                <c:ptCount val="170"/>
                <c:pt idx="0">
                  <c:v>57.191622173366866</c:v>
                </c:pt>
                <c:pt idx="1">
                  <c:v>58.640476601758827</c:v>
                </c:pt>
                <c:pt idx="2">
                  <c:v>60.089331030150788</c:v>
                </c:pt>
                <c:pt idx="3">
                  <c:v>61.538185458542749</c:v>
                </c:pt>
                <c:pt idx="4">
                  <c:v>62.98703988693471</c:v>
                </c:pt>
                <c:pt idx="5">
                  <c:v>64.435894315326664</c:v>
                </c:pt>
                <c:pt idx="6">
                  <c:v>65.884748743718617</c:v>
                </c:pt>
                <c:pt idx="7">
                  <c:v>67.333603172110571</c:v>
                </c:pt>
                <c:pt idx="8">
                  <c:v>68.782457600502525</c:v>
                </c:pt>
                <c:pt idx="9">
                  <c:v>70.231312028894479</c:v>
                </c:pt>
                <c:pt idx="10">
                  <c:v>71.680166457286433</c:v>
                </c:pt>
                <c:pt idx="11">
                  <c:v>73.129020885678386</c:v>
                </c:pt>
                <c:pt idx="12">
                  <c:v>74.57787531407034</c:v>
                </c:pt>
                <c:pt idx="13">
                  <c:v>76.026729742462294</c:v>
                </c:pt>
                <c:pt idx="14">
                  <c:v>77.475584170854248</c:v>
                </c:pt>
                <c:pt idx="15">
                  <c:v>78.924438599246201</c:v>
                </c:pt>
                <c:pt idx="16">
                  <c:v>80.373293027638155</c:v>
                </c:pt>
                <c:pt idx="17">
                  <c:v>81.822147456030109</c:v>
                </c:pt>
                <c:pt idx="18">
                  <c:v>83.271001884422063</c:v>
                </c:pt>
                <c:pt idx="19">
                  <c:v>84.719856312814017</c:v>
                </c:pt>
                <c:pt idx="20">
                  <c:v>86.16871074120597</c:v>
                </c:pt>
                <c:pt idx="21">
                  <c:v>87.617565169597924</c:v>
                </c:pt>
                <c:pt idx="22">
                  <c:v>89.066419597989878</c:v>
                </c:pt>
                <c:pt idx="23">
                  <c:v>90.515274026381832</c:v>
                </c:pt>
                <c:pt idx="24">
                  <c:v>91.964128454773785</c:v>
                </c:pt>
                <c:pt idx="25">
                  <c:v>93.412982883165739</c:v>
                </c:pt>
                <c:pt idx="26">
                  <c:v>94.861837311557693</c:v>
                </c:pt>
                <c:pt idx="27">
                  <c:v>96.310691739949647</c:v>
                </c:pt>
                <c:pt idx="28">
                  <c:v>97.7595461683416</c:v>
                </c:pt>
                <c:pt idx="29">
                  <c:v>99.208400596733554</c:v>
                </c:pt>
                <c:pt idx="30">
                  <c:v>100.65725502512551</c:v>
                </c:pt>
                <c:pt idx="31">
                  <c:v>102.10610945351746</c:v>
                </c:pt>
                <c:pt idx="32">
                  <c:v>103.55496388190942</c:v>
                </c:pt>
                <c:pt idx="33">
                  <c:v>105.00381831030137</c:v>
                </c:pt>
                <c:pt idx="34">
                  <c:v>106.45267273869332</c:v>
                </c:pt>
                <c:pt idx="35">
                  <c:v>107.90152716708528</c:v>
                </c:pt>
                <c:pt idx="36">
                  <c:v>109.35038159547723</c:v>
                </c:pt>
                <c:pt idx="37">
                  <c:v>110.79923602386918</c:v>
                </c:pt>
                <c:pt idx="38">
                  <c:v>112.24809045226114</c:v>
                </c:pt>
                <c:pt idx="39">
                  <c:v>113.69694488065309</c:v>
                </c:pt>
                <c:pt idx="40">
                  <c:v>115.14579930904505</c:v>
                </c:pt>
                <c:pt idx="41">
                  <c:v>116.594653737437</c:v>
                </c:pt>
                <c:pt idx="42">
                  <c:v>118.04350816582895</c:v>
                </c:pt>
                <c:pt idx="43">
                  <c:v>119.49236259422091</c:v>
                </c:pt>
                <c:pt idx="44">
                  <c:v>120.94121702261286</c:v>
                </c:pt>
                <c:pt idx="45">
                  <c:v>122.39007145100481</c:v>
                </c:pt>
                <c:pt idx="46">
                  <c:v>123.83892587939677</c:v>
                </c:pt>
                <c:pt idx="47">
                  <c:v>125.28778030778872</c:v>
                </c:pt>
                <c:pt idx="48">
                  <c:v>126.73663473618068</c:v>
                </c:pt>
                <c:pt idx="49">
                  <c:v>128.18548916457263</c:v>
                </c:pt>
                <c:pt idx="50">
                  <c:v>129.6343435929646</c:v>
                </c:pt>
                <c:pt idx="51">
                  <c:v>131.08319802135657</c:v>
                </c:pt>
                <c:pt idx="52">
                  <c:v>132.53205244974853</c:v>
                </c:pt>
                <c:pt idx="53">
                  <c:v>133.9809068781405</c:v>
                </c:pt>
                <c:pt idx="54">
                  <c:v>135.42976130653247</c:v>
                </c:pt>
                <c:pt idx="55">
                  <c:v>136.87861573492444</c:v>
                </c:pt>
                <c:pt idx="56">
                  <c:v>138.32747016331641</c:v>
                </c:pt>
                <c:pt idx="57">
                  <c:v>139.77632459170837</c:v>
                </c:pt>
                <c:pt idx="58">
                  <c:v>141.22517902010034</c:v>
                </c:pt>
                <c:pt idx="59">
                  <c:v>142.67403344849231</c:v>
                </c:pt>
                <c:pt idx="60">
                  <c:v>144.12288787688428</c:v>
                </c:pt>
                <c:pt idx="61">
                  <c:v>145.57174230527625</c:v>
                </c:pt>
                <c:pt idx="62">
                  <c:v>147.02059673366821</c:v>
                </c:pt>
                <c:pt idx="63">
                  <c:v>148.46945116206018</c:v>
                </c:pt>
                <c:pt idx="64">
                  <c:v>149.91830559045215</c:v>
                </c:pt>
                <c:pt idx="65">
                  <c:v>151.36716001884412</c:v>
                </c:pt>
                <c:pt idx="66">
                  <c:v>152.81601444723609</c:v>
                </c:pt>
                <c:pt idx="67">
                  <c:v>154.26486887562805</c:v>
                </c:pt>
                <c:pt idx="68">
                  <c:v>155.71372330402002</c:v>
                </c:pt>
                <c:pt idx="69">
                  <c:v>157.16257773241199</c:v>
                </c:pt>
                <c:pt idx="70">
                  <c:v>158.61143216080396</c:v>
                </c:pt>
                <c:pt idx="71">
                  <c:v>160.06028658919593</c:v>
                </c:pt>
                <c:pt idx="72">
                  <c:v>161.50914101758789</c:v>
                </c:pt>
                <c:pt idx="73">
                  <c:v>162.95799544597986</c:v>
                </c:pt>
                <c:pt idx="74">
                  <c:v>164.40684987437183</c:v>
                </c:pt>
                <c:pt idx="75">
                  <c:v>165.8557043027638</c:v>
                </c:pt>
                <c:pt idx="76">
                  <c:v>167.30455873115577</c:v>
                </c:pt>
                <c:pt idx="77">
                  <c:v>168.75341315954773</c:v>
                </c:pt>
                <c:pt idx="78">
                  <c:v>170.2022675879397</c:v>
                </c:pt>
                <c:pt idx="79">
                  <c:v>171.65112201633167</c:v>
                </c:pt>
                <c:pt idx="80">
                  <c:v>173.09997644472364</c:v>
                </c:pt>
                <c:pt idx="81">
                  <c:v>174.54883087311561</c:v>
                </c:pt>
                <c:pt idx="82">
                  <c:v>175.99768530150757</c:v>
                </c:pt>
                <c:pt idx="83">
                  <c:v>177.44653972989954</c:v>
                </c:pt>
                <c:pt idx="84">
                  <c:v>178.89539415829151</c:v>
                </c:pt>
                <c:pt idx="85">
                  <c:v>180.34424858668348</c:v>
                </c:pt>
                <c:pt idx="86">
                  <c:v>181.79310301507545</c:v>
                </c:pt>
                <c:pt idx="87">
                  <c:v>183.24195744346741</c:v>
                </c:pt>
                <c:pt idx="88">
                  <c:v>184.69081187185938</c:v>
                </c:pt>
                <c:pt idx="89">
                  <c:v>186.13966630025135</c:v>
                </c:pt>
                <c:pt idx="90">
                  <c:v>187.58852072864332</c:v>
                </c:pt>
                <c:pt idx="91">
                  <c:v>189.03737515703529</c:v>
                </c:pt>
                <c:pt idx="92">
                  <c:v>190.48622958542725</c:v>
                </c:pt>
                <c:pt idx="93">
                  <c:v>191.93508401381922</c:v>
                </c:pt>
                <c:pt idx="94">
                  <c:v>193.38393844221119</c:v>
                </c:pt>
                <c:pt idx="95">
                  <c:v>194.83279287060316</c:v>
                </c:pt>
                <c:pt idx="96">
                  <c:v>196.28164729899513</c:v>
                </c:pt>
                <c:pt idx="97">
                  <c:v>197.73050172738709</c:v>
                </c:pt>
                <c:pt idx="98">
                  <c:v>199.17935615577906</c:v>
                </c:pt>
                <c:pt idx="99">
                  <c:v>200.62821058417103</c:v>
                </c:pt>
                <c:pt idx="100">
                  <c:v>202.077065012563</c:v>
                </c:pt>
                <c:pt idx="101">
                  <c:v>203.52591944095497</c:v>
                </c:pt>
                <c:pt idx="102">
                  <c:v>204.97477386934693</c:v>
                </c:pt>
                <c:pt idx="103">
                  <c:v>206.4236282977389</c:v>
                </c:pt>
                <c:pt idx="104">
                  <c:v>207.87248272613087</c:v>
                </c:pt>
                <c:pt idx="105">
                  <c:v>209.32133715452284</c:v>
                </c:pt>
                <c:pt idx="106">
                  <c:v>210.7701915829148</c:v>
                </c:pt>
                <c:pt idx="107">
                  <c:v>212.21904601130677</c:v>
                </c:pt>
                <c:pt idx="108">
                  <c:v>213.66790043969874</c:v>
                </c:pt>
                <c:pt idx="109">
                  <c:v>215.11675486809071</c:v>
                </c:pt>
                <c:pt idx="110">
                  <c:v>216.56560929648268</c:v>
                </c:pt>
                <c:pt idx="111">
                  <c:v>218.01446372487464</c:v>
                </c:pt>
                <c:pt idx="112">
                  <c:v>219.46331815326661</c:v>
                </c:pt>
                <c:pt idx="113">
                  <c:v>220.91217258165858</c:v>
                </c:pt>
                <c:pt idx="114">
                  <c:v>222.36102701005055</c:v>
                </c:pt>
                <c:pt idx="115">
                  <c:v>223.80988143844252</c:v>
                </c:pt>
                <c:pt idx="116">
                  <c:v>225.25873586683448</c:v>
                </c:pt>
                <c:pt idx="117">
                  <c:v>226.70759029522645</c:v>
                </c:pt>
                <c:pt idx="118">
                  <c:v>228.15644472361842</c:v>
                </c:pt>
                <c:pt idx="119">
                  <c:v>229.60529915201039</c:v>
                </c:pt>
                <c:pt idx="120">
                  <c:v>231.05415358040236</c:v>
                </c:pt>
                <c:pt idx="121">
                  <c:v>232.50300800879432</c:v>
                </c:pt>
                <c:pt idx="122">
                  <c:v>233.95186243718629</c:v>
                </c:pt>
                <c:pt idx="123">
                  <c:v>235.40071686557826</c:v>
                </c:pt>
                <c:pt idx="124">
                  <c:v>236.84957129397023</c:v>
                </c:pt>
                <c:pt idx="125">
                  <c:v>238.2984257223622</c:v>
                </c:pt>
                <c:pt idx="126">
                  <c:v>239.74728015075416</c:v>
                </c:pt>
                <c:pt idx="127">
                  <c:v>241.19613457914613</c:v>
                </c:pt>
                <c:pt idx="128">
                  <c:v>242.6449890075381</c:v>
                </c:pt>
                <c:pt idx="129">
                  <c:v>244.09384343593007</c:v>
                </c:pt>
                <c:pt idx="130">
                  <c:v>245.54269786432204</c:v>
                </c:pt>
                <c:pt idx="131">
                  <c:v>246.991552292714</c:v>
                </c:pt>
                <c:pt idx="132">
                  <c:v>248.44040672110597</c:v>
                </c:pt>
                <c:pt idx="133">
                  <c:v>249.88926114949794</c:v>
                </c:pt>
                <c:pt idx="134">
                  <c:v>251.33811557788991</c:v>
                </c:pt>
                <c:pt idx="135">
                  <c:v>252.78697000628188</c:v>
                </c:pt>
                <c:pt idx="136">
                  <c:v>254.23582443467384</c:v>
                </c:pt>
                <c:pt idx="137">
                  <c:v>255.68467886306581</c:v>
                </c:pt>
                <c:pt idx="138">
                  <c:v>257.13353329145775</c:v>
                </c:pt>
                <c:pt idx="139">
                  <c:v>258.58238771984969</c:v>
                </c:pt>
                <c:pt idx="140">
                  <c:v>260.03124214824163</c:v>
                </c:pt>
                <c:pt idx="141">
                  <c:v>261.48009657663357</c:v>
                </c:pt>
                <c:pt idx="142">
                  <c:v>262.92895100502551</c:v>
                </c:pt>
                <c:pt idx="143">
                  <c:v>264.37780543341745</c:v>
                </c:pt>
                <c:pt idx="144">
                  <c:v>265.82665986180939</c:v>
                </c:pt>
                <c:pt idx="145">
                  <c:v>267.27551429020133</c:v>
                </c:pt>
                <c:pt idx="146">
                  <c:v>268.72436871859327</c:v>
                </c:pt>
                <c:pt idx="147">
                  <c:v>270.17322314698521</c:v>
                </c:pt>
                <c:pt idx="148">
                  <c:v>271.62207757537715</c:v>
                </c:pt>
                <c:pt idx="149">
                  <c:v>273.07093200376909</c:v>
                </c:pt>
                <c:pt idx="150">
                  <c:v>274.51978643216103</c:v>
                </c:pt>
                <c:pt idx="151">
                  <c:v>275.96864086055297</c:v>
                </c:pt>
                <c:pt idx="152">
                  <c:v>277.41749528894491</c:v>
                </c:pt>
                <c:pt idx="153">
                  <c:v>278.86634971733685</c:v>
                </c:pt>
                <c:pt idx="154">
                  <c:v>280.31520414572879</c:v>
                </c:pt>
                <c:pt idx="155">
                  <c:v>281.76405857412072</c:v>
                </c:pt>
                <c:pt idx="156">
                  <c:v>283.21291300251266</c:v>
                </c:pt>
                <c:pt idx="157">
                  <c:v>284.6617674309046</c:v>
                </c:pt>
                <c:pt idx="158">
                  <c:v>286.11062185929654</c:v>
                </c:pt>
                <c:pt idx="159">
                  <c:v>287.55947628768848</c:v>
                </c:pt>
                <c:pt idx="160">
                  <c:v>289.00833071608042</c:v>
                </c:pt>
                <c:pt idx="161">
                  <c:v>290.45718514447236</c:v>
                </c:pt>
                <c:pt idx="162">
                  <c:v>291.9060395728643</c:v>
                </c:pt>
                <c:pt idx="163">
                  <c:v>293.35489400125624</c:v>
                </c:pt>
                <c:pt idx="164">
                  <c:v>294.80374842964818</c:v>
                </c:pt>
                <c:pt idx="165">
                  <c:v>296.25260285804012</c:v>
                </c:pt>
                <c:pt idx="166">
                  <c:v>297.70145728643206</c:v>
                </c:pt>
                <c:pt idx="167">
                  <c:v>299.150311714824</c:v>
                </c:pt>
                <c:pt idx="168">
                  <c:v>300.59916614321594</c:v>
                </c:pt>
                <c:pt idx="169">
                  <c:v>302.04802057160788</c:v>
                </c:pt>
              </c:numCache>
            </c:numRef>
          </c:xVal>
          <c:yVal>
            <c:numRef>
              <c:f>'compare_fun_test '!$AP$31:$AP$200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8.7735860944314887E-8</c:v>
                </c:pt>
                <c:pt idx="7">
                  <c:v>1.8519828911566828E-6</c:v>
                </c:pt>
                <c:pt idx="8">
                  <c:v>5.9083598947832171E-6</c:v>
                </c:pt>
                <c:pt idx="9">
                  <c:v>1.2288178660443664E-5</c:v>
                </c:pt>
                <c:pt idx="10">
                  <c:v>2.1020802176080524E-5</c:v>
                </c:pt>
                <c:pt idx="11">
                  <c:v>3.213375891430597E-5</c:v>
                </c:pt>
                <c:pt idx="12">
                  <c:v>4.5652847779900483E-5</c:v>
                </c:pt>
                <c:pt idx="13">
                  <c:v>6.1602256279043571E-5</c:v>
                </c:pt>
                <c:pt idx="14">
                  <c:v>8.0004643155139499E-5</c:v>
                </c:pt>
                <c:pt idx="15">
                  <c:v>1.0088123755180806E-4</c:v>
                </c:pt>
                <c:pt idx="16">
                  <c:v>1.2425188859438007E-4</c:v>
                </c:pt>
                <c:pt idx="17">
                  <c:v>1.5013524718871378E-4</c:v>
                </c:pt>
                <c:pt idx="18">
                  <c:v>1.7854866685820413E-4</c:v>
                </c:pt>
                <c:pt idx="19">
                  <c:v>2.0950834422468639E-4</c:v>
                </c:pt>
                <c:pt idx="20">
                  <c:v>2.4302964955173897E-4</c:v>
                </c:pt>
                <c:pt idx="21">
                  <c:v>2.7912654829390348E-4</c:v>
                </c:pt>
                <c:pt idx="22">
                  <c:v>3.1781234481911608E-4</c:v>
                </c:pt>
                <c:pt idx="23">
                  <c:v>3.5909926922957883E-4</c:v>
                </c:pt>
                <c:pt idx="24">
                  <c:v>4.0299889054088849E-4</c:v>
                </c:pt>
                <c:pt idx="25">
                  <c:v>4.495217861387333E-4</c:v>
                </c:pt>
                <c:pt idx="26">
                  <c:v>4.9867770705054474E-4</c:v>
                </c:pt>
                <c:pt idx="27">
                  <c:v>5.5047590848880017E-4</c:v>
                </c:pt>
                <c:pt idx="28">
                  <c:v>6.0492481930771982E-4</c:v>
                </c:pt>
                <c:pt idx="29">
                  <c:v>6.6203212463909311E-4</c:v>
                </c:pt>
                <c:pt idx="30">
                  <c:v>7.218049311639291E-4</c:v>
                </c:pt>
                <c:pt idx="31">
                  <c:v>7.8424993238410904E-4</c:v>
                </c:pt>
                <c:pt idx="32">
                  <c:v>8.4937316071490802E-4</c:v>
                </c:pt>
                <c:pt idx="33">
                  <c:v>9.1717998748499607E-4</c:v>
                </c:pt>
                <c:pt idx="34">
                  <c:v>9.8767495766478603E-4</c:v>
                </c:pt>
                <c:pt idx="35">
                  <c:v>1.0608630294038197E-3</c:v>
                </c:pt>
                <c:pt idx="36">
                  <c:v>1.1367483344933808E-3</c:v>
                </c:pt>
                <c:pt idx="37">
                  <c:v>1.2153341783664978E-3</c:v>
                </c:pt>
                <c:pt idx="38">
                  <c:v>1.2966230400979408E-3</c:v>
                </c:pt>
                <c:pt idx="39">
                  <c:v>1.3806190514789947E-3</c:v>
                </c:pt>
                <c:pt idx="40">
                  <c:v>1.467323865226173E-3</c:v>
                </c:pt>
                <c:pt idx="41">
                  <c:v>1.5567391340559895E-3</c:v>
                </c:pt>
                <c:pt idx="42">
                  <c:v>1.6488665106849586E-3</c:v>
                </c:pt>
                <c:pt idx="43">
                  <c:v>1.7437084741878503E-3</c:v>
                </c:pt>
                <c:pt idx="44">
                  <c:v>1.8412650245646649E-3</c:v>
                </c:pt>
                <c:pt idx="45">
                  <c:v>1.9415369881736592E-3</c:v>
                </c:pt>
                <c:pt idx="46">
                  <c:v>2.0445251913730898E-3</c:v>
                </c:pt>
                <c:pt idx="47">
                  <c:v>2.1502304605212144E-3</c:v>
                </c:pt>
                <c:pt idx="48">
                  <c:v>2.2586511429015187E-3</c:v>
                </c:pt>
                <c:pt idx="49">
                  <c:v>2.3697872385140028E-3</c:v>
                </c:pt>
                <c:pt idx="50">
                  <c:v>2.4836395737169231E-3</c:v>
                </c:pt>
                <c:pt idx="51">
                  <c:v>2.6002064957937666E-3</c:v>
                </c:pt>
                <c:pt idx="52">
                  <c:v>2.7194863520280193E-3</c:v>
                </c:pt>
                <c:pt idx="53">
                  <c:v>2.8414791424196811E-3</c:v>
                </c:pt>
                <c:pt idx="54">
                  <c:v>2.9661832142522373E-3</c:v>
                </c:pt>
                <c:pt idx="55">
                  <c:v>3.0935960884509186E-3</c:v>
                </c:pt>
                <c:pt idx="56">
                  <c:v>3.2237177650157249E-3</c:v>
                </c:pt>
                <c:pt idx="57">
                  <c:v>3.3565449385136274E-3</c:v>
                </c:pt>
                <c:pt idx="58">
                  <c:v>3.4920759562281131E-3</c:v>
                </c:pt>
                <c:pt idx="59">
                  <c:v>3.6303083390844117E-3</c:v>
                </c:pt>
                <c:pt idx="60">
                  <c:v>3.7712412607242654E-3</c:v>
                </c:pt>
                <c:pt idx="61">
                  <c:v>3.9148697629981339E-3</c:v>
                </c:pt>
                <c:pt idx="62">
                  <c:v>4.0611938459060156E-3</c:v>
                </c:pt>
                <c:pt idx="63">
                  <c:v>4.2102085512983707E-3</c:v>
                </c:pt>
                <c:pt idx="64">
                  <c:v>4.3619122264586842E-3</c:v>
                </c:pt>
                <c:pt idx="65">
                  <c:v>4.516301565953929E-3</c:v>
                </c:pt>
                <c:pt idx="66">
                  <c:v>4.6733740907093351E-3</c:v>
                </c:pt>
                <c:pt idx="67">
                  <c:v>4.8331256689336157E-3</c:v>
                </c:pt>
                <c:pt idx="68">
                  <c:v>4.9955538215520033E-3</c:v>
                </c:pt>
                <c:pt idx="69">
                  <c:v>5.1606552431314673E-3</c:v>
                </c:pt>
                <c:pt idx="70">
                  <c:v>5.3284258018807254E-3</c:v>
                </c:pt>
                <c:pt idx="71">
                  <c:v>5.4988630187250056E-3</c:v>
                </c:pt>
                <c:pt idx="72">
                  <c:v>5.6719619355147678E-3</c:v>
                </c:pt>
                <c:pt idx="73">
                  <c:v>5.8477192468169821E-3</c:v>
                </c:pt>
                <c:pt idx="74">
                  <c:v>6.0261316471986234E-3</c:v>
                </c:pt>
                <c:pt idx="75">
                  <c:v>6.2071958312266634E-3</c:v>
                </c:pt>
                <c:pt idx="76">
                  <c:v>6.3909068407515595E-3</c:v>
                </c:pt>
                <c:pt idx="77">
                  <c:v>6.5772613703402845E-3</c:v>
                </c:pt>
                <c:pt idx="78">
                  <c:v>6.7662544618432982E-3</c:v>
                </c:pt>
                <c:pt idx="79">
                  <c:v>6.9578836361858286E-3</c:v>
                </c:pt>
                <c:pt idx="80">
                  <c:v>7.1521439352183348E-3</c:v>
                </c:pt>
                <c:pt idx="81">
                  <c:v>7.3490304007912746E-3</c:v>
                </c:pt>
                <c:pt idx="82">
                  <c:v>7.5485405538298798E-3</c:v>
                </c:pt>
                <c:pt idx="83">
                  <c:v>7.7506686098263488E-3</c:v>
                </c:pt>
                <c:pt idx="84">
                  <c:v>7.955411263347657E-3</c:v>
                </c:pt>
                <c:pt idx="85">
                  <c:v>8.1627635562442607E-3</c:v>
                </c:pt>
                <c:pt idx="86">
                  <c:v>8.372719704008361E-3</c:v>
                </c:pt>
                <c:pt idx="87">
                  <c:v>8.5852838384312454E-3</c:v>
                </c:pt>
                <c:pt idx="88">
                  <c:v>8.8004344741982321E-3</c:v>
                </c:pt>
                <c:pt idx="89">
                  <c:v>9.018188138474461E-3</c:v>
                </c:pt>
                <c:pt idx="90">
                  <c:v>9.2385200405122221E-3</c:v>
                </c:pt>
                <c:pt idx="91">
                  <c:v>9.461438443894089E-3</c:v>
                </c:pt>
                <c:pt idx="92">
                  <c:v>9.6869350850374882E-3</c:v>
                </c:pt>
                <c:pt idx="93">
                  <c:v>9.9150099639424213E-3</c:v>
                </c:pt>
                <c:pt idx="94">
                  <c:v>1.0145654817026319E-2</c:v>
                </c:pt>
                <c:pt idx="95">
                  <c:v>1.0378861380706613E-2</c:v>
                </c:pt>
                <c:pt idx="96">
                  <c:v>1.0614621391400734E-2</c:v>
                </c:pt>
                <c:pt idx="97">
                  <c:v>1.0852943112691252E-2</c:v>
                </c:pt>
                <c:pt idx="98">
                  <c:v>1.1093818280995595E-2</c:v>
                </c:pt>
                <c:pt idx="99">
                  <c:v>1.1337238632731197E-2</c:v>
                </c:pt>
                <c:pt idx="100">
                  <c:v>1.158320416789806E-2</c:v>
                </c:pt>
                <c:pt idx="101">
                  <c:v>1.1831698359331039E-2</c:v>
                </c:pt>
                <c:pt idx="102">
                  <c:v>1.2082729470612707E-2</c:v>
                </c:pt>
                <c:pt idx="103">
                  <c:v>1.2336289238160497E-2</c:v>
                </c:pt>
                <c:pt idx="104">
                  <c:v>1.2592369398391836E-2</c:v>
                </c:pt>
                <c:pt idx="105">
                  <c:v>1.2850969951306726E-2</c:v>
                </c:pt>
                <c:pt idx="106">
                  <c:v>1.31120826333226E-2</c:v>
                </c:pt>
                <c:pt idx="107">
                  <c:v>1.3375707444439453E-2</c:v>
                </c:pt>
                <c:pt idx="108">
                  <c:v>1.3641827857492152E-2</c:v>
                </c:pt>
                <c:pt idx="109">
                  <c:v>1.3910452136063263E-2</c:v>
                </c:pt>
                <c:pt idx="110">
                  <c:v>1.4181572016570219E-2</c:v>
                </c:pt>
                <c:pt idx="111">
                  <c:v>1.445517923543045E-2</c:v>
                </c:pt>
                <c:pt idx="112">
                  <c:v>1.4731273792643952E-2</c:v>
                </c:pt>
                <c:pt idx="113">
                  <c:v>1.5009847424628164E-2</c:v>
                </c:pt>
                <c:pt idx="114">
                  <c:v>1.5290891867800509E-2</c:v>
                </c:pt>
                <c:pt idx="115">
                  <c:v>1.5574415385743565E-2</c:v>
                </c:pt>
                <c:pt idx="116">
                  <c:v>1.5860401451292184E-2</c:v>
                </c:pt>
                <c:pt idx="117">
                  <c:v>1.6148841800863803E-2</c:v>
                </c:pt>
                <c:pt idx="118">
                  <c:v>1.6439744698040992E-2</c:v>
                </c:pt>
                <c:pt idx="119">
                  <c:v>1.6733101879241177E-2</c:v>
                </c:pt>
                <c:pt idx="120">
                  <c:v>1.7028905080881791E-2</c:v>
                </c:pt>
                <c:pt idx="121">
                  <c:v>1.7327146039380268E-2</c:v>
                </c:pt>
                <c:pt idx="122">
                  <c:v>1.7627824754736607E-2</c:v>
                </c:pt>
                <c:pt idx="123">
                  <c:v>1.7930941226950804E-2</c:v>
                </c:pt>
                <c:pt idx="124">
                  <c:v>1.8236478928857724E-2</c:v>
                </c:pt>
                <c:pt idx="125">
                  <c:v>1.8544446124039937E-2</c:v>
                </c:pt>
                <c:pt idx="126">
                  <c:v>1.8854826285332301E-2</c:v>
                </c:pt>
                <c:pt idx="127">
                  <c:v>1.9167619412734822E-2</c:v>
                </c:pt>
                <c:pt idx="128">
                  <c:v>1.9482825506247498E-2</c:v>
                </c:pt>
                <c:pt idx="129">
                  <c:v>1.9800436302287755E-2</c:v>
                </c:pt>
                <c:pt idx="130">
                  <c:v>2.0120443537273026E-2</c:v>
                </c:pt>
                <c:pt idx="131">
                  <c:v>2.0442847211203315E-2</c:v>
                </c:pt>
                <c:pt idx="132">
                  <c:v>2.0767647324078622E-2</c:v>
                </c:pt>
                <c:pt idx="133">
                  <c:v>2.1094827348733802E-2</c:v>
                </c:pt>
                <c:pt idx="134">
                  <c:v>2.142438728516886E-2</c:v>
                </c:pt>
                <c:pt idx="135">
                  <c:v>2.1756327133383799E-2</c:v>
                </c:pt>
                <c:pt idx="136">
                  <c:v>2.2090638629796041E-2</c:v>
                </c:pt>
                <c:pt idx="137">
                  <c:v>2.2427313510823031E-2</c:v>
                </c:pt>
                <c:pt idx="138">
                  <c:v>2.2766351776464751E-2</c:v>
                </c:pt>
                <c:pt idx="139">
                  <c:v>2.3107753426721216E-2</c:v>
                </c:pt>
                <c:pt idx="140">
                  <c:v>2.3451501934427282E-2</c:v>
                </c:pt>
                <c:pt idx="141">
                  <c:v>2.3797605563165521E-2</c:v>
                </c:pt>
                <c:pt idx="142">
                  <c:v>2.4146047785770793E-2</c:v>
                </c:pt>
                <c:pt idx="143">
                  <c:v>2.4496836865825662E-2</c:v>
                </c:pt>
                <c:pt idx="144">
                  <c:v>2.4849956276164993E-2</c:v>
                </c:pt>
                <c:pt idx="145">
                  <c:v>2.5205406016788792E-2</c:v>
                </c:pt>
                <c:pt idx="146">
                  <c:v>2.5563186087697049E-2</c:v>
                </c:pt>
                <c:pt idx="147">
                  <c:v>2.5923279961724638E-2</c:v>
                </c:pt>
                <c:pt idx="148">
                  <c:v>2.6285695902454116E-2</c:v>
                </c:pt>
                <c:pt idx="149">
                  <c:v>2.6650425646302926E-2</c:v>
                </c:pt>
                <c:pt idx="150">
                  <c:v>2.7017469193271058E-2</c:v>
                </c:pt>
                <c:pt idx="151">
                  <c:v>2.7386810016193371E-2</c:v>
                </c:pt>
                <c:pt idx="152">
                  <c:v>2.7758448115069882E-2</c:v>
                </c:pt>
                <c:pt idx="153">
                  <c:v>2.8132383489900575E-2</c:v>
                </c:pt>
                <c:pt idx="154">
                  <c:v>2.8508616140685453E-2</c:v>
                </c:pt>
                <c:pt idx="155">
                  <c:v>2.8887129540259383E-2</c:v>
                </c:pt>
                <c:pt idx="156">
                  <c:v>2.9267923688622362E-2</c:v>
                </c:pt>
                <c:pt idx="157">
                  <c:v>2.9650998585774392E-2</c:v>
                </c:pt>
                <c:pt idx="158">
                  <c:v>3.0036345968132899E-2</c:v>
                </c:pt>
                <c:pt idx="159">
                  <c:v>3.0423957572115322E-2</c:v>
                </c:pt>
                <c:pt idx="160">
                  <c:v>3.0813841661304221E-2</c:v>
                </c:pt>
                <c:pt idx="161">
                  <c:v>3.1205981708534464E-2</c:v>
                </c:pt>
                <c:pt idx="162">
                  <c:v>3.1600377713806048E-2</c:v>
                </c:pt>
                <c:pt idx="163">
                  <c:v>3.1997021413536414E-2</c:v>
                </c:pt>
                <c:pt idx="164">
                  <c:v>3.2395921071308106E-2</c:v>
                </c:pt>
                <c:pt idx="165">
                  <c:v>3.279706015995601E-2</c:v>
                </c:pt>
                <c:pt idx="166">
                  <c:v>3.3200438679480124E-2</c:v>
                </c:pt>
                <c:pt idx="167">
                  <c:v>3.3606048366297867E-2</c:v>
                </c:pt>
                <c:pt idx="168">
                  <c:v>3.4013897483991813E-2</c:v>
                </c:pt>
                <c:pt idx="169">
                  <c:v>3.4423969505396834E-2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85-4645-B8FD-A590AF870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078304"/>
        <c:axId val="1641076384"/>
      </c:scatterChart>
      <c:valAx>
        <c:axId val="1641078304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76384"/>
        <c:crosses val="autoZero"/>
        <c:crossBetween val="midCat"/>
      </c:valAx>
      <c:valAx>
        <c:axId val="1641076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Bedload</a:t>
                </a:r>
                <a:r>
                  <a:rPr lang="en-CA" baseline="0"/>
                  <a:t> flux (m3/s/m)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7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Original</c:v>
          </c:tx>
          <c:spPr>
            <a:ln w="254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Load_Section_function_test01!$G$2:$G$51</c:f>
              <c:numCache>
                <c:formatCode>General</c:formatCode>
                <c:ptCount val="50"/>
                <c:pt idx="0">
                  <c:v>0</c:v>
                </c:pt>
                <c:pt idx="1">
                  <c:v>10.212373759793433</c:v>
                </c:pt>
                <c:pt idx="2">
                  <c:v>20.425869772947792</c:v>
                </c:pt>
                <c:pt idx="3">
                  <c:v>30.634886179975354</c:v>
                </c:pt>
                <c:pt idx="4">
                  <c:v>40.855741418682364</c:v>
                </c:pt>
                <c:pt idx="5">
                  <c:v>51.097373749993004</c:v>
                </c:pt>
                <c:pt idx="6">
                  <c:v>61.301693708256863</c:v>
                </c:pt>
                <c:pt idx="7">
                  <c:v>71.516156827257589</c:v>
                </c:pt>
                <c:pt idx="8">
                  <c:v>81.761646410996917</c:v>
                </c:pt>
                <c:pt idx="9">
                  <c:v>91.965687620212464</c:v>
                </c:pt>
                <c:pt idx="10">
                  <c:v>102.17086085785942</c:v>
                </c:pt>
                <c:pt idx="11">
                  <c:v>112.38582526354234</c:v>
                </c:pt>
                <c:pt idx="12">
                  <c:v>122.59424658178733</c:v>
                </c:pt>
                <c:pt idx="13">
                  <c:v>132.81073647846995</c:v>
                </c:pt>
                <c:pt idx="14">
                  <c:v>143.04527193449383</c:v>
                </c:pt>
                <c:pt idx="15">
                  <c:v>153.2498917612921</c:v>
                </c:pt>
                <c:pt idx="16">
                  <c:v>163.4551537770559</c:v>
                </c:pt>
                <c:pt idx="17">
                  <c:v>173.67758992550563</c:v>
                </c:pt>
                <c:pt idx="18">
                  <c:v>183.88513036430754</c:v>
                </c:pt>
                <c:pt idx="19">
                  <c:v>194.09816056155918</c:v>
                </c:pt>
                <c:pt idx="20">
                  <c:v>204.33659486563312</c:v>
                </c:pt>
                <c:pt idx="21">
                  <c:v>214.54310949162948</c:v>
                </c:pt>
                <c:pt idx="22">
                  <c:v>224.75593186400403</c:v>
                </c:pt>
                <c:pt idx="23">
                  <c:v>234.96652209232539</c:v>
                </c:pt>
                <c:pt idx="24">
                  <c:v>245.18027717111886</c:v>
                </c:pt>
                <c:pt idx="25">
                  <c:v>255.42319081912635</c:v>
                </c:pt>
                <c:pt idx="26">
                  <c:v>265.63677279652296</c:v>
                </c:pt>
                <c:pt idx="27">
                  <c:v>275.88715746301705</c:v>
                </c:pt>
                <c:pt idx="28">
                  <c:v>286.13211001590525</c:v>
                </c:pt>
                <c:pt idx="29">
                  <c:v>296.37777938444327</c:v>
                </c:pt>
                <c:pt idx="30">
                  <c:v>306.59830662126222</c:v>
                </c:pt>
                <c:pt idx="31">
                  <c:v>316.82152929371966</c:v>
                </c:pt>
                <c:pt idx="32">
                  <c:v>327.06929401624637</c:v>
                </c:pt>
                <c:pt idx="33">
                  <c:v>337.30400641131536</c:v>
                </c:pt>
                <c:pt idx="34">
                  <c:v>347.5371925139039</c:v>
                </c:pt>
                <c:pt idx="35">
                  <c:v>357.76911182599019</c:v>
                </c:pt>
                <c:pt idx="36">
                  <c:v>367.98487004556307</c:v>
                </c:pt>
                <c:pt idx="37">
                  <c:v>378.21813153979235</c:v>
                </c:pt>
                <c:pt idx="38">
                  <c:v>388.42696976020193</c:v>
                </c:pt>
                <c:pt idx="39">
                  <c:v>398.67147745015137</c:v>
                </c:pt>
                <c:pt idx="40">
                  <c:v>408.87998648969955</c:v>
                </c:pt>
                <c:pt idx="41">
                  <c:v>419.10681908829173</c:v>
                </c:pt>
                <c:pt idx="42">
                  <c:v>429.31829306662286</c:v>
                </c:pt>
                <c:pt idx="43">
                  <c:v>439.5339600937898</c:v>
                </c:pt>
                <c:pt idx="44">
                  <c:v>449.77365080253935</c:v>
                </c:pt>
                <c:pt idx="45">
                  <c:v>459.98697605975946</c:v>
                </c:pt>
                <c:pt idx="46">
                  <c:v>470.23077700520622</c:v>
                </c:pt>
                <c:pt idx="47">
                  <c:v>480.45814699949881</c:v>
                </c:pt>
                <c:pt idx="48">
                  <c:v>490.66483876570913</c:v>
                </c:pt>
                <c:pt idx="49">
                  <c:v>500.8779527771095</c:v>
                </c:pt>
              </c:numCache>
            </c:numRef>
          </c:xVal>
          <c:yVal>
            <c:numRef>
              <c:f>Load_Section_function_test01!$C$2:$C$51</c:f>
              <c:numCache>
                <c:formatCode>General</c:formatCode>
                <c:ptCount val="50"/>
                <c:pt idx="0">
                  <c:v>146.95665459614199</c:v>
                </c:pt>
                <c:pt idx="1">
                  <c:v>154.35746658519</c:v>
                </c:pt>
                <c:pt idx="2">
                  <c:v>151.008964727501</c:v>
                </c:pt>
                <c:pt idx="3">
                  <c:v>160.567643641144</c:v>
                </c:pt>
                <c:pt idx="4">
                  <c:v>160.82291235416201</c:v>
                </c:pt>
                <c:pt idx="5">
                  <c:v>159.448184007094</c:v>
                </c:pt>
                <c:pt idx="6">
                  <c:v>163.976815723534</c:v>
                </c:pt>
                <c:pt idx="7">
                  <c:v>168.15179501512699</c:v>
                </c:pt>
                <c:pt idx="8">
                  <c:v>162.52794206849799</c:v>
                </c:pt>
                <c:pt idx="9">
                  <c:v>168.15550111421601</c:v>
                </c:pt>
                <c:pt idx="10">
                  <c:v>170.62367285843499</c:v>
                </c:pt>
                <c:pt idx="11">
                  <c:v>174.56299346160199</c:v>
                </c:pt>
                <c:pt idx="12">
                  <c:v>165.68327835707299</c:v>
                </c:pt>
                <c:pt idx="13">
                  <c:v>173.58726489934301</c:v>
                </c:pt>
                <c:pt idx="14">
                  <c:v>164.79443470844299</c:v>
                </c:pt>
                <c:pt idx="15">
                  <c:v>167.55157275140499</c:v>
                </c:pt>
                <c:pt idx="16">
                  <c:v>164.39385847900201</c:v>
                </c:pt>
                <c:pt idx="17">
                  <c:v>168.52742719967199</c:v>
                </c:pt>
                <c:pt idx="18">
                  <c:v>165.55156806663999</c:v>
                </c:pt>
                <c:pt idx="19">
                  <c:v>165.84180450851801</c:v>
                </c:pt>
                <c:pt idx="20">
                  <c:v>159.96473160584401</c:v>
                </c:pt>
                <c:pt idx="21">
                  <c:v>162.47261493362501</c:v>
                </c:pt>
                <c:pt idx="22">
                  <c:v>152.99515885586101</c:v>
                </c:pt>
                <c:pt idx="23">
                  <c:v>151.627185016966</c:v>
                </c:pt>
                <c:pt idx="24">
                  <c:v>155.94529899752101</c:v>
                </c:pt>
                <c:pt idx="25">
                  <c:v>150.21165883417899</c:v>
                </c:pt>
                <c:pt idx="26">
                  <c:v>148.17037938339399</c:v>
                </c:pt>
                <c:pt idx="27">
                  <c:v>144.91881493659599</c:v>
                </c:pt>
                <c:pt idx="28">
                  <c:v>144.67717117967001</c:v>
                </c:pt>
                <c:pt idx="29">
                  <c:v>141.344748933213</c:v>
                </c:pt>
                <c:pt idx="30">
                  <c:v>139.91503399244701</c:v>
                </c:pt>
                <c:pt idx="31">
                  <c:v>130.506484059678</c:v>
                </c:pt>
                <c:pt idx="32">
                  <c:v>128.62917733108401</c:v>
                </c:pt>
                <c:pt idx="33">
                  <c:v>132.03919081702699</c:v>
                </c:pt>
                <c:pt idx="34">
                  <c:v>126.254020801129</c:v>
                </c:pt>
                <c:pt idx="35">
                  <c:v>131.167686591956</c:v>
                </c:pt>
                <c:pt idx="36">
                  <c:v>128.83036429882799</c:v>
                </c:pt>
                <c:pt idx="37">
                  <c:v>125.029137069896</c:v>
                </c:pt>
                <c:pt idx="38">
                  <c:v>125.795298917349</c:v>
                </c:pt>
                <c:pt idx="39">
                  <c:v>135.347452072804</c:v>
                </c:pt>
                <c:pt idx="40">
                  <c:v>128.06671766842501</c:v>
                </c:pt>
                <c:pt idx="41">
                  <c:v>132.450166877736</c:v>
                </c:pt>
                <c:pt idx="42">
                  <c:v>139.234638858198</c:v>
                </c:pt>
                <c:pt idx="43">
                  <c:v>139.590466112179</c:v>
                </c:pt>
                <c:pt idx="44">
                  <c:v>139.20154896633201</c:v>
                </c:pt>
                <c:pt idx="45">
                  <c:v>138.95080404388699</c:v>
                </c:pt>
                <c:pt idx="46">
                  <c:v>138.933110494517</c:v>
                </c:pt>
                <c:pt idx="47">
                  <c:v>148.55007364474301</c:v>
                </c:pt>
                <c:pt idx="48">
                  <c:v>146.10014692256101</c:v>
                </c:pt>
                <c:pt idx="49">
                  <c:v>149.127486336511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42-47EF-8E84-F572E47FD6ED}"/>
            </c:ext>
          </c:extLst>
        </c:ser>
        <c:ser>
          <c:idx val="1"/>
          <c:order val="1"/>
          <c:tx>
            <c:v>Trimmed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Load_Section_function_test01!$G$2:$G$51</c:f>
              <c:numCache>
                <c:formatCode>General</c:formatCode>
                <c:ptCount val="50"/>
                <c:pt idx="0">
                  <c:v>0</c:v>
                </c:pt>
                <c:pt idx="1">
                  <c:v>10.212373759793433</c:v>
                </c:pt>
                <c:pt idx="2">
                  <c:v>20.425869772947792</c:v>
                </c:pt>
                <c:pt idx="3">
                  <c:v>30.634886179975354</c:v>
                </c:pt>
                <c:pt idx="4">
                  <c:v>40.855741418682364</c:v>
                </c:pt>
                <c:pt idx="5">
                  <c:v>51.097373749993004</c:v>
                </c:pt>
                <c:pt idx="6">
                  <c:v>61.301693708256863</c:v>
                </c:pt>
                <c:pt idx="7">
                  <c:v>71.516156827257589</c:v>
                </c:pt>
                <c:pt idx="8">
                  <c:v>81.761646410996917</c:v>
                </c:pt>
                <c:pt idx="9">
                  <c:v>91.965687620212464</c:v>
                </c:pt>
                <c:pt idx="10">
                  <c:v>102.17086085785942</c:v>
                </c:pt>
                <c:pt idx="11">
                  <c:v>112.38582526354234</c:v>
                </c:pt>
                <c:pt idx="12">
                  <c:v>122.59424658178733</c:v>
                </c:pt>
                <c:pt idx="13">
                  <c:v>132.81073647846995</c:v>
                </c:pt>
                <c:pt idx="14">
                  <c:v>143.04527193449383</c:v>
                </c:pt>
                <c:pt idx="15">
                  <c:v>153.2498917612921</c:v>
                </c:pt>
                <c:pt idx="16">
                  <c:v>163.4551537770559</c:v>
                </c:pt>
                <c:pt idx="17">
                  <c:v>173.67758992550563</c:v>
                </c:pt>
                <c:pt idx="18">
                  <c:v>183.88513036430754</c:v>
                </c:pt>
                <c:pt idx="19">
                  <c:v>194.09816056155918</c:v>
                </c:pt>
                <c:pt idx="20">
                  <c:v>204.33659486563312</c:v>
                </c:pt>
                <c:pt idx="21">
                  <c:v>214.54310949162948</c:v>
                </c:pt>
                <c:pt idx="22">
                  <c:v>224.75593186400403</c:v>
                </c:pt>
                <c:pt idx="23">
                  <c:v>234.96652209232539</c:v>
                </c:pt>
                <c:pt idx="24">
                  <c:v>245.18027717111886</c:v>
                </c:pt>
                <c:pt idx="25">
                  <c:v>255.42319081912635</c:v>
                </c:pt>
                <c:pt idx="26">
                  <c:v>265.63677279652296</c:v>
                </c:pt>
                <c:pt idx="27">
                  <c:v>275.88715746301705</c:v>
                </c:pt>
                <c:pt idx="28">
                  <c:v>286.13211001590525</c:v>
                </c:pt>
                <c:pt idx="29">
                  <c:v>296.37777938444327</c:v>
                </c:pt>
                <c:pt idx="30">
                  <c:v>306.59830662126222</c:v>
                </c:pt>
                <c:pt idx="31">
                  <c:v>316.82152929371966</c:v>
                </c:pt>
                <c:pt idx="32">
                  <c:v>327.06929401624637</c:v>
                </c:pt>
                <c:pt idx="33">
                  <c:v>337.30400641131536</c:v>
                </c:pt>
                <c:pt idx="34">
                  <c:v>347.5371925139039</c:v>
                </c:pt>
                <c:pt idx="35">
                  <c:v>357.76911182599019</c:v>
                </c:pt>
                <c:pt idx="36">
                  <c:v>367.98487004556307</c:v>
                </c:pt>
                <c:pt idx="37">
                  <c:v>378.21813153979235</c:v>
                </c:pt>
                <c:pt idx="38">
                  <c:v>388.42696976020193</c:v>
                </c:pt>
                <c:pt idx="39">
                  <c:v>398.67147745015137</c:v>
                </c:pt>
                <c:pt idx="40">
                  <c:v>408.87998648969955</c:v>
                </c:pt>
                <c:pt idx="41">
                  <c:v>419.10681908829173</c:v>
                </c:pt>
                <c:pt idx="42">
                  <c:v>429.31829306662286</c:v>
                </c:pt>
                <c:pt idx="43">
                  <c:v>439.5339600937898</c:v>
                </c:pt>
                <c:pt idx="44">
                  <c:v>449.77365080253935</c:v>
                </c:pt>
                <c:pt idx="45">
                  <c:v>459.98697605975946</c:v>
                </c:pt>
                <c:pt idx="46">
                  <c:v>470.23077700520622</c:v>
                </c:pt>
                <c:pt idx="47">
                  <c:v>480.45814699949881</c:v>
                </c:pt>
                <c:pt idx="48">
                  <c:v>490.66483876570913</c:v>
                </c:pt>
                <c:pt idx="49">
                  <c:v>500.8779527771095</c:v>
                </c:pt>
              </c:numCache>
            </c:numRef>
          </c:xVal>
          <c:yVal>
            <c:numRef>
              <c:f>Load_Section_function_test01!$L$2:$L$51</c:f>
              <c:numCache>
                <c:formatCode>General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174.56299346160199</c:v>
                </c:pt>
                <c:pt idx="12">
                  <c:v>165.68327835707299</c:v>
                </c:pt>
                <c:pt idx="13">
                  <c:v>173.58726489934301</c:v>
                </c:pt>
                <c:pt idx="14">
                  <c:v>164.79443470844299</c:v>
                </c:pt>
                <c:pt idx="15">
                  <c:v>167.55157275140499</c:v>
                </c:pt>
                <c:pt idx="16">
                  <c:v>164.39385847900201</c:v>
                </c:pt>
                <c:pt idx="17">
                  <c:v>168.52742719967199</c:v>
                </c:pt>
                <c:pt idx="18">
                  <c:v>165.55156806663999</c:v>
                </c:pt>
                <c:pt idx="19">
                  <c:v>165.84180450851801</c:v>
                </c:pt>
                <c:pt idx="20">
                  <c:v>159.96473160584401</c:v>
                </c:pt>
                <c:pt idx="21">
                  <c:v>162.47261493362501</c:v>
                </c:pt>
                <c:pt idx="22">
                  <c:v>152.99515885586101</c:v>
                </c:pt>
                <c:pt idx="23">
                  <c:v>151.627185016966</c:v>
                </c:pt>
                <c:pt idx="24">
                  <c:v>155.94529899752101</c:v>
                </c:pt>
                <c:pt idx="25">
                  <c:v>150.21165883417899</c:v>
                </c:pt>
                <c:pt idx="26">
                  <c:v>148.17037938339399</c:v>
                </c:pt>
                <c:pt idx="27">
                  <c:v>144.91881493659599</c:v>
                </c:pt>
                <c:pt idx="28">
                  <c:v>144.67717117967001</c:v>
                </c:pt>
                <c:pt idx="29">
                  <c:v>141.344748933213</c:v>
                </c:pt>
                <c:pt idx="30">
                  <c:v>139.91503399244701</c:v>
                </c:pt>
                <c:pt idx="31">
                  <c:v>130.506484059678</c:v>
                </c:pt>
                <c:pt idx="32">
                  <c:v>128.62917733108401</c:v>
                </c:pt>
                <c:pt idx="33">
                  <c:v>132.03919081702699</c:v>
                </c:pt>
                <c:pt idx="34">
                  <c:v>126.254020801129</c:v>
                </c:pt>
                <c:pt idx="35">
                  <c:v>131.167686591956</c:v>
                </c:pt>
                <c:pt idx="36">
                  <c:v>128.83036429882799</c:v>
                </c:pt>
                <c:pt idx="37">
                  <c:v>125.029137069896</c:v>
                </c:pt>
                <c:pt idx="38">
                  <c:v>125.795298917349</c:v>
                </c:pt>
                <c:pt idx="39">
                  <c:v>135.347452072804</c:v>
                </c:pt>
                <c:pt idx="40">
                  <c:v>128.06671766842501</c:v>
                </c:pt>
                <c:pt idx="41">
                  <c:v>132.450166877736</c:v>
                </c:pt>
                <c:pt idx="42">
                  <c:v>139.234638858198</c:v>
                </c:pt>
                <c:pt idx="43">
                  <c:v>139.590466112179</c:v>
                </c:pt>
                <c:pt idx="44">
                  <c:v>139.20154896633201</c:v>
                </c:pt>
                <c:pt idx="45">
                  <c:v>138.95080404388699</c:v>
                </c:pt>
                <c:pt idx="46">
                  <c:v>138.933110494517</c:v>
                </c:pt>
                <c:pt idx="47">
                  <c:v>148.55007364474301</c:v>
                </c:pt>
                <c:pt idx="48">
                  <c:v>146.10014692256101</c:v>
                </c:pt>
                <c:pt idx="49">
                  <c:v>149.127486336511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42-47EF-8E84-F572E47F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381744"/>
        <c:axId val="993382224"/>
      </c:scatterChart>
      <c:valAx>
        <c:axId val="99338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distance from left bank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82224"/>
        <c:crosses val="autoZero"/>
        <c:crossBetween val="midCat"/>
      </c:valAx>
      <c:valAx>
        <c:axId val="993382224"/>
        <c:scaling>
          <c:orientation val="minMax"/>
          <c:min val="1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elevation above sea 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3817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locations where water depths have been calculated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calc_depths_test01!$D$2:$D$51</c:f>
              <c:numCache>
                <c:formatCode>General</c:formatCode>
                <c:ptCount val="50"/>
                <c:pt idx="0">
                  <c:v>0</c:v>
                </c:pt>
                <c:pt idx="1">
                  <c:v>10.212357125462139</c:v>
                </c:pt>
                <c:pt idx="2">
                  <c:v>20.425858755415639</c:v>
                </c:pt>
                <c:pt idx="3">
                  <c:v>30.634959886287774</c:v>
                </c:pt>
                <c:pt idx="4">
                  <c:v>40.855841413664663</c:v>
                </c:pt>
                <c:pt idx="5">
                  <c:v>51.09744363825633</c:v>
                </c:pt>
                <c:pt idx="6">
                  <c:v>61.301741165547469</c:v>
                </c:pt>
                <c:pt idx="7">
                  <c:v>71.51619650978752</c:v>
                </c:pt>
                <c:pt idx="8">
                  <c:v>81.761621034653658</c:v>
                </c:pt>
                <c:pt idx="9">
                  <c:v>91.965744325753604</c:v>
                </c:pt>
                <c:pt idx="10">
                  <c:v>102.17090153966249</c:v>
                </c:pt>
                <c:pt idx="11">
                  <c:v>112.38582736593412</c:v>
                </c:pt>
                <c:pt idx="12">
                  <c:v>122.59420691651373</c:v>
                </c:pt>
                <c:pt idx="13">
                  <c:v>132.81064181807284</c:v>
                </c:pt>
                <c:pt idx="14">
                  <c:v>143.04530571513146</c:v>
                </c:pt>
                <c:pt idx="15">
                  <c:v>153.24990887754328</c:v>
                </c:pt>
                <c:pt idx="16">
                  <c:v>163.45514943911286</c:v>
                </c:pt>
                <c:pt idx="17">
                  <c:v>173.67754745433652</c:v>
                </c:pt>
                <c:pt idx="18">
                  <c:v>183.88508208202023</c:v>
                </c:pt>
                <c:pt idx="19">
                  <c:v>194.09807745660581</c:v>
                </c:pt>
                <c:pt idx="20">
                  <c:v>204.33659647578224</c:v>
                </c:pt>
                <c:pt idx="21">
                  <c:v>214.54309957277039</c:v>
                </c:pt>
                <c:pt idx="22">
                  <c:v>224.75590702900908</c:v>
                </c:pt>
                <c:pt idx="23">
                  <c:v>234.96650023242989</c:v>
                </c:pt>
                <c:pt idx="24">
                  <c:v>245.18022318364558</c:v>
                </c:pt>
                <c:pt idx="25">
                  <c:v>255.4231959937741</c:v>
                </c:pt>
                <c:pt idx="26">
                  <c:v>265.63678649760209</c:v>
                </c:pt>
                <c:pt idx="27">
                  <c:v>275.88721001573373</c:v>
                </c:pt>
                <c:pt idx="28">
                  <c:v>286.13220305076959</c:v>
                </c:pt>
                <c:pt idx="29">
                  <c:v>296.37782154708958</c:v>
                </c:pt>
                <c:pt idx="30">
                  <c:v>306.59842734786054</c:v>
                </c:pt>
                <c:pt idx="31">
                  <c:v>316.82160839747763</c:v>
                </c:pt>
                <c:pt idx="32">
                  <c:v>327.06934737051029</c:v>
                </c:pt>
                <c:pt idx="33">
                  <c:v>337.30402914146805</c:v>
                </c:pt>
                <c:pt idx="34">
                  <c:v>347.53720673952739</c:v>
                </c:pt>
                <c:pt idx="35">
                  <c:v>357.76910035417558</c:v>
                </c:pt>
                <c:pt idx="36">
                  <c:v>367.98494392339944</c:v>
                </c:pt>
                <c:pt idx="37">
                  <c:v>378.21818468719812</c:v>
                </c:pt>
                <c:pt idx="38">
                  <c:v>388.42702042307883</c:v>
                </c:pt>
                <c:pt idx="39">
                  <c:v>398.67155958574693</c:v>
                </c:pt>
                <c:pt idx="40">
                  <c:v>408.88003901476924</c:v>
                </c:pt>
                <c:pt idx="41">
                  <c:v>419.10692689672999</c:v>
                </c:pt>
                <c:pt idx="42">
                  <c:v>429.31839611342036</c:v>
                </c:pt>
                <c:pt idx="43">
                  <c:v>439.53406615544259</c:v>
                </c:pt>
                <c:pt idx="44">
                  <c:v>449.77370721158627</c:v>
                </c:pt>
                <c:pt idx="45">
                  <c:v>459.98703117923452</c:v>
                </c:pt>
                <c:pt idx="46">
                  <c:v>470.23074266659063</c:v>
                </c:pt>
                <c:pt idx="47">
                  <c:v>480.45823316704457</c:v>
                </c:pt>
                <c:pt idx="48">
                  <c:v>490.66489094815591</c:v>
                </c:pt>
                <c:pt idx="49">
                  <c:v>500.87802361935337</c:v>
                </c:pt>
              </c:numCache>
            </c:numRef>
          </c:xVal>
          <c:yVal>
            <c:numRef>
              <c:f>calc_depths_test01!$C$2:$C$51</c:f>
              <c:numCache>
                <c:formatCode>General</c:formatCode>
                <c:ptCount val="50"/>
                <c:pt idx="0">
                  <c:v>146.95665459614199</c:v>
                </c:pt>
                <c:pt idx="1">
                  <c:v>154.35746658519</c:v>
                </c:pt>
                <c:pt idx="2">
                  <c:v>151.008964727501</c:v>
                </c:pt>
                <c:pt idx="3">
                  <c:v>160.567643641144</c:v>
                </c:pt>
                <c:pt idx="4">
                  <c:v>160.82291235416201</c:v>
                </c:pt>
                <c:pt idx="5">
                  <c:v>159.448184007094</c:v>
                </c:pt>
                <c:pt idx="6">
                  <c:v>163.976815723534</c:v>
                </c:pt>
                <c:pt idx="7">
                  <c:v>168.15179501512699</c:v>
                </c:pt>
                <c:pt idx="8">
                  <c:v>162.52794206849799</c:v>
                </c:pt>
                <c:pt idx="9">
                  <c:v>168.15550111421601</c:v>
                </c:pt>
                <c:pt idx="10">
                  <c:v>170.62367285843499</c:v>
                </c:pt>
                <c:pt idx="11">
                  <c:v>174.56299346160199</c:v>
                </c:pt>
                <c:pt idx="12">
                  <c:v>165.68327835707299</c:v>
                </c:pt>
                <c:pt idx="13">
                  <c:v>173.58726489934301</c:v>
                </c:pt>
                <c:pt idx="14">
                  <c:v>164.79443470844299</c:v>
                </c:pt>
                <c:pt idx="15">
                  <c:v>167.55157275140499</c:v>
                </c:pt>
                <c:pt idx="16">
                  <c:v>164.39385847900201</c:v>
                </c:pt>
                <c:pt idx="17">
                  <c:v>168.52742719967199</c:v>
                </c:pt>
                <c:pt idx="18">
                  <c:v>165.55156806663999</c:v>
                </c:pt>
                <c:pt idx="19">
                  <c:v>165.84180450851801</c:v>
                </c:pt>
                <c:pt idx="20">
                  <c:v>159.96473160584401</c:v>
                </c:pt>
                <c:pt idx="21">
                  <c:v>162.47261493362501</c:v>
                </c:pt>
                <c:pt idx="22">
                  <c:v>152.99515885586101</c:v>
                </c:pt>
                <c:pt idx="23">
                  <c:v>151.627185016966</c:v>
                </c:pt>
                <c:pt idx="24">
                  <c:v>155.94529899752101</c:v>
                </c:pt>
                <c:pt idx="25">
                  <c:v>150.21165883417899</c:v>
                </c:pt>
                <c:pt idx="26">
                  <c:v>148.17037938339399</c:v>
                </c:pt>
                <c:pt idx="27">
                  <c:v>144.91881493659599</c:v>
                </c:pt>
                <c:pt idx="28">
                  <c:v>144.67717117967001</c:v>
                </c:pt>
                <c:pt idx="29">
                  <c:v>141.344748933213</c:v>
                </c:pt>
                <c:pt idx="30">
                  <c:v>139.91503399244701</c:v>
                </c:pt>
                <c:pt idx="31">
                  <c:v>130.506484059678</c:v>
                </c:pt>
                <c:pt idx="32">
                  <c:v>128.62917733108401</c:v>
                </c:pt>
                <c:pt idx="33">
                  <c:v>132.03919081702699</c:v>
                </c:pt>
                <c:pt idx="34">
                  <c:v>126.254020801129</c:v>
                </c:pt>
                <c:pt idx="35">
                  <c:v>131.167686591956</c:v>
                </c:pt>
                <c:pt idx="36">
                  <c:v>128.83036429882799</c:v>
                </c:pt>
                <c:pt idx="37">
                  <c:v>125.029137069896</c:v>
                </c:pt>
                <c:pt idx="38">
                  <c:v>125.795298917349</c:v>
                </c:pt>
                <c:pt idx="39">
                  <c:v>135.347452072804</c:v>
                </c:pt>
                <c:pt idx="40">
                  <c:v>128.06671766842501</c:v>
                </c:pt>
                <c:pt idx="41">
                  <c:v>132.450166877736</c:v>
                </c:pt>
                <c:pt idx="42">
                  <c:v>139.234638858198</c:v>
                </c:pt>
                <c:pt idx="43">
                  <c:v>139.590466112179</c:v>
                </c:pt>
                <c:pt idx="44">
                  <c:v>139.20154896633201</c:v>
                </c:pt>
                <c:pt idx="45">
                  <c:v>138.95080404388699</c:v>
                </c:pt>
                <c:pt idx="46">
                  <c:v>138.933110494517</c:v>
                </c:pt>
                <c:pt idx="47">
                  <c:v>148.55007364474301</c:v>
                </c:pt>
                <c:pt idx="48">
                  <c:v>146.10014692256101</c:v>
                </c:pt>
                <c:pt idx="49">
                  <c:v>149.127486336511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3-4540-B718-23DA14855D3C}"/>
            </c:ext>
          </c:extLst>
        </c:ser>
        <c:ser>
          <c:idx val="1"/>
          <c:order val="1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calc_depths_test01!$D$32:$D$48</c:f>
              <c:numCache>
                <c:formatCode>General</c:formatCode>
                <c:ptCount val="17"/>
                <c:pt idx="0">
                  <c:v>306.59842734786054</c:v>
                </c:pt>
                <c:pt idx="1">
                  <c:v>316.82160839747763</c:v>
                </c:pt>
                <c:pt idx="2">
                  <c:v>327.06934737051029</c:v>
                </c:pt>
                <c:pt idx="3">
                  <c:v>337.30402914146805</c:v>
                </c:pt>
                <c:pt idx="4">
                  <c:v>347.53720673952739</c:v>
                </c:pt>
                <c:pt idx="5">
                  <c:v>357.76910035417558</c:v>
                </c:pt>
                <c:pt idx="6">
                  <c:v>367.98494392339944</c:v>
                </c:pt>
                <c:pt idx="7">
                  <c:v>378.21818468719812</c:v>
                </c:pt>
                <c:pt idx="8">
                  <c:v>388.42702042307883</c:v>
                </c:pt>
                <c:pt idx="9">
                  <c:v>398.67155958574693</c:v>
                </c:pt>
                <c:pt idx="10">
                  <c:v>408.88003901476924</c:v>
                </c:pt>
                <c:pt idx="11">
                  <c:v>419.10692689672999</c:v>
                </c:pt>
                <c:pt idx="12">
                  <c:v>429.31839611342036</c:v>
                </c:pt>
                <c:pt idx="13">
                  <c:v>439.53406615544259</c:v>
                </c:pt>
                <c:pt idx="14">
                  <c:v>449.77370721158627</c:v>
                </c:pt>
                <c:pt idx="15">
                  <c:v>459.98703117923452</c:v>
                </c:pt>
                <c:pt idx="16">
                  <c:v>470.23074266659063</c:v>
                </c:pt>
              </c:numCache>
            </c:numRef>
          </c:xVal>
          <c:yVal>
            <c:numRef>
              <c:f>calc_depths_test01!$C$32:$C$48</c:f>
              <c:numCache>
                <c:formatCode>General</c:formatCode>
                <c:ptCount val="17"/>
                <c:pt idx="0">
                  <c:v>139.91503399244701</c:v>
                </c:pt>
                <c:pt idx="1">
                  <c:v>130.506484059678</c:v>
                </c:pt>
                <c:pt idx="2">
                  <c:v>128.62917733108401</c:v>
                </c:pt>
                <c:pt idx="3">
                  <c:v>132.03919081702699</c:v>
                </c:pt>
                <c:pt idx="4">
                  <c:v>126.254020801129</c:v>
                </c:pt>
                <c:pt idx="5">
                  <c:v>131.167686591956</c:v>
                </c:pt>
                <c:pt idx="6">
                  <c:v>128.83036429882799</c:v>
                </c:pt>
                <c:pt idx="7">
                  <c:v>125.029137069896</c:v>
                </c:pt>
                <c:pt idx="8">
                  <c:v>125.795298917349</c:v>
                </c:pt>
                <c:pt idx="9">
                  <c:v>135.347452072804</c:v>
                </c:pt>
                <c:pt idx="10">
                  <c:v>128.06671766842501</c:v>
                </c:pt>
                <c:pt idx="11">
                  <c:v>132.450166877736</c:v>
                </c:pt>
                <c:pt idx="12">
                  <c:v>139.234638858198</c:v>
                </c:pt>
                <c:pt idx="13">
                  <c:v>139.590466112179</c:v>
                </c:pt>
                <c:pt idx="14">
                  <c:v>139.20154896633201</c:v>
                </c:pt>
                <c:pt idx="15">
                  <c:v>138.95080404388699</c:v>
                </c:pt>
                <c:pt idx="16">
                  <c:v>138.933110494517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B3-4540-B718-23DA14855D3C}"/>
            </c:ext>
          </c:extLst>
        </c:ser>
        <c:ser>
          <c:idx val="2"/>
          <c:order val="2"/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calc_depths_test01!$D$2:$D$51</c:f>
              <c:numCache>
                <c:formatCode>General</c:formatCode>
                <c:ptCount val="50"/>
                <c:pt idx="0">
                  <c:v>0</c:v>
                </c:pt>
                <c:pt idx="1">
                  <c:v>10.212357125462139</c:v>
                </c:pt>
                <c:pt idx="2">
                  <c:v>20.425858755415639</c:v>
                </c:pt>
                <c:pt idx="3">
                  <c:v>30.634959886287774</c:v>
                </c:pt>
                <c:pt idx="4">
                  <c:v>40.855841413664663</c:v>
                </c:pt>
                <c:pt idx="5">
                  <c:v>51.09744363825633</c:v>
                </c:pt>
                <c:pt idx="6">
                  <c:v>61.301741165547469</c:v>
                </c:pt>
                <c:pt idx="7">
                  <c:v>71.51619650978752</c:v>
                </c:pt>
                <c:pt idx="8">
                  <c:v>81.761621034653658</c:v>
                </c:pt>
                <c:pt idx="9">
                  <c:v>91.965744325753604</c:v>
                </c:pt>
                <c:pt idx="10">
                  <c:v>102.17090153966249</c:v>
                </c:pt>
                <c:pt idx="11">
                  <c:v>112.38582736593412</c:v>
                </c:pt>
                <c:pt idx="12">
                  <c:v>122.59420691651373</c:v>
                </c:pt>
                <c:pt idx="13">
                  <c:v>132.81064181807284</c:v>
                </c:pt>
                <c:pt idx="14">
                  <c:v>143.04530571513146</c:v>
                </c:pt>
                <c:pt idx="15">
                  <c:v>153.24990887754328</c:v>
                </c:pt>
                <c:pt idx="16">
                  <c:v>163.45514943911286</c:v>
                </c:pt>
                <c:pt idx="17">
                  <c:v>173.67754745433652</c:v>
                </c:pt>
                <c:pt idx="18">
                  <c:v>183.88508208202023</c:v>
                </c:pt>
                <c:pt idx="19">
                  <c:v>194.09807745660581</c:v>
                </c:pt>
                <c:pt idx="20">
                  <c:v>204.33659647578224</c:v>
                </c:pt>
                <c:pt idx="21">
                  <c:v>214.54309957277039</c:v>
                </c:pt>
                <c:pt idx="22">
                  <c:v>224.75590702900908</c:v>
                </c:pt>
                <c:pt idx="23">
                  <c:v>234.96650023242989</c:v>
                </c:pt>
                <c:pt idx="24">
                  <c:v>245.18022318364558</c:v>
                </c:pt>
                <c:pt idx="25">
                  <c:v>255.4231959937741</c:v>
                </c:pt>
                <c:pt idx="26">
                  <c:v>265.63678649760209</c:v>
                </c:pt>
                <c:pt idx="27">
                  <c:v>275.88721001573373</c:v>
                </c:pt>
                <c:pt idx="28">
                  <c:v>286.13220305076959</c:v>
                </c:pt>
                <c:pt idx="29">
                  <c:v>296.37782154708958</c:v>
                </c:pt>
                <c:pt idx="30">
                  <c:v>306.59842734786054</c:v>
                </c:pt>
                <c:pt idx="31">
                  <c:v>316.82160839747763</c:v>
                </c:pt>
                <c:pt idx="32">
                  <c:v>327.06934737051029</c:v>
                </c:pt>
                <c:pt idx="33">
                  <c:v>337.30402914146805</c:v>
                </c:pt>
                <c:pt idx="34">
                  <c:v>347.53720673952739</c:v>
                </c:pt>
                <c:pt idx="35">
                  <c:v>357.76910035417558</c:v>
                </c:pt>
                <c:pt idx="36">
                  <c:v>367.98494392339944</c:v>
                </c:pt>
                <c:pt idx="37">
                  <c:v>378.21818468719812</c:v>
                </c:pt>
                <c:pt idx="38">
                  <c:v>388.42702042307883</c:v>
                </c:pt>
                <c:pt idx="39">
                  <c:v>398.67155958574693</c:v>
                </c:pt>
                <c:pt idx="40">
                  <c:v>408.88003901476924</c:v>
                </c:pt>
                <c:pt idx="41">
                  <c:v>419.10692689672999</c:v>
                </c:pt>
                <c:pt idx="42">
                  <c:v>429.31839611342036</c:v>
                </c:pt>
                <c:pt idx="43">
                  <c:v>439.53406615544259</c:v>
                </c:pt>
                <c:pt idx="44">
                  <c:v>449.77370721158627</c:v>
                </c:pt>
                <c:pt idx="45">
                  <c:v>459.98703117923452</c:v>
                </c:pt>
                <c:pt idx="46">
                  <c:v>470.23074266659063</c:v>
                </c:pt>
                <c:pt idx="47">
                  <c:v>480.45823316704457</c:v>
                </c:pt>
                <c:pt idx="48">
                  <c:v>490.66489094815591</c:v>
                </c:pt>
                <c:pt idx="49">
                  <c:v>500.87802361935337</c:v>
                </c:pt>
              </c:numCache>
            </c:numRef>
          </c:xVal>
          <c:yVal>
            <c:numRef>
              <c:f>calc_depths_test01!$E$2:$E$51</c:f>
              <c:numCache>
                <c:formatCode>General</c:formatCode>
                <c:ptCount val="50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140</c:v>
                </c:pt>
                <c:pt idx="9">
                  <c:v>140</c:v>
                </c:pt>
                <c:pt idx="10">
                  <c:v>140</c:v>
                </c:pt>
                <c:pt idx="11">
                  <c:v>140</c:v>
                </c:pt>
                <c:pt idx="12">
                  <c:v>140</c:v>
                </c:pt>
                <c:pt idx="13">
                  <c:v>140</c:v>
                </c:pt>
                <c:pt idx="14">
                  <c:v>140</c:v>
                </c:pt>
                <c:pt idx="15">
                  <c:v>140</c:v>
                </c:pt>
                <c:pt idx="16">
                  <c:v>140</c:v>
                </c:pt>
                <c:pt idx="17">
                  <c:v>140</c:v>
                </c:pt>
                <c:pt idx="18">
                  <c:v>140</c:v>
                </c:pt>
                <c:pt idx="19">
                  <c:v>140</c:v>
                </c:pt>
                <c:pt idx="20">
                  <c:v>140</c:v>
                </c:pt>
                <c:pt idx="21">
                  <c:v>140</c:v>
                </c:pt>
                <c:pt idx="22">
                  <c:v>140</c:v>
                </c:pt>
                <c:pt idx="23">
                  <c:v>140</c:v>
                </c:pt>
                <c:pt idx="24">
                  <c:v>140</c:v>
                </c:pt>
                <c:pt idx="25">
                  <c:v>140</c:v>
                </c:pt>
                <c:pt idx="26">
                  <c:v>140</c:v>
                </c:pt>
                <c:pt idx="27">
                  <c:v>140</c:v>
                </c:pt>
                <c:pt idx="28">
                  <c:v>140</c:v>
                </c:pt>
                <c:pt idx="29">
                  <c:v>140</c:v>
                </c:pt>
                <c:pt idx="30">
                  <c:v>140</c:v>
                </c:pt>
                <c:pt idx="31">
                  <c:v>140</c:v>
                </c:pt>
                <c:pt idx="32">
                  <c:v>140</c:v>
                </c:pt>
                <c:pt idx="33">
                  <c:v>140</c:v>
                </c:pt>
                <c:pt idx="34">
                  <c:v>140</c:v>
                </c:pt>
                <c:pt idx="35">
                  <c:v>140</c:v>
                </c:pt>
                <c:pt idx="36">
                  <c:v>140</c:v>
                </c:pt>
                <c:pt idx="37">
                  <c:v>140</c:v>
                </c:pt>
                <c:pt idx="38">
                  <c:v>140</c:v>
                </c:pt>
                <c:pt idx="39">
                  <c:v>140</c:v>
                </c:pt>
                <c:pt idx="40">
                  <c:v>140</c:v>
                </c:pt>
                <c:pt idx="41">
                  <c:v>140</c:v>
                </c:pt>
                <c:pt idx="42">
                  <c:v>140</c:v>
                </c:pt>
                <c:pt idx="43">
                  <c:v>140</c:v>
                </c:pt>
                <c:pt idx="44">
                  <c:v>140</c:v>
                </c:pt>
                <c:pt idx="45">
                  <c:v>140</c:v>
                </c:pt>
                <c:pt idx="46">
                  <c:v>140</c:v>
                </c:pt>
                <c:pt idx="47">
                  <c:v>140</c:v>
                </c:pt>
                <c:pt idx="48">
                  <c:v>140</c:v>
                </c:pt>
                <c:pt idx="49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B3-4540-B718-23DA14855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225600"/>
        <c:axId val="1462223680"/>
      </c:scatterChart>
      <c:valAx>
        <c:axId val="1462225600"/>
        <c:scaling>
          <c:orientation val="minMax"/>
          <c:max val="500"/>
          <c:min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distance from left bank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23680"/>
        <c:crosses val="autoZero"/>
        <c:crossBetween val="midCat"/>
      </c:valAx>
      <c:valAx>
        <c:axId val="1462223680"/>
        <c:scaling>
          <c:orientation val="minMax"/>
          <c:min val="1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elevation above sea 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256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361950</xdr:colOff>
      <xdr:row>6</xdr:row>
      <xdr:rowOff>99786</xdr:rowOff>
    </xdr:from>
    <xdr:to>
      <xdr:col>60</xdr:col>
      <xdr:colOff>299357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4A5DF-E269-4A27-98C8-7AED34365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9</xdr:row>
      <xdr:rowOff>47624</xdr:rowOff>
    </xdr:from>
    <xdr:to>
      <xdr:col>25</xdr:col>
      <xdr:colOff>559593</xdr:colOff>
      <xdr:row>32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3EE24-C5B7-4AF5-B834-1F9A8283F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38098</xdr:colOff>
      <xdr:row>7</xdr:row>
      <xdr:rowOff>76200</xdr:rowOff>
    </xdr:from>
    <xdr:to>
      <xdr:col>19</xdr:col>
      <xdr:colOff>323849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B2695-8736-4120-9C3F-E242BBCA0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staran Nematollahi" id="{3DB0D18B-E491-4C03-9E81-7AD82B250F3A}" userId="S::NNematollahi@bgcengineering.ca::1a2adf11-60e4-47d2-8f57-24ce2afa9f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06-03T23:35:55.93" personId="{3DB0D18B-E491-4C03-9E81-7AD82B250F3A}" id="{B54C75B8-49BD-4A57-9289-DABE89259FF0}">
    <text>I did not understand what is the point of rev  = True? Then the plot will be generated with rev distance in r?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2849-7096-4B6C-9E03-9BB521C8460E}">
  <dimension ref="A1:AU200"/>
  <sheetViews>
    <sheetView tabSelected="1" topLeftCell="AJ1" zoomScale="70" zoomScaleNormal="70" workbookViewId="0">
      <selection activeCell="AU1" sqref="AN1:AU200"/>
    </sheetView>
  </sheetViews>
  <sheetFormatPr defaultRowHeight="14.5" x14ac:dyDescent="0.35"/>
  <cols>
    <col min="8" max="8" width="8.7265625" customWidth="1"/>
    <col min="9" max="9" width="18.08984375" customWidth="1"/>
    <col min="10" max="11" width="19.54296875" customWidth="1"/>
    <col min="12" max="12" width="19.54296875" style="12" customWidth="1"/>
    <col min="13" max="13" width="22" style="12" customWidth="1"/>
    <col min="14" max="14" width="11.7265625" style="12" customWidth="1"/>
    <col min="15" max="15" width="19.26953125" style="12" customWidth="1"/>
    <col min="16" max="22" width="12.1796875" style="12" customWidth="1"/>
    <col min="23" max="31" width="21.54296875" style="12" customWidth="1"/>
    <col min="32" max="32" width="14.36328125" style="12" customWidth="1"/>
    <col min="33" max="33" width="14.1796875" customWidth="1"/>
    <col min="34" max="34" width="29.90625" customWidth="1"/>
    <col min="35" max="35" width="17" customWidth="1"/>
    <col min="36" max="36" width="20.36328125" customWidth="1"/>
    <col min="37" max="38" width="17" customWidth="1"/>
    <col min="39" max="39" width="23.90625" customWidth="1"/>
    <col min="40" max="40" width="24.81640625" customWidth="1"/>
    <col min="41" max="41" width="19.453125" customWidth="1"/>
    <col min="42" max="42" width="17.36328125" customWidth="1"/>
    <col min="43" max="43" width="29.81640625" customWidth="1"/>
    <col min="44" max="44" width="18.7265625" customWidth="1"/>
    <col min="45" max="45" width="19.90625" customWidth="1"/>
    <col min="46" max="46" width="16.36328125" customWidth="1"/>
    <col min="47" max="47" width="19.54296875" customWidth="1"/>
  </cols>
  <sheetData>
    <row r="1" spans="1:47" x14ac:dyDescent="0.35">
      <c r="A1" s="5" t="s">
        <v>103</v>
      </c>
      <c r="B1" s="5" t="s">
        <v>102</v>
      </c>
      <c r="C1" s="5" t="s">
        <v>101</v>
      </c>
      <c r="D1" s="5" t="s">
        <v>100</v>
      </c>
      <c r="E1" s="5" t="s">
        <v>99</v>
      </c>
      <c r="F1" s="5" t="s">
        <v>98</v>
      </c>
      <c r="G1" s="5" t="s">
        <v>61</v>
      </c>
      <c r="H1" s="5" t="s">
        <v>58</v>
      </c>
      <c r="I1" s="5" t="s">
        <v>97</v>
      </c>
      <c r="J1" s="5" t="s">
        <v>96</v>
      </c>
      <c r="K1" s="5" t="s">
        <v>95</v>
      </c>
      <c r="L1" s="5" t="s">
        <v>94</v>
      </c>
      <c r="M1" s="5" t="s">
        <v>93</v>
      </c>
      <c r="N1" s="5" t="s">
        <v>92</v>
      </c>
      <c r="O1" s="5" t="s">
        <v>45</v>
      </c>
      <c r="P1" s="5" t="s">
        <v>44</v>
      </c>
      <c r="Q1" s="5" t="s">
        <v>91</v>
      </c>
      <c r="R1" s="5" t="s">
        <v>43</v>
      </c>
      <c r="S1" s="5" t="s">
        <v>42</v>
      </c>
      <c r="T1" s="5" t="s">
        <v>34</v>
      </c>
      <c r="U1" s="5" t="s">
        <v>90</v>
      </c>
      <c r="V1" s="5" t="s">
        <v>41</v>
      </c>
      <c r="W1" s="5" t="s">
        <v>40</v>
      </c>
      <c r="X1" s="5" t="s">
        <v>89</v>
      </c>
      <c r="Y1" s="5" t="s">
        <v>88</v>
      </c>
      <c r="Z1" s="5" t="s">
        <v>87</v>
      </c>
      <c r="AA1" s="5" t="s">
        <v>86</v>
      </c>
      <c r="AB1" s="5" t="s">
        <v>36</v>
      </c>
      <c r="AC1" s="5" t="s">
        <v>85</v>
      </c>
      <c r="AD1" s="5" t="s">
        <v>35</v>
      </c>
      <c r="AE1" s="5" t="s">
        <v>84</v>
      </c>
      <c r="AF1" s="5" t="s">
        <v>33</v>
      </c>
      <c r="AG1" s="5" t="s">
        <v>32</v>
      </c>
      <c r="AH1" s="5" t="s">
        <v>30</v>
      </c>
      <c r="AI1" s="5" t="s">
        <v>28</v>
      </c>
      <c r="AJ1" s="5" t="s">
        <v>29</v>
      </c>
      <c r="AK1" s="5" t="s">
        <v>31</v>
      </c>
      <c r="AL1" s="5" t="s">
        <v>27</v>
      </c>
      <c r="AM1" s="5" t="s">
        <v>83</v>
      </c>
      <c r="AN1" s="13" t="s">
        <v>82</v>
      </c>
      <c r="AO1" s="13" t="s">
        <v>81</v>
      </c>
      <c r="AP1" s="13" t="s">
        <v>80</v>
      </c>
      <c r="AQ1" s="13" t="s">
        <v>79</v>
      </c>
      <c r="AR1" s="13" t="s">
        <v>78</v>
      </c>
      <c r="AS1" s="13" t="s">
        <v>77</v>
      </c>
      <c r="AT1" s="13" t="s">
        <v>76</v>
      </c>
      <c r="AU1" s="13" t="s">
        <v>75</v>
      </c>
    </row>
    <row r="2" spans="1:47" x14ac:dyDescent="0.35">
      <c r="A2" s="5">
        <v>7.4999999999999997E-2</v>
      </c>
      <c r="B2" s="5">
        <v>0.02</v>
      </c>
      <c r="C2" s="5">
        <f t="shared" ref="C2:C33" si="0">2*A2</f>
        <v>0.15</v>
      </c>
      <c r="D2" s="5">
        <v>9.81</v>
      </c>
      <c r="E2" s="5">
        <v>1000</v>
      </c>
      <c r="F2" s="5">
        <v>2650</v>
      </c>
      <c r="G2" s="5">
        <v>1.65</v>
      </c>
      <c r="H2" s="5">
        <v>9.9999999999999995E-7</v>
      </c>
      <c r="I2" s="5">
        <f>0.05*D2*(F2-E2)*A2</f>
        <v>60.699375000000003</v>
      </c>
      <c r="J2" s="5">
        <f>0.25 * I2</f>
        <v>15.174843750000001</v>
      </c>
      <c r="K2" s="5">
        <f>5*I2</f>
        <v>303.49687500000005</v>
      </c>
      <c r="L2" s="1">
        <f>J2</f>
        <v>15.174843750000001</v>
      </c>
      <c r="M2" s="5">
        <f t="shared" ref="M2:M33" si="1">L2/ (E2*D2*B2)</f>
        <v>7.7343750000000003E-2</v>
      </c>
      <c r="N2" s="5">
        <f t="shared" ref="N2:N33" si="2">L2/ (D2* E2 * G2 * C2)</f>
        <v>6.2500000000000003E-3</v>
      </c>
      <c r="O2" s="12">
        <f t="shared" ref="O2:O33" si="3">L2/ (D2* E2 * G2 * A2)</f>
        <v>1.2500000000000001E-2</v>
      </c>
      <c r="P2" s="5">
        <f t="shared" ref="P2:P33" si="4">A2 * (G2 * D2 / H2^2)^(1/3)</f>
        <v>1897.1962050160116</v>
      </c>
      <c r="Q2" s="5">
        <v>4.7E-2</v>
      </c>
      <c r="R2" s="5">
        <f t="shared" ref="R2:R33" si="5">0.3 / (1 + 1.2 * P2) + 0.055 * (1 - EXP(-0.02 * P2))</f>
        <v>5.5131715547597548E-2</v>
      </c>
      <c r="S2" s="5">
        <f t="shared" ref="S2:S33" si="6">IF(P2 &lt;= 4, 0.24 / P2, IF(P2 &lt;= 10, 0.14 * P2^(-0.64), IF(P2 &lt;= 20, 0.04 * P2^(-0.1), IF(P2 &lt;= 150, 0.013 * P2^(0.29), 0.056))))</f>
        <v>5.6000000000000001E-2</v>
      </c>
      <c r="T2" s="5">
        <f t="shared" ref="T2:T33" si="7">1.5*B2^0.75</f>
        <v>7.977443845417484E-2</v>
      </c>
      <c r="U2" s="5">
        <f t="shared" ref="U2:U33" si="8" xml:space="preserve"> (5 * B2 + 0.06) * (C2/A2)^(4.4 * SQRT(B2) - 1.5)</f>
        <v>8.7074722341604224E-2</v>
      </c>
      <c r="V2" s="5">
        <f t="shared" ref="V2:V33" si="9">O2/R2-1</f>
        <v>-0.77327025150871243</v>
      </c>
      <c r="W2" s="5">
        <f t="shared" ref="W2:W33" si="10">2.45 * SQRT(R2) / (G2 + 1)^0.4</f>
        <v>0.3895547355705582</v>
      </c>
      <c r="X2" s="5">
        <f t="shared" ref="X2:X33" si="11" xml:space="preserve"> R2 * G2 * A2 / B2</f>
        <v>0.34112748995075981</v>
      </c>
      <c r="Y2" s="5">
        <f t="shared" ref="Y2:Y33" si="12" xml:space="preserve"> 6.5 * 2.5 * (M2 / C2) / SQRT(6.5^2 + 2.5^2 * (M2 / C2)^(5/3))</f>
        <v>1.2585676390553409</v>
      </c>
      <c r="Z2" s="12">
        <f t="shared" ref="Z2:Z33" si="13" xml:space="preserve"> 6.5 * 2.5 * (X2 / C2) / SQRT(6.5^2 + 2.5^2 * (X2 / C2)^(5/3))</f>
        <v>4.5205550599332014</v>
      </c>
      <c r="AA2" s="12">
        <f t="shared" ref="AA2:AA33" si="14">Y2 *SQRT(D2 * M2* B2)</f>
        <v>0.15503818471652431</v>
      </c>
      <c r="AB2" s="12">
        <f t="shared" ref="AB2:AB33" si="15" xml:space="preserve"> Z2 * R2^(3/2)</f>
        <v>5.8518612919311673E-2</v>
      </c>
      <c r="AC2" s="1">
        <f t="shared" ref="AC2:AC33" si="16">L2*AA2 / (E2 * (D2 * G2* A2)^(3/2))</f>
        <v>1.7589017470057268E-3</v>
      </c>
      <c r="AD2" s="1">
        <f t="shared" ref="AD2:AD33" si="17">(0.92 - 0.25 * SQRT(AB2 / AC2))^9</f>
        <v>-2.8777869543669629E-3</v>
      </c>
      <c r="AE2" s="12">
        <f t="shared" ref="AE2:AE33" si="18">SQRT(2/3 + 36 / P2^3) - SQRT(36 / P2^3)</f>
        <v>0.81642397642269393</v>
      </c>
      <c r="AF2" s="5">
        <f t="shared" ref="AF2:AF33" si="19">IF(O2 &gt; Q2, 8 * (O2 - Q2)^(3/2), 0)</f>
        <v>0</v>
      </c>
      <c r="AG2" s="5">
        <f t="shared" ref="AG2:AG33" si="20">IF(O2 &gt; Q2, 4 * (O2 - Q2)^(3/2), 0)</f>
        <v>0</v>
      </c>
      <c r="AH2" s="5">
        <f t="shared" ref="AH2:AH36" si="21">IF(O2&gt; R2, 0.635 * V2* SQRT(O2) * (1 - (1 / (W2 * V2)) * LOG(1 + W2*V2)), 0)</f>
        <v>0</v>
      </c>
      <c r="AI2" s="5">
        <f t="shared" ref="AI2:AI33" si="22" xml:space="preserve"> IF(AD2 * AC2 &lt; 0.00001, 0, AD2 * AC2)</f>
        <v>0</v>
      </c>
      <c r="AJ2" s="5">
        <f t="shared" ref="AJ2:AJ33" si="23" xml:space="preserve"> IF(O2&gt;= 0.19, 40 * AE2* O2^3, (AE2 * EXP(-0.391 / O2)) / 0.465)</f>
        <v>4.5680558347980954E-14</v>
      </c>
      <c r="AK2" s="5" t="e">
        <f t="shared" ref="AK2:AK37" si="24">(0.053 / P2^(0.3)) * (O2 / S2- 1)^2.1</f>
        <v>#NUM!</v>
      </c>
      <c r="AL2" s="5">
        <f t="shared" ref="AL2:AL33" si="25" xml:space="preserve"> 14 * N2^2.5 / (1 + (T2 / N2)^4)</f>
        <v>1.6288337632676625E-9</v>
      </c>
      <c r="AM2" s="5">
        <f t="shared" ref="AM2:AM33" si="26" xml:space="preserve"> 14 * N2^2.5 / (1 + (U2 / N2)^4)</f>
        <v>1.1475410441557137E-9</v>
      </c>
      <c r="AN2" s="13">
        <f t="shared" ref="AN2:AN33" si="27" xml:space="preserve"> AF2 * SQRT(G2 * D2 * A2^3)</f>
        <v>0</v>
      </c>
      <c r="AO2" s="13">
        <f t="shared" ref="AO2:AO33" si="28" xml:space="preserve"> AG2 * SQRT(G2 * D2 * A2^3)</f>
        <v>0</v>
      </c>
      <c r="AP2" s="13">
        <f t="shared" ref="AP2:AP33" si="29">AH2 * SQRT(G2 * D2 * A2^3)</f>
        <v>0</v>
      </c>
      <c r="AQ2" s="13">
        <f t="shared" ref="AQ2:AQ33" si="30" xml:space="preserve"> AI2 * SQRT(G2 * D2 * A2^3)</f>
        <v>0</v>
      </c>
      <c r="AR2" s="13">
        <f t="shared" ref="AR2:AR33" si="31" xml:space="preserve"> AJ2 * SQRT(G2 * D2 * A2^3)</f>
        <v>3.7748506570744558E-15</v>
      </c>
      <c r="AS2" s="13" t="e">
        <f t="shared" ref="AS2:AS33" si="32" xml:space="preserve"> AK2 * SQRT(G2 * D2 * A2^3)</f>
        <v>#NUM!</v>
      </c>
      <c r="AT2" s="13">
        <f t="shared" ref="AT2:AT33" si="33" xml:space="preserve"> AL2* SQRT(G2 * D2 * A2^3)</f>
        <v>1.3460002293968804E-10</v>
      </c>
      <c r="AU2" s="14">
        <f t="shared" ref="AU2:AU33" si="34" xml:space="preserve"> AM2* SQRT(G2 * D2 * A2^3)</f>
        <v>9.4828001697193884E-11</v>
      </c>
    </row>
    <row r="3" spans="1:47" x14ac:dyDescent="0.35">
      <c r="A3" s="5">
        <v>7.4999999999999997E-2</v>
      </c>
      <c r="B3" s="5">
        <v>0.02</v>
      </c>
      <c r="C3" s="5">
        <f t="shared" si="0"/>
        <v>0.15</v>
      </c>
      <c r="D3" s="5">
        <v>9.81</v>
      </c>
      <c r="E3" s="5">
        <v>1000</v>
      </c>
      <c r="F3" s="5">
        <v>2650</v>
      </c>
      <c r="G3" s="5">
        <v>1.65</v>
      </c>
      <c r="H3" s="5">
        <v>9.9999999999999995E-7</v>
      </c>
      <c r="I3" s="12"/>
      <c r="J3" s="12"/>
      <c r="K3" s="12"/>
      <c r="L3" s="12">
        <f t="shared" ref="L3:L34" si="35">L2 + ($K$2 - $J$2) / 199</f>
        <v>16.623698178391962</v>
      </c>
      <c r="M3" s="5">
        <f t="shared" si="1"/>
        <v>8.4728329145728642E-2</v>
      </c>
      <c r="N3" s="5">
        <f t="shared" si="2"/>
        <v>6.8467336683417099E-3</v>
      </c>
      <c r="O3" s="12">
        <f t="shared" si="3"/>
        <v>1.369346733668342E-2</v>
      </c>
      <c r="P3" s="5">
        <f t="shared" si="4"/>
        <v>1897.1962050160116</v>
      </c>
      <c r="Q3" s="5">
        <v>4.7E-2</v>
      </c>
      <c r="R3" s="5">
        <f t="shared" si="5"/>
        <v>5.5131715547597548E-2</v>
      </c>
      <c r="S3" s="5">
        <f t="shared" si="6"/>
        <v>5.6000000000000001E-2</v>
      </c>
      <c r="T3" s="5">
        <f t="shared" si="7"/>
        <v>7.977443845417484E-2</v>
      </c>
      <c r="U3" s="5">
        <f t="shared" si="8"/>
        <v>8.7074722341604224E-2</v>
      </c>
      <c r="V3" s="5">
        <f t="shared" si="9"/>
        <v>-0.75162268758240858</v>
      </c>
      <c r="W3" s="5">
        <f t="shared" si="10"/>
        <v>0.3895547355705582</v>
      </c>
      <c r="X3" s="5">
        <f t="shared" si="11"/>
        <v>0.34112748995075981</v>
      </c>
      <c r="Y3" s="5">
        <f t="shared" si="12"/>
        <v>1.3734723123862054</v>
      </c>
      <c r="Z3" s="12">
        <f t="shared" si="13"/>
        <v>4.5205550599332014</v>
      </c>
      <c r="AA3" s="12">
        <f t="shared" si="14"/>
        <v>0.17708579747241582</v>
      </c>
      <c r="AB3" s="12">
        <f t="shared" si="15"/>
        <v>5.8518612919311673E-2</v>
      </c>
      <c r="AC3" s="1">
        <f t="shared" si="16"/>
        <v>2.2008480249567212E-3</v>
      </c>
      <c r="AD3" s="1">
        <f t="shared" si="17"/>
        <v>-1.2719371879259581E-4</v>
      </c>
      <c r="AE3" s="12">
        <f t="shared" si="18"/>
        <v>0.81642397642269393</v>
      </c>
      <c r="AF3" s="5">
        <f t="shared" si="19"/>
        <v>0</v>
      </c>
      <c r="AG3" s="5">
        <f t="shared" si="20"/>
        <v>0</v>
      </c>
      <c r="AH3" s="5">
        <f t="shared" si="21"/>
        <v>0</v>
      </c>
      <c r="AI3" s="5">
        <f t="shared" si="22"/>
        <v>0</v>
      </c>
      <c r="AJ3" s="5">
        <f t="shared" si="23"/>
        <v>6.977852009771643E-13</v>
      </c>
      <c r="AK3" s="5" t="e">
        <f t="shared" si="24"/>
        <v>#NUM!</v>
      </c>
      <c r="AL3" s="5">
        <f t="shared" si="25"/>
        <v>2.9464004545440896E-9</v>
      </c>
      <c r="AM3" s="5">
        <f t="shared" si="26"/>
        <v>2.0757993220859722E-9</v>
      </c>
      <c r="AN3" s="13">
        <f t="shared" si="27"/>
        <v>0</v>
      </c>
      <c r="AO3" s="13">
        <f t="shared" si="28"/>
        <v>0</v>
      </c>
      <c r="AP3" s="13">
        <f t="shared" si="29"/>
        <v>0</v>
      </c>
      <c r="AQ3" s="13">
        <f t="shared" si="30"/>
        <v>0</v>
      </c>
      <c r="AR3" s="13">
        <f t="shared" si="31"/>
        <v>5.7662056237145396E-14</v>
      </c>
      <c r="AS3" s="13" t="e">
        <f t="shared" si="32"/>
        <v>#NUM!</v>
      </c>
      <c r="AT3" s="13">
        <f t="shared" si="33"/>
        <v>2.4347823437521148E-10</v>
      </c>
      <c r="AU3" s="14">
        <f t="shared" si="34"/>
        <v>1.7153539094771768E-10</v>
      </c>
    </row>
    <row r="4" spans="1:47" x14ac:dyDescent="0.35">
      <c r="A4" s="5">
        <v>7.4999999999999997E-2</v>
      </c>
      <c r="B4" s="5">
        <v>0.02</v>
      </c>
      <c r="C4" s="5">
        <f t="shared" si="0"/>
        <v>0.15</v>
      </c>
      <c r="D4" s="5">
        <v>9.81</v>
      </c>
      <c r="E4" s="5">
        <v>1000</v>
      </c>
      <c r="F4" s="5">
        <v>2650</v>
      </c>
      <c r="G4" s="5">
        <v>1.65</v>
      </c>
      <c r="H4" s="5">
        <v>9.9999999999999995E-7</v>
      </c>
      <c r="I4" s="12"/>
      <c r="J4" s="12"/>
      <c r="K4" s="12"/>
      <c r="L4" s="12">
        <f t="shared" si="35"/>
        <v>18.072552606783923</v>
      </c>
      <c r="M4" s="5">
        <f t="shared" si="1"/>
        <v>9.2112908291457296E-2</v>
      </c>
      <c r="N4" s="5">
        <f t="shared" si="2"/>
        <v>7.4434673366834186E-3</v>
      </c>
      <c r="O4" s="12">
        <f t="shared" si="3"/>
        <v>1.4886934673366837E-2</v>
      </c>
      <c r="P4" s="5">
        <f t="shared" si="4"/>
        <v>1897.1962050160116</v>
      </c>
      <c r="Q4" s="5">
        <v>4.7E-2</v>
      </c>
      <c r="R4" s="5">
        <f t="shared" si="5"/>
        <v>5.5131715547597548E-2</v>
      </c>
      <c r="S4" s="5">
        <f t="shared" si="6"/>
        <v>5.6000000000000001E-2</v>
      </c>
      <c r="T4" s="5">
        <f t="shared" si="7"/>
        <v>7.977443845417484E-2</v>
      </c>
      <c r="U4" s="5">
        <f t="shared" si="8"/>
        <v>8.7074722341604224E-2</v>
      </c>
      <c r="V4" s="5">
        <f t="shared" si="9"/>
        <v>-0.72997512365610473</v>
      </c>
      <c r="W4" s="5">
        <f t="shared" si="10"/>
        <v>0.3895547355705582</v>
      </c>
      <c r="X4" s="5">
        <f t="shared" si="11"/>
        <v>0.34112748995075981</v>
      </c>
      <c r="Y4" s="5">
        <f t="shared" si="12"/>
        <v>1.4871885615893141</v>
      </c>
      <c r="Z4" s="12">
        <f t="shared" si="13"/>
        <v>4.5205550599332014</v>
      </c>
      <c r="AA4" s="12">
        <f t="shared" si="14"/>
        <v>0.19992899610305442</v>
      </c>
      <c r="AB4" s="12">
        <f t="shared" si="15"/>
        <v>5.8518612919311673E-2</v>
      </c>
      <c r="AC4" s="1">
        <f t="shared" si="16"/>
        <v>2.7013071020701371E-3</v>
      </c>
      <c r="AD4" s="1">
        <f t="shared" si="17"/>
        <v>-3.0195183674554342E-6</v>
      </c>
      <c r="AE4" s="12">
        <f t="shared" si="18"/>
        <v>0.81642397642269393</v>
      </c>
      <c r="AF4" s="5">
        <f t="shared" si="19"/>
        <v>0</v>
      </c>
      <c r="AG4" s="5">
        <f t="shared" si="20"/>
        <v>0</v>
      </c>
      <c r="AH4" s="5">
        <f t="shared" si="21"/>
        <v>0</v>
      </c>
      <c r="AI4" s="5">
        <f t="shared" si="22"/>
        <v>0</v>
      </c>
      <c r="AJ4" s="5">
        <f t="shared" si="23"/>
        <v>6.8845251367806081E-12</v>
      </c>
      <c r="AK4" s="5" t="e">
        <f t="shared" si="24"/>
        <v>#NUM!</v>
      </c>
      <c r="AL4" s="5">
        <f t="shared" si="25"/>
        <v>5.0720025249869887E-9</v>
      </c>
      <c r="AM4" s="5">
        <f t="shared" si="26"/>
        <v>3.5733521489688165E-9</v>
      </c>
      <c r="AN4" s="13">
        <f t="shared" si="27"/>
        <v>0</v>
      </c>
      <c r="AO4" s="13">
        <f t="shared" si="28"/>
        <v>0</v>
      </c>
      <c r="AP4" s="13">
        <f t="shared" si="29"/>
        <v>0</v>
      </c>
      <c r="AQ4" s="13">
        <f t="shared" si="30"/>
        <v>0</v>
      </c>
      <c r="AR4" s="13">
        <f t="shared" si="31"/>
        <v>5.68908419162756E-13</v>
      </c>
      <c r="AS4" s="13" t="e">
        <f t="shared" si="32"/>
        <v>#NUM!</v>
      </c>
      <c r="AT4" s="13">
        <f t="shared" si="33"/>
        <v>4.1912911655504472E-10</v>
      </c>
      <c r="AU4" s="14">
        <f t="shared" si="34"/>
        <v>2.952869053118645E-10</v>
      </c>
    </row>
    <row r="5" spans="1:47" x14ac:dyDescent="0.35">
      <c r="A5" s="5">
        <v>7.4999999999999997E-2</v>
      </c>
      <c r="B5" s="5">
        <v>0.02</v>
      </c>
      <c r="C5" s="5">
        <f t="shared" si="0"/>
        <v>0.15</v>
      </c>
      <c r="D5" s="5">
        <v>9.81</v>
      </c>
      <c r="E5" s="5">
        <v>1000</v>
      </c>
      <c r="F5" s="5">
        <v>2650</v>
      </c>
      <c r="G5" s="5">
        <v>1.65</v>
      </c>
      <c r="H5" s="5">
        <v>9.9999999999999995E-7</v>
      </c>
      <c r="I5" s="12"/>
      <c r="J5" s="12"/>
      <c r="K5" s="12"/>
      <c r="L5" s="12">
        <f t="shared" si="35"/>
        <v>19.521407035175883</v>
      </c>
      <c r="M5" s="5">
        <f t="shared" si="1"/>
        <v>9.9497487437185936E-2</v>
      </c>
      <c r="N5" s="5">
        <f t="shared" si="2"/>
        <v>8.0402010050251282E-3</v>
      </c>
      <c r="O5" s="12">
        <f t="shared" si="3"/>
        <v>1.6080402010050256E-2</v>
      </c>
      <c r="P5" s="5">
        <f t="shared" si="4"/>
        <v>1897.1962050160116</v>
      </c>
      <c r="Q5" s="5">
        <v>4.7E-2</v>
      </c>
      <c r="R5" s="5">
        <f t="shared" si="5"/>
        <v>5.5131715547597548E-2</v>
      </c>
      <c r="S5" s="5">
        <f t="shared" si="6"/>
        <v>5.6000000000000001E-2</v>
      </c>
      <c r="T5" s="5">
        <f t="shared" si="7"/>
        <v>7.977443845417484E-2</v>
      </c>
      <c r="U5" s="5">
        <f t="shared" si="8"/>
        <v>8.7074722341604224E-2</v>
      </c>
      <c r="V5" s="5">
        <f t="shared" si="9"/>
        <v>-0.70832755972980088</v>
      </c>
      <c r="W5" s="5">
        <f t="shared" si="10"/>
        <v>0.3895547355705582</v>
      </c>
      <c r="X5" s="5">
        <f t="shared" si="11"/>
        <v>0.34112748995075981</v>
      </c>
      <c r="Y5" s="5">
        <f t="shared" si="12"/>
        <v>1.5996726037502638</v>
      </c>
      <c r="Z5" s="12">
        <f t="shared" si="13"/>
        <v>4.5205550599332014</v>
      </c>
      <c r="AA5" s="12">
        <f t="shared" si="14"/>
        <v>0.22350470274485842</v>
      </c>
      <c r="AB5" s="12">
        <f t="shared" si="15"/>
        <v>5.8518612919311673E-2</v>
      </c>
      <c r="AC5" s="1">
        <f t="shared" si="16"/>
        <v>3.2619436920268731E-3</v>
      </c>
      <c r="AD5" s="1">
        <f t="shared" si="17"/>
        <v>-1.9226387460858428E-8</v>
      </c>
      <c r="AE5" s="12">
        <f t="shared" si="18"/>
        <v>0.81642397642269393</v>
      </c>
      <c r="AF5" s="5">
        <f t="shared" si="19"/>
        <v>0</v>
      </c>
      <c r="AG5" s="5">
        <f t="shared" si="20"/>
        <v>0</v>
      </c>
      <c r="AH5" s="5">
        <f t="shared" si="21"/>
        <v>0</v>
      </c>
      <c r="AI5" s="5">
        <f t="shared" si="22"/>
        <v>0</v>
      </c>
      <c r="AJ5" s="5">
        <f t="shared" si="23"/>
        <v>4.835671083748335E-11</v>
      </c>
      <c r="AK5" s="5" t="e">
        <f t="shared" si="24"/>
        <v>#NUM!</v>
      </c>
      <c r="AL5" s="5">
        <f t="shared" si="25"/>
        <v>8.3726530120245891E-9</v>
      </c>
      <c r="AM5" s="5">
        <f t="shared" si="26"/>
        <v>5.8987903845751964E-9</v>
      </c>
      <c r="AN5" s="13">
        <f t="shared" si="27"/>
        <v>0</v>
      </c>
      <c r="AO5" s="13">
        <f t="shared" si="28"/>
        <v>0</v>
      </c>
      <c r="AP5" s="13">
        <f t="shared" si="29"/>
        <v>0</v>
      </c>
      <c r="AQ5" s="13">
        <f t="shared" si="30"/>
        <v>0</v>
      </c>
      <c r="AR5" s="13">
        <f t="shared" si="31"/>
        <v>3.9959967277173522E-12</v>
      </c>
      <c r="AS5" s="13" t="e">
        <f t="shared" si="32"/>
        <v>#NUM!</v>
      </c>
      <c r="AT5" s="13">
        <f t="shared" si="33"/>
        <v>6.918810948661353E-10</v>
      </c>
      <c r="AU5" s="14">
        <f t="shared" si="34"/>
        <v>4.8745141400274382E-10</v>
      </c>
    </row>
    <row r="6" spans="1:47" x14ac:dyDescent="0.35">
      <c r="A6" s="5">
        <v>7.4999999999999997E-2</v>
      </c>
      <c r="B6" s="5">
        <v>0.02</v>
      </c>
      <c r="C6" s="5">
        <f t="shared" si="0"/>
        <v>0.15</v>
      </c>
      <c r="D6" s="5">
        <v>9.81</v>
      </c>
      <c r="E6" s="5">
        <v>1000</v>
      </c>
      <c r="F6" s="5">
        <v>2650</v>
      </c>
      <c r="G6" s="5">
        <v>1.65</v>
      </c>
      <c r="H6" s="5">
        <v>9.9999999999999995E-7</v>
      </c>
      <c r="I6" s="12"/>
      <c r="J6" s="12"/>
      <c r="K6" s="12"/>
      <c r="L6" s="12">
        <f t="shared" si="35"/>
        <v>20.970261463567844</v>
      </c>
      <c r="M6" s="5">
        <f t="shared" si="1"/>
        <v>0.10688206658291459</v>
      </c>
      <c r="N6" s="5">
        <f t="shared" si="2"/>
        <v>8.6369346733668369E-3</v>
      </c>
      <c r="O6" s="12">
        <f t="shared" si="3"/>
        <v>1.7273869346733674E-2</v>
      </c>
      <c r="P6" s="5">
        <f t="shared" si="4"/>
        <v>1897.1962050160116</v>
      </c>
      <c r="Q6" s="5">
        <v>4.7E-2</v>
      </c>
      <c r="R6" s="5">
        <f t="shared" si="5"/>
        <v>5.5131715547597548E-2</v>
      </c>
      <c r="S6" s="5">
        <f t="shared" si="6"/>
        <v>5.6000000000000001E-2</v>
      </c>
      <c r="T6" s="5">
        <f t="shared" si="7"/>
        <v>7.977443845417484E-2</v>
      </c>
      <c r="U6" s="5">
        <f t="shared" si="8"/>
        <v>8.7074722341604224E-2</v>
      </c>
      <c r="V6" s="5">
        <f t="shared" si="9"/>
        <v>-0.68667999580349703</v>
      </c>
      <c r="W6" s="5">
        <f t="shared" si="10"/>
        <v>0.3895547355705582</v>
      </c>
      <c r="X6" s="5">
        <f t="shared" si="11"/>
        <v>0.34112748995075981</v>
      </c>
      <c r="Y6" s="5">
        <f t="shared" si="12"/>
        <v>1.7108856764379015</v>
      </c>
      <c r="Z6" s="12">
        <f t="shared" si="13"/>
        <v>4.5205550599332014</v>
      </c>
      <c r="AA6" s="12">
        <f t="shared" si="14"/>
        <v>0.24775527683283186</v>
      </c>
      <c r="AB6" s="12">
        <f t="shared" si="15"/>
        <v>5.8518612919311673E-2</v>
      </c>
      <c r="AC6" s="1">
        <f t="shared" si="16"/>
        <v>3.8842344523962883E-3</v>
      </c>
      <c r="AD6" s="1">
        <f t="shared" si="17"/>
        <v>-2.084573122597849E-12</v>
      </c>
      <c r="AE6" s="12">
        <f t="shared" si="18"/>
        <v>0.81642397642269393</v>
      </c>
      <c r="AF6" s="5">
        <f t="shared" si="19"/>
        <v>0</v>
      </c>
      <c r="AG6" s="5">
        <f t="shared" si="20"/>
        <v>0</v>
      </c>
      <c r="AH6" s="5">
        <f t="shared" si="21"/>
        <v>0</v>
      </c>
      <c r="AI6" s="5">
        <f t="shared" si="22"/>
        <v>0</v>
      </c>
      <c r="AJ6" s="5">
        <f t="shared" si="23"/>
        <v>2.5945208831135594E-10</v>
      </c>
      <c r="AK6" s="5" t="e">
        <f t="shared" si="24"/>
        <v>#NUM!</v>
      </c>
      <c r="AL6" s="5">
        <f t="shared" si="25"/>
        <v>1.3333708945655581E-8</v>
      </c>
      <c r="AM6" s="5">
        <f t="shared" si="26"/>
        <v>9.3941011340472127E-9</v>
      </c>
      <c r="AN6" s="13">
        <f t="shared" si="27"/>
        <v>0</v>
      </c>
      <c r="AO6" s="13">
        <f t="shared" si="28"/>
        <v>0</v>
      </c>
      <c r="AP6" s="13">
        <f t="shared" si="29"/>
        <v>0</v>
      </c>
      <c r="AQ6" s="13">
        <f t="shared" si="30"/>
        <v>0</v>
      </c>
      <c r="AR6" s="13">
        <f t="shared" si="31"/>
        <v>2.1440037544653831E-11</v>
      </c>
      <c r="AS6" s="13" t="e">
        <f t="shared" si="32"/>
        <v>#NUM!</v>
      </c>
      <c r="AT6" s="13">
        <f t="shared" si="33"/>
        <v>1.1018420482369648E-9</v>
      </c>
      <c r="AU6" s="14">
        <f t="shared" si="34"/>
        <v>7.7628930382917208E-10</v>
      </c>
    </row>
    <row r="7" spans="1:47" x14ac:dyDescent="0.35">
      <c r="A7" s="5">
        <v>7.4999999999999997E-2</v>
      </c>
      <c r="B7" s="5">
        <v>0.02</v>
      </c>
      <c r="C7" s="5">
        <f t="shared" si="0"/>
        <v>0.15</v>
      </c>
      <c r="D7" s="5">
        <v>9.81</v>
      </c>
      <c r="E7" s="5">
        <v>1000</v>
      </c>
      <c r="F7" s="5">
        <v>2650</v>
      </c>
      <c r="G7" s="5">
        <v>1.65</v>
      </c>
      <c r="H7" s="5">
        <v>9.9999999999999995E-7</v>
      </c>
      <c r="I7" s="12"/>
      <c r="J7" s="12"/>
      <c r="K7" s="12"/>
      <c r="L7" s="12">
        <f t="shared" si="35"/>
        <v>22.419115891959805</v>
      </c>
      <c r="M7" s="5">
        <f t="shared" si="1"/>
        <v>0.11426664572864324</v>
      </c>
      <c r="N7" s="5">
        <f t="shared" si="2"/>
        <v>9.2336683417085456E-3</v>
      </c>
      <c r="O7" s="12">
        <f t="shared" si="3"/>
        <v>1.8467336683417091E-2</v>
      </c>
      <c r="P7" s="5">
        <f t="shared" si="4"/>
        <v>1897.1962050160116</v>
      </c>
      <c r="Q7" s="5">
        <v>4.7E-2</v>
      </c>
      <c r="R7" s="5">
        <f t="shared" si="5"/>
        <v>5.5131715547597548E-2</v>
      </c>
      <c r="S7" s="5">
        <f t="shared" si="6"/>
        <v>5.6000000000000001E-2</v>
      </c>
      <c r="T7" s="5">
        <f t="shared" si="7"/>
        <v>7.977443845417484E-2</v>
      </c>
      <c r="U7" s="5">
        <f t="shared" si="8"/>
        <v>8.7074722341604224E-2</v>
      </c>
      <c r="V7" s="5">
        <f t="shared" si="9"/>
        <v>-0.66503243187719319</v>
      </c>
      <c r="W7" s="5">
        <f t="shared" si="10"/>
        <v>0.3895547355705582</v>
      </c>
      <c r="X7" s="5">
        <f t="shared" si="11"/>
        <v>0.34112748995075981</v>
      </c>
      <c r="Y7" s="5">
        <f t="shared" si="12"/>
        <v>1.8207937320212688</v>
      </c>
      <c r="Z7" s="12">
        <f t="shared" si="13"/>
        <v>4.5205550599332014</v>
      </c>
      <c r="AA7" s="12">
        <f t="shared" si="14"/>
        <v>0.27262770689757959</v>
      </c>
      <c r="AB7" s="12">
        <f t="shared" si="15"/>
        <v>5.8518612919311673E-2</v>
      </c>
      <c r="AC7" s="1">
        <f t="shared" si="16"/>
        <v>4.5694838864873662E-3</v>
      </c>
      <c r="AD7" s="1">
        <f t="shared" si="17"/>
        <v>4.3222815630848029E-15</v>
      </c>
      <c r="AE7" s="12">
        <f t="shared" si="18"/>
        <v>0.81642397642269393</v>
      </c>
      <c r="AF7" s="5">
        <f t="shared" si="19"/>
        <v>0</v>
      </c>
      <c r="AG7" s="5">
        <f t="shared" si="20"/>
        <v>0</v>
      </c>
      <c r="AH7" s="5">
        <f t="shared" si="21"/>
        <v>0</v>
      </c>
      <c r="AI7" s="5">
        <f t="shared" si="22"/>
        <v>0</v>
      </c>
      <c r="AJ7" s="5">
        <f t="shared" si="23"/>
        <v>1.1203545789317625E-9</v>
      </c>
      <c r="AK7" s="5" t="e">
        <f t="shared" si="24"/>
        <v>#NUM!</v>
      </c>
      <c r="AL7" s="5">
        <f t="shared" si="25"/>
        <v>2.0583907964347107E-8</v>
      </c>
      <c r="AM7" s="5">
        <f t="shared" si="26"/>
        <v>1.4502320273780842E-8</v>
      </c>
      <c r="AN7" s="13">
        <f t="shared" si="27"/>
        <v>0</v>
      </c>
      <c r="AO7" s="13">
        <f t="shared" si="28"/>
        <v>0</v>
      </c>
      <c r="AP7" s="13">
        <f t="shared" si="29"/>
        <v>0</v>
      </c>
      <c r="AQ7" s="13">
        <f t="shared" si="30"/>
        <v>0</v>
      </c>
      <c r="AR7" s="13">
        <f t="shared" si="31"/>
        <v>9.2581425695814968E-11</v>
      </c>
      <c r="AS7" s="13" t="e">
        <f t="shared" si="32"/>
        <v>#NUM!</v>
      </c>
      <c r="AT7" s="13">
        <f t="shared" si="33"/>
        <v>1.7009682305647678E-9</v>
      </c>
      <c r="AU7" s="14">
        <f t="shared" si="34"/>
        <v>1.198411210247509E-9</v>
      </c>
    </row>
    <row r="8" spans="1:47" x14ac:dyDescent="0.35">
      <c r="A8" s="5">
        <v>7.4999999999999997E-2</v>
      </c>
      <c r="B8" s="5">
        <v>0.02</v>
      </c>
      <c r="C8" s="5">
        <f t="shared" si="0"/>
        <v>0.15</v>
      </c>
      <c r="D8" s="5">
        <v>9.81</v>
      </c>
      <c r="E8" s="5">
        <v>1000</v>
      </c>
      <c r="F8" s="5">
        <v>2650</v>
      </c>
      <c r="G8" s="5">
        <v>1.65</v>
      </c>
      <c r="H8" s="5">
        <v>9.9999999999999995E-7</v>
      </c>
      <c r="I8" s="12"/>
      <c r="J8" s="12"/>
      <c r="K8" s="12"/>
      <c r="L8" s="12">
        <f t="shared" si="35"/>
        <v>23.867970320351766</v>
      </c>
      <c r="M8" s="5">
        <f t="shared" si="1"/>
        <v>0.12165122487437188</v>
      </c>
      <c r="N8" s="5">
        <f t="shared" si="2"/>
        <v>9.8304020100502543E-3</v>
      </c>
      <c r="O8" s="12">
        <f t="shared" si="3"/>
        <v>1.9660804020100509E-2</v>
      </c>
      <c r="P8" s="5">
        <f t="shared" si="4"/>
        <v>1897.1962050160116</v>
      </c>
      <c r="Q8" s="5">
        <v>4.7E-2</v>
      </c>
      <c r="R8" s="5">
        <f t="shared" si="5"/>
        <v>5.5131715547597548E-2</v>
      </c>
      <c r="S8" s="5">
        <f t="shared" si="6"/>
        <v>5.6000000000000001E-2</v>
      </c>
      <c r="T8" s="5">
        <f t="shared" si="7"/>
        <v>7.977443845417484E-2</v>
      </c>
      <c r="U8" s="5">
        <f t="shared" si="8"/>
        <v>8.7074722341604224E-2</v>
      </c>
      <c r="V8" s="5">
        <f t="shared" si="9"/>
        <v>-0.64338486795088934</v>
      </c>
      <c r="W8" s="5">
        <f t="shared" si="10"/>
        <v>0.3895547355705582</v>
      </c>
      <c r="X8" s="5">
        <f t="shared" si="11"/>
        <v>0.34112748995075981</v>
      </c>
      <c r="Y8" s="5">
        <f t="shared" si="12"/>
        <v>1.9293671534879562</v>
      </c>
      <c r="Z8" s="12">
        <f t="shared" si="13"/>
        <v>4.5205550599332014</v>
      </c>
      <c r="AA8" s="12">
        <f t="shared" si="14"/>
        <v>0.29807299076711768</v>
      </c>
      <c r="AB8" s="12">
        <f t="shared" si="15"/>
        <v>5.8518612919311673E-2</v>
      </c>
      <c r="AC8" s="1">
        <f t="shared" si="16"/>
        <v>5.3188383545004674E-3</v>
      </c>
      <c r="AD8" s="1">
        <f t="shared" si="17"/>
        <v>4.1800692022545404E-10</v>
      </c>
      <c r="AE8" s="12">
        <f t="shared" si="18"/>
        <v>0.81642397642269393</v>
      </c>
      <c r="AF8" s="5">
        <f t="shared" si="19"/>
        <v>0</v>
      </c>
      <c r="AG8" s="5">
        <f t="shared" si="20"/>
        <v>0</v>
      </c>
      <c r="AH8" s="5">
        <f t="shared" si="21"/>
        <v>0</v>
      </c>
      <c r="AI8" s="5">
        <f t="shared" si="22"/>
        <v>0</v>
      </c>
      <c r="AJ8" s="5">
        <f t="shared" si="23"/>
        <v>4.0506521193912395E-9</v>
      </c>
      <c r="AK8" s="5" t="e">
        <f t="shared" si="24"/>
        <v>#NUM!</v>
      </c>
      <c r="AL8" s="5">
        <f t="shared" si="25"/>
        <v>3.0923325549600576E-8</v>
      </c>
      <c r="AM8" s="5">
        <f t="shared" si="26"/>
        <v>2.1787249546705314E-8</v>
      </c>
      <c r="AN8" s="13">
        <f t="shared" si="27"/>
        <v>0</v>
      </c>
      <c r="AO8" s="13">
        <f t="shared" si="28"/>
        <v>0</v>
      </c>
      <c r="AP8" s="13">
        <f t="shared" si="29"/>
        <v>0</v>
      </c>
      <c r="AQ8" s="13">
        <f t="shared" si="30"/>
        <v>0</v>
      </c>
      <c r="AR8" s="13">
        <f t="shared" si="31"/>
        <v>3.3472898246962625E-10</v>
      </c>
      <c r="AS8" s="13" t="e">
        <f t="shared" si="32"/>
        <v>#NUM!</v>
      </c>
      <c r="AT8" s="13">
        <f t="shared" si="33"/>
        <v>2.555374539877892E-9</v>
      </c>
      <c r="AU8" s="14">
        <f t="shared" si="34"/>
        <v>1.8004073558102818E-9</v>
      </c>
    </row>
    <row r="9" spans="1:47" x14ac:dyDescent="0.35">
      <c r="A9" s="5">
        <v>7.4999999999999997E-2</v>
      </c>
      <c r="B9" s="5">
        <v>0.02</v>
      </c>
      <c r="C9" s="5">
        <f t="shared" si="0"/>
        <v>0.15</v>
      </c>
      <c r="D9" s="5">
        <v>9.81</v>
      </c>
      <c r="E9" s="5">
        <v>1000</v>
      </c>
      <c r="F9" s="5">
        <v>2650</v>
      </c>
      <c r="G9" s="5">
        <v>1.65</v>
      </c>
      <c r="H9" s="5">
        <v>9.9999999999999995E-7</v>
      </c>
      <c r="I9" s="12"/>
      <c r="J9" s="12"/>
      <c r="K9" s="12"/>
      <c r="L9" s="12">
        <f t="shared" si="35"/>
        <v>25.316824748743727</v>
      </c>
      <c r="M9" s="5">
        <f t="shared" si="1"/>
        <v>0.12903580402010054</v>
      </c>
      <c r="N9" s="5">
        <f t="shared" si="2"/>
        <v>1.0427135678391963E-2</v>
      </c>
      <c r="O9" s="12">
        <f t="shared" si="3"/>
        <v>2.0854271356783926E-2</v>
      </c>
      <c r="P9" s="5">
        <f t="shared" si="4"/>
        <v>1897.1962050160116</v>
      </c>
      <c r="Q9" s="5">
        <v>4.7E-2</v>
      </c>
      <c r="R9" s="5">
        <f t="shared" si="5"/>
        <v>5.5131715547597548E-2</v>
      </c>
      <c r="S9" s="5">
        <f t="shared" si="6"/>
        <v>5.6000000000000001E-2</v>
      </c>
      <c r="T9" s="5">
        <f t="shared" si="7"/>
        <v>7.977443845417484E-2</v>
      </c>
      <c r="U9" s="5">
        <f t="shared" si="8"/>
        <v>8.7074722341604224E-2</v>
      </c>
      <c r="V9" s="5">
        <f t="shared" si="9"/>
        <v>-0.62173730402458549</v>
      </c>
      <c r="W9" s="5">
        <f t="shared" si="10"/>
        <v>0.3895547355705582</v>
      </c>
      <c r="X9" s="5">
        <f t="shared" si="11"/>
        <v>0.34112748995075981</v>
      </c>
      <c r="Y9" s="5">
        <f t="shared" si="12"/>
        <v>2.0365804870254376</v>
      </c>
      <c r="Z9" s="12">
        <f t="shared" si="13"/>
        <v>4.5205550599332014</v>
      </c>
      <c r="AA9" s="12">
        <f t="shared" si="14"/>
        <v>0.324045650126771</v>
      </c>
      <c r="AB9" s="12">
        <f t="shared" si="15"/>
        <v>5.8518612919311673E-2</v>
      </c>
      <c r="AC9" s="1">
        <f t="shared" si="16"/>
        <v>6.1332985995665315E-3</v>
      </c>
      <c r="AD9" s="1">
        <f t="shared" si="17"/>
        <v>3.3619536693102467E-8</v>
      </c>
      <c r="AE9" s="12">
        <f t="shared" si="18"/>
        <v>0.81642397642269393</v>
      </c>
      <c r="AF9" s="5">
        <f t="shared" si="19"/>
        <v>0</v>
      </c>
      <c r="AG9" s="5">
        <f t="shared" si="20"/>
        <v>0</v>
      </c>
      <c r="AH9" s="5">
        <f t="shared" si="21"/>
        <v>0</v>
      </c>
      <c r="AI9" s="5">
        <f t="shared" si="22"/>
        <v>0</v>
      </c>
      <c r="AJ9" s="5">
        <f t="shared" si="23"/>
        <v>1.2641759801526113E-8</v>
      </c>
      <c r="AK9" s="5" t="e">
        <f t="shared" si="24"/>
        <v>#NUM!</v>
      </c>
      <c r="AL9" s="5">
        <f t="shared" si="25"/>
        <v>4.5354348102195639E-8</v>
      </c>
      <c r="AM9" s="5">
        <f t="shared" si="26"/>
        <v>3.1955307926221964E-8</v>
      </c>
      <c r="AN9" s="13">
        <f t="shared" si="27"/>
        <v>0</v>
      </c>
      <c r="AO9" s="13">
        <f t="shared" si="28"/>
        <v>0</v>
      </c>
      <c r="AP9" s="13">
        <f t="shared" si="29"/>
        <v>0</v>
      </c>
      <c r="AQ9" s="13">
        <f t="shared" si="30"/>
        <v>0</v>
      </c>
      <c r="AR9" s="13">
        <f t="shared" si="31"/>
        <v>1.0446622593762036E-9</v>
      </c>
      <c r="AS9" s="13" t="e">
        <f t="shared" si="32"/>
        <v>#NUM!</v>
      </c>
      <c r="AT9" s="13">
        <f t="shared" si="33"/>
        <v>3.7478940040653851E-9</v>
      </c>
      <c r="AU9" s="14">
        <f t="shared" si="34"/>
        <v>2.6406532556677284E-9</v>
      </c>
    </row>
    <row r="10" spans="1:47" x14ac:dyDescent="0.35">
      <c r="A10" s="5">
        <v>7.4999999999999997E-2</v>
      </c>
      <c r="B10" s="5">
        <v>0.02</v>
      </c>
      <c r="C10" s="5">
        <f t="shared" si="0"/>
        <v>0.15</v>
      </c>
      <c r="D10" s="5">
        <v>9.81</v>
      </c>
      <c r="E10" s="5">
        <v>1000</v>
      </c>
      <c r="F10" s="5">
        <v>2650</v>
      </c>
      <c r="G10" s="5">
        <v>1.65</v>
      </c>
      <c r="H10" s="5">
        <v>9.9999999999999995E-7</v>
      </c>
      <c r="I10" s="12"/>
      <c r="J10" s="12"/>
      <c r="K10" s="12"/>
      <c r="L10" s="12">
        <f t="shared" si="35"/>
        <v>26.765679177135688</v>
      </c>
      <c r="M10" s="5">
        <f t="shared" si="1"/>
        <v>0.13642038316582919</v>
      </c>
      <c r="N10" s="5">
        <f t="shared" si="2"/>
        <v>1.1023869346733673E-2</v>
      </c>
      <c r="O10" s="12">
        <f t="shared" si="3"/>
        <v>2.2047738693467347E-2</v>
      </c>
      <c r="P10" s="5">
        <f t="shared" si="4"/>
        <v>1897.1962050160116</v>
      </c>
      <c r="Q10" s="5">
        <v>4.7E-2</v>
      </c>
      <c r="R10" s="5">
        <f t="shared" si="5"/>
        <v>5.5131715547597548E-2</v>
      </c>
      <c r="S10" s="5">
        <f t="shared" si="6"/>
        <v>5.6000000000000001E-2</v>
      </c>
      <c r="T10" s="5">
        <f t="shared" si="7"/>
        <v>7.977443845417484E-2</v>
      </c>
      <c r="U10" s="5">
        <f t="shared" si="8"/>
        <v>8.7074722341604224E-2</v>
      </c>
      <c r="V10" s="5">
        <f t="shared" si="9"/>
        <v>-0.60008974009828164</v>
      </c>
      <c r="W10" s="5">
        <f t="shared" si="10"/>
        <v>0.3895547355705582</v>
      </c>
      <c r="X10" s="5">
        <f t="shared" si="11"/>
        <v>0.34112748995075981</v>
      </c>
      <c r="Y10" s="5">
        <f t="shared" si="12"/>
        <v>2.1424121882303333</v>
      </c>
      <c r="Z10" s="12">
        <f t="shared" si="13"/>
        <v>4.5205550599332014</v>
      </c>
      <c r="AA10" s="12">
        <f t="shared" si="14"/>
        <v>0.3505033429294182</v>
      </c>
      <c r="AB10" s="12">
        <f t="shared" si="15"/>
        <v>5.8518612919311673E-2</v>
      </c>
      <c r="AC10" s="1">
        <f t="shared" si="16"/>
        <v>7.0137310768817827E-3</v>
      </c>
      <c r="AD10" s="1">
        <f t="shared" si="17"/>
        <v>4.6506704348380567E-7</v>
      </c>
      <c r="AE10" s="12">
        <f t="shared" si="18"/>
        <v>0.81642397642269393</v>
      </c>
      <c r="AF10" s="5">
        <f t="shared" si="19"/>
        <v>0</v>
      </c>
      <c r="AG10" s="5">
        <f t="shared" si="20"/>
        <v>0</v>
      </c>
      <c r="AH10" s="5">
        <f t="shared" si="21"/>
        <v>0</v>
      </c>
      <c r="AI10" s="5">
        <f t="shared" si="22"/>
        <v>0</v>
      </c>
      <c r="AJ10" s="5">
        <f t="shared" si="23"/>
        <v>3.4880126163014124E-8</v>
      </c>
      <c r="AK10" s="5" t="e">
        <f t="shared" si="24"/>
        <v>#NUM!</v>
      </c>
      <c r="AL10" s="5">
        <f t="shared" si="25"/>
        <v>6.5115750003738517E-8</v>
      </c>
      <c r="AM10" s="5">
        <f t="shared" si="26"/>
        <v>4.587958266520512E-8</v>
      </c>
      <c r="AN10" s="13">
        <f t="shared" si="27"/>
        <v>0</v>
      </c>
      <c r="AO10" s="13">
        <f t="shared" si="28"/>
        <v>0</v>
      </c>
      <c r="AP10" s="13">
        <f t="shared" si="29"/>
        <v>0</v>
      </c>
      <c r="AQ10" s="13">
        <f t="shared" si="30"/>
        <v>0</v>
      </c>
      <c r="AR10" s="13">
        <f t="shared" si="31"/>
        <v>2.8823480256587835E-9</v>
      </c>
      <c r="AS10" s="13" t="e">
        <f t="shared" si="32"/>
        <v>#NUM!</v>
      </c>
      <c r="AT10" s="13">
        <f t="shared" si="33"/>
        <v>5.3808937669951358E-9</v>
      </c>
      <c r="AU10" s="14">
        <f t="shared" si="34"/>
        <v>3.7912971958607016E-9</v>
      </c>
    </row>
    <row r="11" spans="1:47" x14ac:dyDescent="0.35">
      <c r="A11" s="5">
        <v>7.4999999999999997E-2</v>
      </c>
      <c r="B11" s="5">
        <v>0.02</v>
      </c>
      <c r="C11" s="5">
        <f t="shared" si="0"/>
        <v>0.15</v>
      </c>
      <c r="D11" s="5">
        <v>9.81</v>
      </c>
      <c r="E11" s="5">
        <v>1000</v>
      </c>
      <c r="F11" s="5">
        <v>2650</v>
      </c>
      <c r="G11" s="5">
        <v>1.65</v>
      </c>
      <c r="H11" s="5">
        <v>9.9999999999999995E-7</v>
      </c>
      <c r="I11" s="12"/>
      <c r="J11" s="12"/>
      <c r="K11" s="12"/>
      <c r="L11" s="12">
        <f t="shared" si="35"/>
        <v>28.214533605527649</v>
      </c>
      <c r="M11" s="5">
        <f t="shared" si="1"/>
        <v>0.14380496231155784</v>
      </c>
      <c r="N11" s="5">
        <f t="shared" si="2"/>
        <v>1.1620603015075382E-2</v>
      </c>
      <c r="O11" s="12">
        <f t="shared" si="3"/>
        <v>2.3241206030150764E-2</v>
      </c>
      <c r="P11" s="5">
        <f t="shared" si="4"/>
        <v>1897.1962050160116</v>
      </c>
      <c r="Q11" s="5">
        <v>4.7E-2</v>
      </c>
      <c r="R11" s="5">
        <f t="shared" si="5"/>
        <v>5.5131715547597548E-2</v>
      </c>
      <c r="S11" s="5">
        <f t="shared" si="6"/>
        <v>5.6000000000000001E-2</v>
      </c>
      <c r="T11" s="5">
        <f t="shared" si="7"/>
        <v>7.977443845417484E-2</v>
      </c>
      <c r="U11" s="5">
        <f t="shared" si="8"/>
        <v>8.7074722341604224E-2</v>
      </c>
      <c r="V11" s="5">
        <f t="shared" si="9"/>
        <v>-0.5784421761719778</v>
      </c>
      <c r="W11" s="5">
        <f t="shared" si="10"/>
        <v>0.3895547355705582</v>
      </c>
      <c r="X11" s="5">
        <f t="shared" si="11"/>
        <v>0.34112748995075981</v>
      </c>
      <c r="Y11" s="5">
        <f t="shared" si="12"/>
        <v>2.2468443798768525</v>
      </c>
      <c r="Z11" s="12">
        <f t="shared" si="13"/>
        <v>4.5205550599332014</v>
      </c>
      <c r="AA11" s="12">
        <f t="shared" si="14"/>
        <v>0.37740654838187632</v>
      </c>
      <c r="AB11" s="12">
        <f t="shared" si="15"/>
        <v>5.8518612919311673E-2</v>
      </c>
      <c r="AC11" s="1">
        <f t="shared" si="16"/>
        <v>7.9608782947444348E-3</v>
      </c>
      <c r="AD11" s="1">
        <f t="shared" si="17"/>
        <v>2.8670959680514075E-6</v>
      </c>
      <c r="AE11" s="12">
        <f t="shared" si="18"/>
        <v>0.81642397642269393</v>
      </c>
      <c r="AF11" s="5">
        <f t="shared" si="19"/>
        <v>0</v>
      </c>
      <c r="AG11" s="5">
        <f t="shared" si="20"/>
        <v>0</v>
      </c>
      <c r="AH11" s="5">
        <f t="shared" si="21"/>
        <v>0</v>
      </c>
      <c r="AI11" s="5">
        <f t="shared" si="22"/>
        <v>0</v>
      </c>
      <c r="AJ11" s="5">
        <f t="shared" si="23"/>
        <v>8.6712206397101588E-8</v>
      </c>
      <c r="AK11" s="5" t="e">
        <f t="shared" si="24"/>
        <v>#NUM!</v>
      </c>
      <c r="AL11" s="5">
        <f t="shared" si="25"/>
        <v>9.1719955474137001E-8</v>
      </c>
      <c r="AM11" s="5">
        <f t="shared" si="26"/>
        <v>6.4626141109326669E-8</v>
      </c>
      <c r="AN11" s="13">
        <f t="shared" si="27"/>
        <v>0</v>
      </c>
      <c r="AO11" s="13">
        <f t="shared" si="28"/>
        <v>0</v>
      </c>
      <c r="AP11" s="13">
        <f t="shared" si="29"/>
        <v>0</v>
      </c>
      <c r="AQ11" s="13">
        <f t="shared" si="30"/>
        <v>0</v>
      </c>
      <c r="AR11" s="13">
        <f t="shared" si="31"/>
        <v>7.1655347730429449E-9</v>
      </c>
      <c r="AS11" s="13" t="e">
        <f t="shared" si="32"/>
        <v>#NUM!</v>
      </c>
      <c r="AT11" s="13">
        <f t="shared" si="33"/>
        <v>7.5793542528730704E-9</v>
      </c>
      <c r="AU11" s="14">
        <f t="shared" si="34"/>
        <v>5.3404345317401498E-9</v>
      </c>
    </row>
    <row r="12" spans="1:47" x14ac:dyDescent="0.35">
      <c r="A12" s="5">
        <v>7.4999999999999997E-2</v>
      </c>
      <c r="B12" s="5">
        <v>0.02</v>
      </c>
      <c r="C12" s="5">
        <f t="shared" si="0"/>
        <v>0.15</v>
      </c>
      <c r="D12" s="5">
        <v>9.81</v>
      </c>
      <c r="E12" s="5">
        <v>1000</v>
      </c>
      <c r="F12" s="5">
        <v>2650</v>
      </c>
      <c r="G12" s="5">
        <v>1.65</v>
      </c>
      <c r="H12" s="5">
        <v>9.9999999999999995E-7</v>
      </c>
      <c r="I12" s="12"/>
      <c r="J12" s="12"/>
      <c r="K12" s="12"/>
      <c r="L12" s="12">
        <f t="shared" si="35"/>
        <v>29.66338803391961</v>
      </c>
      <c r="M12" s="5">
        <f t="shared" si="1"/>
        <v>0.15118954145728647</v>
      </c>
      <c r="N12" s="5">
        <f t="shared" si="2"/>
        <v>1.2217336683417091E-2</v>
      </c>
      <c r="O12" s="12">
        <f t="shared" si="3"/>
        <v>2.4434673366834182E-2</v>
      </c>
      <c r="P12" s="5">
        <f t="shared" si="4"/>
        <v>1897.1962050160116</v>
      </c>
      <c r="Q12" s="5">
        <v>4.7E-2</v>
      </c>
      <c r="R12" s="5">
        <f t="shared" si="5"/>
        <v>5.5131715547597548E-2</v>
      </c>
      <c r="S12" s="5">
        <f t="shared" si="6"/>
        <v>5.6000000000000001E-2</v>
      </c>
      <c r="T12" s="5">
        <f t="shared" si="7"/>
        <v>7.977443845417484E-2</v>
      </c>
      <c r="U12" s="5">
        <f t="shared" si="8"/>
        <v>8.7074722341604224E-2</v>
      </c>
      <c r="V12" s="5">
        <f t="shared" si="9"/>
        <v>-0.55679461224567395</v>
      </c>
      <c r="W12" s="5">
        <f t="shared" si="10"/>
        <v>0.3895547355705582</v>
      </c>
      <c r="X12" s="5">
        <f t="shared" si="11"/>
        <v>0.34112748995075981</v>
      </c>
      <c r="Y12" s="5">
        <f t="shared" si="12"/>
        <v>2.3498626198911934</v>
      </c>
      <c r="Z12" s="12">
        <f t="shared" si="13"/>
        <v>4.5205550599332014</v>
      </c>
      <c r="AA12" s="12">
        <f t="shared" si="14"/>
        <v>0.4047183066376307</v>
      </c>
      <c r="AB12" s="12">
        <f t="shared" si="15"/>
        <v>5.8518612919311673E-2</v>
      </c>
      <c r="AC12" s="1">
        <f t="shared" si="16"/>
        <v>8.9753683214927361E-3</v>
      </c>
      <c r="AD12" s="1">
        <f t="shared" si="17"/>
        <v>1.1151842846592496E-5</v>
      </c>
      <c r="AE12" s="12">
        <f t="shared" si="18"/>
        <v>0.81642397642269393</v>
      </c>
      <c r="AF12" s="5">
        <f t="shared" si="19"/>
        <v>0</v>
      </c>
      <c r="AG12" s="5">
        <f t="shared" si="20"/>
        <v>0</v>
      </c>
      <c r="AH12" s="5">
        <f t="shared" si="21"/>
        <v>0</v>
      </c>
      <c r="AI12" s="5">
        <f t="shared" si="22"/>
        <v>0</v>
      </c>
      <c r="AJ12" s="5">
        <f t="shared" si="23"/>
        <v>1.9721831844851379E-7</v>
      </c>
      <c r="AK12" s="5" t="e">
        <f t="shared" si="24"/>
        <v>#NUM!</v>
      </c>
      <c r="AL12" s="5">
        <f t="shared" si="25"/>
        <v>1.2699355833823221E-7</v>
      </c>
      <c r="AM12" s="5">
        <f t="shared" si="26"/>
        <v>8.9482659895677879E-8</v>
      </c>
      <c r="AN12" s="13">
        <f t="shared" si="27"/>
        <v>0</v>
      </c>
      <c r="AO12" s="13">
        <f t="shared" si="28"/>
        <v>0</v>
      </c>
      <c r="AP12" s="13">
        <f t="shared" si="29"/>
        <v>0</v>
      </c>
      <c r="AQ12" s="13">
        <f t="shared" si="30"/>
        <v>0</v>
      </c>
      <c r="AR12" s="13">
        <f t="shared" si="31"/>
        <v>1.6297298586224405E-8</v>
      </c>
      <c r="AS12" s="13" t="e">
        <f t="shared" si="32"/>
        <v>#NUM!</v>
      </c>
      <c r="AT12" s="13">
        <f t="shared" si="33"/>
        <v>1.0494217550615542E-8</v>
      </c>
      <c r="AU12" s="14">
        <f t="shared" si="34"/>
        <v>7.3944734854340818E-9</v>
      </c>
    </row>
    <row r="13" spans="1:47" x14ac:dyDescent="0.35">
      <c r="A13" s="5">
        <v>7.4999999999999997E-2</v>
      </c>
      <c r="B13" s="5">
        <v>0.02</v>
      </c>
      <c r="C13" s="5">
        <f t="shared" si="0"/>
        <v>0.15</v>
      </c>
      <c r="D13" s="5">
        <v>9.81</v>
      </c>
      <c r="E13" s="5">
        <v>1000</v>
      </c>
      <c r="F13" s="5">
        <v>2650</v>
      </c>
      <c r="G13" s="5">
        <v>1.65</v>
      </c>
      <c r="H13" s="5">
        <v>9.9999999999999995E-7</v>
      </c>
      <c r="I13" s="12"/>
      <c r="J13" s="12"/>
      <c r="K13" s="12"/>
      <c r="L13" s="12">
        <f t="shared" si="35"/>
        <v>31.112242462311571</v>
      </c>
      <c r="M13" s="5">
        <f t="shared" si="1"/>
        <v>0.15857412060301512</v>
      </c>
      <c r="N13" s="5">
        <f t="shared" si="2"/>
        <v>1.2814070351758799E-2</v>
      </c>
      <c r="O13" s="12">
        <f t="shared" si="3"/>
        <v>2.5628140703517599E-2</v>
      </c>
      <c r="P13" s="5">
        <f t="shared" si="4"/>
        <v>1897.1962050160116</v>
      </c>
      <c r="Q13" s="5">
        <v>4.7E-2</v>
      </c>
      <c r="R13" s="5">
        <f t="shared" si="5"/>
        <v>5.5131715547597548E-2</v>
      </c>
      <c r="S13" s="5">
        <f t="shared" si="6"/>
        <v>5.6000000000000001E-2</v>
      </c>
      <c r="T13" s="5">
        <f t="shared" si="7"/>
        <v>7.977443845417484E-2</v>
      </c>
      <c r="U13" s="5">
        <f t="shared" si="8"/>
        <v>8.7074722341604224E-2</v>
      </c>
      <c r="V13" s="5">
        <f t="shared" si="9"/>
        <v>-0.5351470483193701</v>
      </c>
      <c r="W13" s="5">
        <f t="shared" si="10"/>
        <v>0.3895547355705582</v>
      </c>
      <c r="X13" s="5">
        <f t="shared" si="11"/>
        <v>0.34112748995075981</v>
      </c>
      <c r="Y13" s="5">
        <f t="shared" si="12"/>
        <v>2.451455678659908</v>
      </c>
      <c r="Z13" s="12">
        <f t="shared" si="13"/>
        <v>4.5205550599332014</v>
      </c>
      <c r="AA13" s="12">
        <f t="shared" si="14"/>
        <v>0.43240400032979359</v>
      </c>
      <c r="AB13" s="12">
        <f t="shared" si="15"/>
        <v>5.8518612919311673E-2</v>
      </c>
      <c r="AC13" s="1">
        <f t="shared" si="16"/>
        <v>1.005772357387869E-2</v>
      </c>
      <c r="AD13" s="1">
        <f t="shared" si="17"/>
        <v>3.2299316115089031E-5</v>
      </c>
      <c r="AE13" s="12">
        <f t="shared" si="18"/>
        <v>0.81642397642269393</v>
      </c>
      <c r="AF13" s="5">
        <f t="shared" si="19"/>
        <v>0</v>
      </c>
      <c r="AG13" s="5">
        <f t="shared" si="20"/>
        <v>0</v>
      </c>
      <c r="AH13" s="5">
        <f t="shared" si="21"/>
        <v>0</v>
      </c>
      <c r="AI13" s="5">
        <f t="shared" si="22"/>
        <v>0</v>
      </c>
      <c r="AJ13" s="5">
        <f t="shared" si="23"/>
        <v>4.1550538050055387E-7</v>
      </c>
      <c r="AK13" s="5" t="e">
        <f t="shared" si="24"/>
        <v>#NUM!</v>
      </c>
      <c r="AL13" s="5">
        <f t="shared" si="25"/>
        <v>1.7312116465262358E-7</v>
      </c>
      <c r="AM13" s="5">
        <f t="shared" si="26"/>
        <v>1.219894235184547E-7</v>
      </c>
      <c r="AN13" s="13">
        <f t="shared" si="27"/>
        <v>0</v>
      </c>
      <c r="AO13" s="13">
        <f t="shared" si="28"/>
        <v>0</v>
      </c>
      <c r="AP13" s="13">
        <f t="shared" si="29"/>
        <v>0</v>
      </c>
      <c r="AQ13" s="13">
        <f t="shared" si="30"/>
        <v>0</v>
      </c>
      <c r="AR13" s="13">
        <f t="shared" si="31"/>
        <v>3.4335630196381186E-8</v>
      </c>
      <c r="AS13" s="13" t="e">
        <f t="shared" si="32"/>
        <v>#NUM!</v>
      </c>
      <c r="AT13" s="13">
        <f t="shared" si="33"/>
        <v>1.4306010385517445E-8</v>
      </c>
      <c r="AU13" s="14">
        <f t="shared" si="34"/>
        <v>1.0080696737918181E-8</v>
      </c>
    </row>
    <row r="14" spans="1:47" x14ac:dyDescent="0.35">
      <c r="A14" s="5">
        <v>7.4999999999999997E-2</v>
      </c>
      <c r="B14" s="5">
        <v>0.02</v>
      </c>
      <c r="C14" s="5">
        <f t="shared" si="0"/>
        <v>0.15</v>
      </c>
      <c r="D14" s="5">
        <v>9.81</v>
      </c>
      <c r="E14" s="5">
        <v>1000</v>
      </c>
      <c r="F14" s="5">
        <v>2650</v>
      </c>
      <c r="G14" s="5">
        <v>1.65</v>
      </c>
      <c r="H14" s="5">
        <v>9.9999999999999995E-7</v>
      </c>
      <c r="I14" s="12"/>
      <c r="J14" s="12"/>
      <c r="K14" s="12"/>
      <c r="L14" s="12">
        <f t="shared" si="35"/>
        <v>32.561096890703531</v>
      </c>
      <c r="M14" s="5">
        <f t="shared" si="1"/>
        <v>0.16595869974874378</v>
      </c>
      <c r="N14" s="5">
        <f t="shared" si="2"/>
        <v>1.3410804020100508E-2</v>
      </c>
      <c r="O14" s="12">
        <f t="shared" si="3"/>
        <v>2.6821608040201016E-2</v>
      </c>
      <c r="P14" s="5">
        <f t="shared" si="4"/>
        <v>1897.1962050160116</v>
      </c>
      <c r="Q14" s="5">
        <v>4.7E-2</v>
      </c>
      <c r="R14" s="5">
        <f t="shared" si="5"/>
        <v>5.5131715547597548E-2</v>
      </c>
      <c r="S14" s="5">
        <f t="shared" si="6"/>
        <v>5.6000000000000001E-2</v>
      </c>
      <c r="T14" s="5">
        <f t="shared" si="7"/>
        <v>7.977443845417484E-2</v>
      </c>
      <c r="U14" s="5">
        <f t="shared" si="8"/>
        <v>8.7074722341604224E-2</v>
      </c>
      <c r="V14" s="5">
        <f t="shared" si="9"/>
        <v>-0.51349948439306625</v>
      </c>
      <c r="W14" s="5">
        <f t="shared" si="10"/>
        <v>0.3895547355705582</v>
      </c>
      <c r="X14" s="5">
        <f t="shared" si="11"/>
        <v>0.34112748995075981</v>
      </c>
      <c r="Y14" s="5">
        <f t="shared" si="12"/>
        <v>2.5516153251219653</v>
      </c>
      <c r="Z14" s="12">
        <f t="shared" si="13"/>
        <v>4.5205550599332014</v>
      </c>
      <c r="AA14" s="12">
        <f t="shared" si="14"/>
        <v>0.460431168533882</v>
      </c>
      <c r="AB14" s="12">
        <f t="shared" si="15"/>
        <v>5.8518612919311673E-2</v>
      </c>
      <c r="AC14" s="1">
        <f t="shared" si="16"/>
        <v>1.1208368975043497E-2</v>
      </c>
      <c r="AD14" s="1">
        <f t="shared" si="17"/>
        <v>7.6345121876103748E-5</v>
      </c>
      <c r="AE14" s="12">
        <f t="shared" si="18"/>
        <v>0.81642397642269393</v>
      </c>
      <c r="AF14" s="5">
        <f t="shared" si="19"/>
        <v>0</v>
      </c>
      <c r="AG14" s="5">
        <f t="shared" si="20"/>
        <v>0</v>
      </c>
      <c r="AH14" s="5">
        <f t="shared" si="21"/>
        <v>0</v>
      </c>
      <c r="AI14" s="5">
        <f t="shared" si="22"/>
        <v>0</v>
      </c>
      <c r="AJ14" s="5">
        <f t="shared" si="23"/>
        <v>8.1922898479599342E-7</v>
      </c>
      <c r="AK14" s="5" t="e">
        <f t="shared" si="24"/>
        <v>#NUM!</v>
      </c>
      <c r="AL14" s="5">
        <f t="shared" si="25"/>
        <v>2.3269261442458377E-7</v>
      </c>
      <c r="AM14" s="5">
        <f t="shared" si="26"/>
        <v>1.6397273936904481E-7</v>
      </c>
      <c r="AN14" s="13">
        <f t="shared" si="27"/>
        <v>0</v>
      </c>
      <c r="AO14" s="13">
        <f t="shared" si="28"/>
        <v>0</v>
      </c>
      <c r="AP14" s="13">
        <f t="shared" si="29"/>
        <v>0</v>
      </c>
      <c r="AQ14" s="13">
        <f t="shared" si="30"/>
        <v>0</v>
      </c>
      <c r="AR14" s="13">
        <f t="shared" si="31"/>
        <v>6.7697663587955675E-8</v>
      </c>
      <c r="AS14" s="13" t="e">
        <f t="shared" si="32"/>
        <v>#NUM!</v>
      </c>
      <c r="AT14" s="13">
        <f t="shared" si="33"/>
        <v>1.9228746324985248E-8</v>
      </c>
      <c r="AU14" s="14">
        <f t="shared" si="34"/>
        <v>1.3550022708443872E-8</v>
      </c>
    </row>
    <row r="15" spans="1:47" x14ac:dyDescent="0.35">
      <c r="A15" s="5">
        <v>7.4999999999999997E-2</v>
      </c>
      <c r="B15" s="5">
        <v>0.02</v>
      </c>
      <c r="C15" s="5">
        <f t="shared" si="0"/>
        <v>0.15</v>
      </c>
      <c r="D15" s="5">
        <v>9.81</v>
      </c>
      <c r="E15" s="5">
        <v>1000</v>
      </c>
      <c r="F15" s="5">
        <v>2650</v>
      </c>
      <c r="G15" s="5">
        <v>1.65</v>
      </c>
      <c r="H15" s="5">
        <v>9.9999999999999995E-7</v>
      </c>
      <c r="I15" s="12"/>
      <c r="J15" s="12"/>
      <c r="K15" s="12"/>
      <c r="L15" s="12">
        <f t="shared" si="35"/>
        <v>34.009951319095492</v>
      </c>
      <c r="M15" s="5">
        <f t="shared" si="1"/>
        <v>0.17334327889447243</v>
      </c>
      <c r="N15" s="5">
        <f t="shared" si="2"/>
        <v>1.4007537688442217E-2</v>
      </c>
      <c r="O15" s="12">
        <f t="shared" si="3"/>
        <v>2.8015075376884434E-2</v>
      </c>
      <c r="P15" s="5">
        <f t="shared" si="4"/>
        <v>1897.1962050160116</v>
      </c>
      <c r="Q15" s="5">
        <v>4.7E-2</v>
      </c>
      <c r="R15" s="5">
        <f t="shared" si="5"/>
        <v>5.5131715547597548E-2</v>
      </c>
      <c r="S15" s="5">
        <f t="shared" si="6"/>
        <v>5.6000000000000001E-2</v>
      </c>
      <c r="T15" s="5">
        <f t="shared" si="7"/>
        <v>7.977443845417484E-2</v>
      </c>
      <c r="U15" s="5">
        <f t="shared" si="8"/>
        <v>8.7074722341604224E-2</v>
      </c>
      <c r="V15" s="5">
        <f t="shared" si="9"/>
        <v>-0.4918519204667624</v>
      </c>
      <c r="W15" s="5">
        <f t="shared" si="10"/>
        <v>0.3895547355705582</v>
      </c>
      <c r="X15" s="5">
        <f t="shared" si="11"/>
        <v>0.34112748995075981</v>
      </c>
      <c r="Y15" s="5">
        <f t="shared" si="12"/>
        <v>2.6503361213061654</v>
      </c>
      <c r="Z15" s="12">
        <f t="shared" si="13"/>
        <v>4.5205550599332014</v>
      </c>
      <c r="AA15" s="12">
        <f t="shared" si="14"/>
        <v>0.48876934618262063</v>
      </c>
      <c r="AB15" s="12">
        <f t="shared" si="15"/>
        <v>5.8518612919311673E-2</v>
      </c>
      <c r="AC15" s="1">
        <f t="shared" si="16"/>
        <v>1.2427639550567512E-2</v>
      </c>
      <c r="AD15" s="1">
        <f t="shared" si="17"/>
        <v>1.5571976470629088E-4</v>
      </c>
      <c r="AE15" s="12">
        <f t="shared" si="18"/>
        <v>0.81642397642269393</v>
      </c>
      <c r="AF15" s="5">
        <f t="shared" si="19"/>
        <v>0</v>
      </c>
      <c r="AG15" s="5">
        <f t="shared" si="20"/>
        <v>0</v>
      </c>
      <c r="AH15" s="5">
        <f t="shared" si="21"/>
        <v>0</v>
      </c>
      <c r="AI15" s="5">
        <f t="shared" si="22"/>
        <v>0</v>
      </c>
      <c r="AJ15" s="5">
        <f t="shared" si="23"/>
        <v>1.5244529904217175E-6</v>
      </c>
      <c r="AK15" s="5" t="e">
        <f t="shared" si="24"/>
        <v>#NUM!</v>
      </c>
      <c r="AL15" s="5">
        <f t="shared" si="25"/>
        <v>3.0875362929361925E-7</v>
      </c>
      <c r="AM15" s="5">
        <f t="shared" si="26"/>
        <v>2.17580811198233E-7</v>
      </c>
      <c r="AN15" s="13">
        <f t="shared" si="27"/>
        <v>0</v>
      </c>
      <c r="AO15" s="13">
        <f t="shared" si="28"/>
        <v>0</v>
      </c>
      <c r="AP15" s="13">
        <f t="shared" si="29"/>
        <v>0</v>
      </c>
      <c r="AQ15" s="13">
        <f t="shared" si="30"/>
        <v>0</v>
      </c>
      <c r="AR15" s="13">
        <f t="shared" si="31"/>
        <v>1.2597443158938285E-7</v>
      </c>
      <c r="AS15" s="13" t="e">
        <f t="shared" si="32"/>
        <v>#NUM!</v>
      </c>
      <c r="AT15" s="13">
        <f t="shared" si="33"/>
        <v>2.5514111091522061E-8</v>
      </c>
      <c r="AU15" s="14">
        <f t="shared" si="34"/>
        <v>1.7979969987708027E-8</v>
      </c>
    </row>
    <row r="16" spans="1:47" x14ac:dyDescent="0.35">
      <c r="A16" s="5">
        <v>7.4999999999999997E-2</v>
      </c>
      <c r="B16" s="5">
        <v>0.02</v>
      </c>
      <c r="C16" s="5">
        <f t="shared" si="0"/>
        <v>0.15</v>
      </c>
      <c r="D16" s="5">
        <v>9.81</v>
      </c>
      <c r="E16" s="5">
        <v>1000</v>
      </c>
      <c r="F16" s="5">
        <v>2650</v>
      </c>
      <c r="G16" s="5">
        <v>1.65</v>
      </c>
      <c r="H16" s="5">
        <v>9.9999999999999995E-7</v>
      </c>
      <c r="I16" s="12"/>
      <c r="J16" s="12"/>
      <c r="K16" s="12"/>
      <c r="L16" s="12">
        <f t="shared" si="35"/>
        <v>35.458805747487453</v>
      </c>
      <c r="M16" s="5">
        <f t="shared" si="1"/>
        <v>0.18072785804020108</v>
      </c>
      <c r="N16" s="5">
        <f t="shared" si="2"/>
        <v>1.4604271356783927E-2</v>
      </c>
      <c r="O16" s="12">
        <f t="shared" si="3"/>
        <v>2.9208542713567855E-2</v>
      </c>
      <c r="P16" s="5">
        <f t="shared" si="4"/>
        <v>1897.1962050160116</v>
      </c>
      <c r="Q16" s="5">
        <v>4.7E-2</v>
      </c>
      <c r="R16" s="5">
        <f t="shared" si="5"/>
        <v>5.5131715547597548E-2</v>
      </c>
      <c r="S16" s="5">
        <f t="shared" si="6"/>
        <v>5.6000000000000001E-2</v>
      </c>
      <c r="T16" s="5">
        <f t="shared" si="7"/>
        <v>7.977443845417484E-2</v>
      </c>
      <c r="U16" s="5">
        <f t="shared" si="8"/>
        <v>8.7074722341604224E-2</v>
      </c>
      <c r="V16" s="5">
        <f t="shared" si="9"/>
        <v>-0.47020435654045845</v>
      </c>
      <c r="W16" s="5">
        <f t="shared" si="10"/>
        <v>0.3895547355705582</v>
      </c>
      <c r="X16" s="5">
        <f t="shared" si="11"/>
        <v>0.34112748995075981</v>
      </c>
      <c r="Y16" s="5">
        <f t="shared" si="12"/>
        <v>2.7476152251109727</v>
      </c>
      <c r="Z16" s="12">
        <f t="shared" si="13"/>
        <v>4.5205550599332014</v>
      </c>
      <c r="AA16" s="12">
        <f t="shared" si="14"/>
        <v>0.51738992369632386</v>
      </c>
      <c r="AB16" s="12">
        <f t="shared" si="15"/>
        <v>5.8518612919311673E-2</v>
      </c>
      <c r="AC16" s="1">
        <f t="shared" si="16"/>
        <v>1.3715787516763864E-2</v>
      </c>
      <c r="AD16" s="1">
        <f t="shared" si="17"/>
        <v>2.8423059116833039E-4</v>
      </c>
      <c r="AE16" s="12">
        <f t="shared" si="18"/>
        <v>0.81642397642269393</v>
      </c>
      <c r="AF16" s="5">
        <f t="shared" si="19"/>
        <v>0</v>
      </c>
      <c r="AG16" s="5">
        <f t="shared" si="20"/>
        <v>0</v>
      </c>
      <c r="AH16" s="5">
        <f t="shared" si="21"/>
        <v>0</v>
      </c>
      <c r="AI16" s="5">
        <f t="shared" si="22"/>
        <v>0</v>
      </c>
      <c r="AJ16" s="5">
        <f t="shared" si="23"/>
        <v>2.6963859186349889E-6</v>
      </c>
      <c r="AK16" s="5" t="e">
        <f t="shared" si="24"/>
        <v>#NUM!</v>
      </c>
      <c r="AL16" s="5">
        <f t="shared" si="25"/>
        <v>4.0485992296360424E-7</v>
      </c>
      <c r="AM16" s="5">
        <f t="shared" si="26"/>
        <v>2.8532210745706489E-7</v>
      </c>
      <c r="AN16" s="13">
        <f t="shared" si="27"/>
        <v>0</v>
      </c>
      <c r="AO16" s="13">
        <f t="shared" si="28"/>
        <v>0</v>
      </c>
      <c r="AP16" s="13">
        <f t="shared" si="29"/>
        <v>0</v>
      </c>
      <c r="AQ16" s="13">
        <f t="shared" si="30"/>
        <v>0</v>
      </c>
      <c r="AR16" s="13">
        <f t="shared" si="31"/>
        <v>2.2281807676581251E-7</v>
      </c>
      <c r="AS16" s="13" t="e">
        <f t="shared" si="32"/>
        <v>#NUM!</v>
      </c>
      <c r="AT16" s="13">
        <f t="shared" si="33"/>
        <v>3.3455934022965463E-8</v>
      </c>
      <c r="AU16" s="14">
        <f t="shared" si="34"/>
        <v>2.3577827937380597E-8</v>
      </c>
    </row>
    <row r="17" spans="1:47" x14ac:dyDescent="0.35">
      <c r="A17" s="5">
        <v>7.4999999999999997E-2</v>
      </c>
      <c r="B17" s="5">
        <v>0.02</v>
      </c>
      <c r="C17" s="5">
        <f t="shared" si="0"/>
        <v>0.15</v>
      </c>
      <c r="D17" s="5">
        <v>9.81</v>
      </c>
      <c r="E17" s="5">
        <v>1000</v>
      </c>
      <c r="F17" s="5">
        <v>2650</v>
      </c>
      <c r="G17" s="5">
        <v>1.65</v>
      </c>
      <c r="H17" s="5">
        <v>9.9999999999999995E-7</v>
      </c>
      <c r="I17" s="12"/>
      <c r="J17" s="12"/>
      <c r="K17" s="12"/>
      <c r="L17" s="12">
        <f t="shared" si="35"/>
        <v>36.907660175879414</v>
      </c>
      <c r="M17" s="5">
        <f t="shared" si="1"/>
        <v>0.18811243718592971</v>
      </c>
      <c r="N17" s="5">
        <f t="shared" si="2"/>
        <v>1.5201005025125636E-2</v>
      </c>
      <c r="O17" s="12">
        <f t="shared" si="3"/>
        <v>3.0402010050251272E-2</v>
      </c>
      <c r="P17" s="5">
        <f t="shared" si="4"/>
        <v>1897.1962050160116</v>
      </c>
      <c r="Q17" s="5">
        <v>4.7E-2</v>
      </c>
      <c r="R17" s="5">
        <f t="shared" si="5"/>
        <v>5.5131715547597548E-2</v>
      </c>
      <c r="S17" s="5">
        <f t="shared" si="6"/>
        <v>5.6000000000000001E-2</v>
      </c>
      <c r="T17" s="5">
        <f t="shared" si="7"/>
        <v>7.977443845417484E-2</v>
      </c>
      <c r="U17" s="5">
        <f t="shared" si="8"/>
        <v>8.7074722341604224E-2</v>
      </c>
      <c r="V17" s="5">
        <f t="shared" si="9"/>
        <v>-0.4485567926141546</v>
      </c>
      <c r="W17" s="5">
        <f t="shared" si="10"/>
        <v>0.3895547355705582</v>
      </c>
      <c r="X17" s="5">
        <f t="shared" si="11"/>
        <v>0.34112748995075981</v>
      </c>
      <c r="Y17" s="5">
        <f t="shared" si="12"/>
        <v>2.8434522012060293</v>
      </c>
      <c r="Z17" s="12">
        <f t="shared" si="13"/>
        <v>4.5205550599332014</v>
      </c>
      <c r="AA17" s="12">
        <f t="shared" si="14"/>
        <v>0.54626602285745096</v>
      </c>
      <c r="AB17" s="12">
        <f t="shared" si="15"/>
        <v>5.8518612919311673E-2</v>
      </c>
      <c r="AC17" s="1">
        <f t="shared" si="16"/>
        <v>1.5072988904914443E-2</v>
      </c>
      <c r="AD17" s="1">
        <f t="shared" si="17"/>
        <v>4.7597491744115396E-4</v>
      </c>
      <c r="AE17" s="12">
        <f t="shared" si="18"/>
        <v>0.81642397642269393</v>
      </c>
      <c r="AF17" s="5">
        <f t="shared" si="19"/>
        <v>0</v>
      </c>
      <c r="AG17" s="5">
        <f t="shared" si="20"/>
        <v>0</v>
      </c>
      <c r="AH17" s="5">
        <f t="shared" si="21"/>
        <v>0</v>
      </c>
      <c r="AI17" s="5">
        <f t="shared" si="22"/>
        <v>0</v>
      </c>
      <c r="AJ17" s="5">
        <f t="shared" si="23"/>
        <v>4.5604222404017001E-6</v>
      </c>
      <c r="AK17" s="5" t="e">
        <f t="shared" si="24"/>
        <v>#NUM!</v>
      </c>
      <c r="AL17" s="5">
        <f t="shared" si="25"/>
        <v>5.2513480029610322E-7</v>
      </c>
      <c r="AM17" s="5">
        <f t="shared" si="26"/>
        <v>3.7010625510690915E-7</v>
      </c>
      <c r="AN17" s="13">
        <f t="shared" si="27"/>
        <v>0</v>
      </c>
      <c r="AO17" s="13">
        <f t="shared" si="28"/>
        <v>0</v>
      </c>
      <c r="AP17" s="13">
        <f t="shared" si="29"/>
        <v>0</v>
      </c>
      <c r="AQ17" s="13">
        <f t="shared" si="30"/>
        <v>0</v>
      </c>
      <c r="AR17" s="13">
        <f t="shared" si="31"/>
        <v>3.7685425733151538E-7</v>
      </c>
      <c r="AS17" s="13" t="e">
        <f t="shared" si="32"/>
        <v>#NUM!</v>
      </c>
      <c r="AT17" s="13">
        <f t="shared" si="33"/>
        <v>4.3394947821123221E-8</v>
      </c>
      <c r="AU17" s="14">
        <f t="shared" si="34"/>
        <v>3.0584035983864733E-8</v>
      </c>
    </row>
    <row r="18" spans="1:47" x14ac:dyDescent="0.35">
      <c r="A18" s="5">
        <v>7.4999999999999997E-2</v>
      </c>
      <c r="B18" s="5">
        <v>0.02</v>
      </c>
      <c r="C18" s="5">
        <f t="shared" si="0"/>
        <v>0.15</v>
      </c>
      <c r="D18" s="5">
        <v>9.81</v>
      </c>
      <c r="E18" s="5">
        <v>1000</v>
      </c>
      <c r="F18" s="5">
        <v>2650</v>
      </c>
      <c r="G18" s="5">
        <v>1.65</v>
      </c>
      <c r="H18" s="5">
        <v>9.9999999999999995E-7</v>
      </c>
      <c r="I18" s="12"/>
      <c r="J18" s="12"/>
      <c r="K18" s="12"/>
      <c r="L18" s="12">
        <f t="shared" si="35"/>
        <v>38.356514604271375</v>
      </c>
      <c r="M18" s="5">
        <f t="shared" si="1"/>
        <v>0.19549701633165836</v>
      </c>
      <c r="N18" s="5">
        <f t="shared" si="2"/>
        <v>1.5797738693467345E-2</v>
      </c>
      <c r="O18" s="12">
        <f t="shared" si="3"/>
        <v>3.1595477386934689E-2</v>
      </c>
      <c r="P18" s="5">
        <f t="shared" si="4"/>
        <v>1897.1962050160116</v>
      </c>
      <c r="Q18" s="5">
        <v>4.7E-2</v>
      </c>
      <c r="R18" s="5">
        <f t="shared" si="5"/>
        <v>5.5131715547597548E-2</v>
      </c>
      <c r="S18" s="5">
        <f t="shared" si="6"/>
        <v>5.6000000000000001E-2</v>
      </c>
      <c r="T18" s="5">
        <f t="shared" si="7"/>
        <v>7.977443845417484E-2</v>
      </c>
      <c r="U18" s="5">
        <f t="shared" si="8"/>
        <v>8.7074722341604224E-2</v>
      </c>
      <c r="V18" s="5">
        <f t="shared" si="9"/>
        <v>-0.42690922868785075</v>
      </c>
      <c r="W18" s="5">
        <f t="shared" si="10"/>
        <v>0.3895547355705582</v>
      </c>
      <c r="X18" s="5">
        <f t="shared" si="11"/>
        <v>0.34112748995075981</v>
      </c>
      <c r="Y18" s="5">
        <f t="shared" si="12"/>
        <v>2.9378488399795972</v>
      </c>
      <c r="Z18" s="12">
        <f t="shared" si="13"/>
        <v>4.5205550599332014</v>
      </c>
      <c r="AA18" s="12">
        <f t="shared" si="14"/>
        <v>0.57537238588891493</v>
      </c>
      <c r="AB18" s="12">
        <f t="shared" si="15"/>
        <v>5.8518612919311673E-2</v>
      </c>
      <c r="AC18" s="1">
        <f t="shared" si="16"/>
        <v>1.6499349757429674E-2</v>
      </c>
      <c r="AD18" s="1">
        <f t="shared" si="17"/>
        <v>7.4438212092693495E-4</v>
      </c>
      <c r="AE18" s="12">
        <f t="shared" si="18"/>
        <v>0.81642397642269393</v>
      </c>
      <c r="AF18" s="5">
        <f t="shared" si="19"/>
        <v>0</v>
      </c>
      <c r="AG18" s="5">
        <f t="shared" si="20"/>
        <v>0</v>
      </c>
      <c r="AH18" s="5">
        <f t="shared" si="21"/>
        <v>0</v>
      </c>
      <c r="AI18" s="5">
        <f t="shared" si="22"/>
        <v>1.228182096635081E-5</v>
      </c>
      <c r="AJ18" s="5">
        <f t="shared" si="23"/>
        <v>7.4128730081116408E-6</v>
      </c>
      <c r="AK18" s="5" t="e">
        <f t="shared" si="24"/>
        <v>#NUM!</v>
      </c>
      <c r="AL18" s="5">
        <f t="shared" si="25"/>
        <v>6.7433025923593289E-7</v>
      </c>
      <c r="AM18" s="5">
        <f t="shared" si="26"/>
        <v>4.7528748320806966E-7</v>
      </c>
      <c r="AN18" s="13">
        <f t="shared" si="27"/>
        <v>0</v>
      </c>
      <c r="AO18" s="13">
        <f t="shared" si="28"/>
        <v>0</v>
      </c>
      <c r="AP18" s="13">
        <f t="shared" si="29"/>
        <v>0</v>
      </c>
      <c r="AQ18" s="13">
        <f t="shared" si="30"/>
        <v>1.0149184165335263E-6</v>
      </c>
      <c r="AR18" s="13">
        <f t="shared" si="31"/>
        <v>6.1256888176185188E-7</v>
      </c>
      <c r="AS18" s="13" t="e">
        <f t="shared" si="32"/>
        <v>#NUM!</v>
      </c>
      <c r="AT18" s="13">
        <f t="shared" si="33"/>
        <v>5.5723837759843367E-8</v>
      </c>
      <c r="AU18" s="14">
        <f t="shared" si="34"/>
        <v>3.927577361511269E-8</v>
      </c>
    </row>
    <row r="19" spans="1:47" x14ac:dyDescent="0.35">
      <c r="A19" s="5">
        <v>7.4999999999999997E-2</v>
      </c>
      <c r="B19" s="5">
        <v>0.02</v>
      </c>
      <c r="C19" s="5">
        <f t="shared" si="0"/>
        <v>0.15</v>
      </c>
      <c r="D19" s="5">
        <v>9.81</v>
      </c>
      <c r="E19" s="5">
        <v>1000</v>
      </c>
      <c r="F19" s="5">
        <v>2650</v>
      </c>
      <c r="G19" s="5">
        <v>1.65</v>
      </c>
      <c r="H19" s="5">
        <v>9.9999999999999995E-7</v>
      </c>
      <c r="I19" s="12"/>
      <c r="J19" s="12"/>
      <c r="K19" s="12"/>
      <c r="L19" s="12">
        <f t="shared" si="35"/>
        <v>39.805369032663336</v>
      </c>
      <c r="M19" s="5">
        <f t="shared" si="1"/>
        <v>0.20288159547738702</v>
      </c>
      <c r="N19" s="5">
        <f t="shared" si="2"/>
        <v>1.6394472361809055E-2</v>
      </c>
      <c r="O19" s="12">
        <f t="shared" si="3"/>
        <v>3.278894472361811E-2</v>
      </c>
      <c r="P19" s="5">
        <f t="shared" si="4"/>
        <v>1897.1962050160116</v>
      </c>
      <c r="Q19" s="5">
        <v>4.7E-2</v>
      </c>
      <c r="R19" s="5">
        <f t="shared" si="5"/>
        <v>5.5131715547597548E-2</v>
      </c>
      <c r="S19" s="5">
        <f t="shared" si="6"/>
        <v>5.6000000000000001E-2</v>
      </c>
      <c r="T19" s="5">
        <f t="shared" si="7"/>
        <v>7.977443845417484E-2</v>
      </c>
      <c r="U19" s="5">
        <f t="shared" si="8"/>
        <v>8.7074722341604224E-2</v>
      </c>
      <c r="V19" s="5">
        <f t="shared" si="9"/>
        <v>-0.4052616647615469</v>
      </c>
      <c r="W19" s="5">
        <f t="shared" si="10"/>
        <v>0.3895547355705582</v>
      </c>
      <c r="X19" s="5">
        <f t="shared" si="11"/>
        <v>0.34112748995075981</v>
      </c>
      <c r="Y19" s="5">
        <f t="shared" si="12"/>
        <v>3.0308089844756294</v>
      </c>
      <c r="Z19" s="12">
        <f t="shared" si="13"/>
        <v>4.5205550599332014</v>
      </c>
      <c r="AA19" s="12">
        <f t="shared" si="14"/>
        <v>0.60468527538872408</v>
      </c>
      <c r="AB19" s="12">
        <f t="shared" si="15"/>
        <v>5.8518612919311673E-2</v>
      </c>
      <c r="AC19" s="1">
        <f t="shared" si="16"/>
        <v>1.7994911926189811E-2</v>
      </c>
      <c r="AD19" s="1">
        <f t="shared" si="17"/>
        <v>1.1014828343748084E-3</v>
      </c>
      <c r="AE19" s="12">
        <f t="shared" si="18"/>
        <v>0.81642397642269393</v>
      </c>
      <c r="AF19" s="5">
        <f t="shared" si="19"/>
        <v>0</v>
      </c>
      <c r="AG19" s="5">
        <f t="shared" si="20"/>
        <v>0</v>
      </c>
      <c r="AH19" s="5">
        <f t="shared" si="21"/>
        <v>0</v>
      </c>
      <c r="AI19" s="5">
        <f t="shared" si="22"/>
        <v>1.9821086592784594E-5</v>
      </c>
      <c r="AJ19" s="5">
        <f t="shared" si="23"/>
        <v>1.1630791180583546E-5</v>
      </c>
      <c r="AK19" s="5" t="e">
        <f t="shared" si="24"/>
        <v>#NUM!</v>
      </c>
      <c r="AL19" s="5">
        <f t="shared" si="25"/>
        <v>8.5789159707633428E-7</v>
      </c>
      <c r="AM19" s="5">
        <f t="shared" si="26"/>
        <v>6.0471063386217995E-7</v>
      </c>
      <c r="AN19" s="13">
        <f t="shared" si="27"/>
        <v>0</v>
      </c>
      <c r="AO19" s="13">
        <f t="shared" si="28"/>
        <v>0</v>
      </c>
      <c r="AP19" s="13">
        <f t="shared" si="29"/>
        <v>0</v>
      </c>
      <c r="AQ19" s="13">
        <f t="shared" si="30"/>
        <v>1.6379318566715738E-6</v>
      </c>
      <c r="AR19" s="13">
        <f t="shared" si="31"/>
        <v>9.6112003263773855E-7</v>
      </c>
      <c r="AS19" s="13" t="e">
        <f t="shared" si="32"/>
        <v>#NUM!</v>
      </c>
      <c r="AT19" s="13">
        <f t="shared" si="33"/>
        <v>7.0892580477081444E-8</v>
      </c>
      <c r="AU19" s="14">
        <f t="shared" si="34"/>
        <v>4.9970762532841363E-8</v>
      </c>
    </row>
    <row r="20" spans="1:47" x14ac:dyDescent="0.35">
      <c r="A20" s="5">
        <v>7.4999999999999997E-2</v>
      </c>
      <c r="B20" s="5">
        <v>0.02</v>
      </c>
      <c r="C20" s="5">
        <f t="shared" si="0"/>
        <v>0.15</v>
      </c>
      <c r="D20" s="5">
        <v>9.81</v>
      </c>
      <c r="E20" s="5">
        <v>1000</v>
      </c>
      <c r="F20" s="5">
        <v>2650</v>
      </c>
      <c r="G20" s="5">
        <v>1.65</v>
      </c>
      <c r="H20" s="5">
        <v>9.9999999999999995E-7</v>
      </c>
      <c r="I20" s="12"/>
      <c r="J20" s="12"/>
      <c r="K20" s="12"/>
      <c r="L20" s="12">
        <f t="shared" si="35"/>
        <v>41.254223461055297</v>
      </c>
      <c r="M20" s="5">
        <f t="shared" si="1"/>
        <v>0.21026617462311567</v>
      </c>
      <c r="N20" s="5">
        <f t="shared" si="2"/>
        <v>1.6991206030150762E-2</v>
      </c>
      <c r="O20" s="12">
        <f t="shared" si="3"/>
        <v>3.3982412060301524E-2</v>
      </c>
      <c r="P20" s="5">
        <f t="shared" si="4"/>
        <v>1897.1962050160116</v>
      </c>
      <c r="Q20" s="5">
        <v>4.7E-2</v>
      </c>
      <c r="R20" s="5">
        <f t="shared" si="5"/>
        <v>5.5131715547597548E-2</v>
      </c>
      <c r="S20" s="5">
        <f t="shared" si="6"/>
        <v>5.6000000000000001E-2</v>
      </c>
      <c r="T20" s="5">
        <f t="shared" si="7"/>
        <v>7.977443845417484E-2</v>
      </c>
      <c r="U20" s="5">
        <f t="shared" si="8"/>
        <v>8.7074722341604224E-2</v>
      </c>
      <c r="V20" s="5">
        <f t="shared" si="9"/>
        <v>-0.38361410083524305</v>
      </c>
      <c r="W20" s="5">
        <f t="shared" si="10"/>
        <v>0.3895547355705582</v>
      </c>
      <c r="X20" s="5">
        <f t="shared" si="11"/>
        <v>0.34112748995075981</v>
      </c>
      <c r="Y20" s="5">
        <f t="shared" si="12"/>
        <v>3.1223383652662</v>
      </c>
      <c r="Z20" s="12">
        <f t="shared" si="13"/>
        <v>4.5205550599332014</v>
      </c>
      <c r="AA20" s="12">
        <f t="shared" si="14"/>
        <v>0.63418238329453902</v>
      </c>
      <c r="AB20" s="12">
        <f t="shared" si="15"/>
        <v>5.8518612919311673E-2</v>
      </c>
      <c r="AC20" s="1">
        <f t="shared" si="16"/>
        <v>1.9559658499052796E-2</v>
      </c>
      <c r="AD20" s="1">
        <f t="shared" si="17"/>
        <v>1.55742824583659E-3</v>
      </c>
      <c r="AE20" s="12">
        <f t="shared" si="18"/>
        <v>0.81642397642269393</v>
      </c>
      <c r="AF20" s="5">
        <f t="shared" si="19"/>
        <v>0</v>
      </c>
      <c r="AG20" s="5">
        <f t="shared" si="20"/>
        <v>0</v>
      </c>
      <c r="AH20" s="5">
        <f t="shared" si="21"/>
        <v>0</v>
      </c>
      <c r="AI20" s="5">
        <f t="shared" si="22"/>
        <v>3.0462764625342545E-5</v>
      </c>
      <c r="AJ20" s="5">
        <f t="shared" si="23"/>
        <v>1.7680370458158497E-5</v>
      </c>
      <c r="AK20" s="5" t="e">
        <f t="shared" si="24"/>
        <v>#NUM!</v>
      </c>
      <c r="AL20" s="5">
        <f t="shared" si="25"/>
        <v>1.0820255089279015E-6</v>
      </c>
      <c r="AM20" s="5">
        <f t="shared" si="26"/>
        <v>7.6275975086160522E-7</v>
      </c>
      <c r="AN20" s="13">
        <f t="shared" si="27"/>
        <v>0</v>
      </c>
      <c r="AO20" s="13">
        <f t="shared" si="28"/>
        <v>0</v>
      </c>
      <c r="AP20" s="13">
        <f t="shared" si="29"/>
        <v>0</v>
      </c>
      <c r="AQ20" s="13">
        <f t="shared" si="30"/>
        <v>2.517315707621191E-6</v>
      </c>
      <c r="AR20" s="13">
        <f t="shared" si="31"/>
        <v>1.4610320113184275E-6</v>
      </c>
      <c r="AS20" s="13" t="e">
        <f t="shared" si="32"/>
        <v>#NUM!</v>
      </c>
      <c r="AT20" s="13">
        <f t="shared" si="33"/>
        <v>8.9414071348108692E-8</v>
      </c>
      <c r="AU20" s="14">
        <f t="shared" si="34"/>
        <v>6.3031281815694823E-8</v>
      </c>
    </row>
    <row r="21" spans="1:47" x14ac:dyDescent="0.35">
      <c r="A21" s="5">
        <v>7.4999999999999997E-2</v>
      </c>
      <c r="B21" s="5">
        <v>0.02</v>
      </c>
      <c r="C21" s="5">
        <f t="shared" si="0"/>
        <v>0.15</v>
      </c>
      <c r="D21" s="5">
        <v>9.81</v>
      </c>
      <c r="E21" s="5">
        <v>1000</v>
      </c>
      <c r="F21" s="5">
        <v>2650</v>
      </c>
      <c r="G21" s="5">
        <v>1.65</v>
      </c>
      <c r="H21" s="5">
        <v>9.9999999999999995E-7</v>
      </c>
      <c r="I21" s="12"/>
      <c r="J21" s="12"/>
      <c r="K21" s="12"/>
      <c r="L21" s="12">
        <f t="shared" si="35"/>
        <v>42.703077889447258</v>
      </c>
      <c r="M21" s="5">
        <f t="shared" si="1"/>
        <v>0.21765075376884432</v>
      </c>
      <c r="N21" s="5">
        <f t="shared" si="2"/>
        <v>1.7587939698492473E-2</v>
      </c>
      <c r="O21" s="12">
        <f t="shared" si="3"/>
        <v>3.5175879396984945E-2</v>
      </c>
      <c r="P21" s="5">
        <f t="shared" si="4"/>
        <v>1897.1962050160116</v>
      </c>
      <c r="Q21" s="5">
        <v>4.7E-2</v>
      </c>
      <c r="R21" s="5">
        <f t="shared" si="5"/>
        <v>5.5131715547597548E-2</v>
      </c>
      <c r="S21" s="5">
        <f t="shared" si="6"/>
        <v>5.6000000000000001E-2</v>
      </c>
      <c r="T21" s="5">
        <f t="shared" si="7"/>
        <v>7.977443845417484E-2</v>
      </c>
      <c r="U21" s="5">
        <f t="shared" si="8"/>
        <v>8.7074722341604224E-2</v>
      </c>
      <c r="V21" s="5">
        <f t="shared" si="9"/>
        <v>-0.36196653690893921</v>
      </c>
      <c r="W21" s="5">
        <f t="shared" si="10"/>
        <v>0.3895547355705582</v>
      </c>
      <c r="X21" s="5">
        <f t="shared" si="11"/>
        <v>0.34112748995075981</v>
      </c>
      <c r="Y21" s="5">
        <f t="shared" si="12"/>
        <v>3.2124444431956882</v>
      </c>
      <c r="Z21" s="12">
        <f t="shared" si="13"/>
        <v>4.5205550599332014</v>
      </c>
      <c r="AA21" s="12">
        <f t="shared" si="14"/>
        <v>0.66384274744685612</v>
      </c>
      <c r="AB21" s="12">
        <f t="shared" si="15"/>
        <v>5.8518612919311673E-2</v>
      </c>
      <c r="AC21" s="1">
        <f t="shared" si="16"/>
        <v>2.1193518877301802E-2</v>
      </c>
      <c r="AD21" s="1">
        <f t="shared" si="17"/>
        <v>2.1202374083656877E-3</v>
      </c>
      <c r="AE21" s="12">
        <f t="shared" si="18"/>
        <v>0.81642397642269393</v>
      </c>
      <c r="AF21" s="5">
        <f t="shared" si="19"/>
        <v>0</v>
      </c>
      <c r="AG21" s="5">
        <f t="shared" si="20"/>
        <v>0</v>
      </c>
      <c r="AH21" s="5">
        <f t="shared" si="21"/>
        <v>0</v>
      </c>
      <c r="AI21" s="5">
        <f t="shared" si="22"/>
        <v>4.4935291538559654E-5</v>
      </c>
      <c r="AJ21" s="5">
        <f t="shared" si="23"/>
        <v>2.612350601927101E-5</v>
      </c>
      <c r="AK21" s="5" t="e">
        <f t="shared" si="24"/>
        <v>#NUM!</v>
      </c>
      <c r="AL21" s="5">
        <f t="shared" si="25"/>
        <v>1.3537716515839668E-6</v>
      </c>
      <c r="AM21" s="5">
        <f t="shared" si="26"/>
        <v>9.5440924865698587E-7</v>
      </c>
      <c r="AN21" s="13">
        <f t="shared" si="27"/>
        <v>0</v>
      </c>
      <c r="AO21" s="13">
        <f t="shared" si="28"/>
        <v>0</v>
      </c>
      <c r="AP21" s="13">
        <f t="shared" si="29"/>
        <v>0</v>
      </c>
      <c r="AQ21" s="13">
        <f t="shared" si="30"/>
        <v>3.7132649189184303E-6</v>
      </c>
      <c r="AR21" s="13">
        <f t="shared" si="31"/>
        <v>2.1587374898251927E-6</v>
      </c>
      <c r="AS21" s="13" t="e">
        <f t="shared" si="32"/>
        <v>#NUM!</v>
      </c>
      <c r="AT21" s="13">
        <f t="shared" si="33"/>
        <v>1.1187003822461768E-7</v>
      </c>
      <c r="AU21" s="14">
        <f t="shared" si="34"/>
        <v>7.8868396309126973E-8</v>
      </c>
    </row>
    <row r="22" spans="1:47" x14ac:dyDescent="0.35">
      <c r="A22" s="5">
        <v>7.4999999999999997E-2</v>
      </c>
      <c r="B22" s="5">
        <v>0.02</v>
      </c>
      <c r="C22" s="5">
        <f t="shared" si="0"/>
        <v>0.15</v>
      </c>
      <c r="D22" s="5">
        <v>9.81</v>
      </c>
      <c r="E22" s="5">
        <v>1000</v>
      </c>
      <c r="F22" s="5">
        <v>2650</v>
      </c>
      <c r="G22" s="5">
        <v>1.65</v>
      </c>
      <c r="H22" s="5">
        <v>9.9999999999999995E-7</v>
      </c>
      <c r="I22" s="12"/>
      <c r="J22" s="12"/>
      <c r="K22" s="12"/>
      <c r="L22" s="12">
        <f t="shared" si="35"/>
        <v>44.151932317839218</v>
      </c>
      <c r="M22" s="5">
        <f t="shared" si="1"/>
        <v>0.22503533291457295</v>
      </c>
      <c r="N22" s="5">
        <f t="shared" si="2"/>
        <v>1.818467336683418E-2</v>
      </c>
      <c r="O22" s="12">
        <f t="shared" si="3"/>
        <v>3.6369346733668359E-2</v>
      </c>
      <c r="P22" s="5">
        <f t="shared" si="4"/>
        <v>1897.1962050160116</v>
      </c>
      <c r="Q22" s="5">
        <v>4.7E-2</v>
      </c>
      <c r="R22" s="5">
        <f t="shared" si="5"/>
        <v>5.5131715547597548E-2</v>
      </c>
      <c r="S22" s="5">
        <f t="shared" si="6"/>
        <v>5.6000000000000001E-2</v>
      </c>
      <c r="T22" s="5">
        <f t="shared" si="7"/>
        <v>7.977443845417484E-2</v>
      </c>
      <c r="U22" s="5">
        <f t="shared" si="8"/>
        <v>8.7074722341604224E-2</v>
      </c>
      <c r="V22" s="5">
        <f t="shared" si="9"/>
        <v>-0.34031897298263536</v>
      </c>
      <c r="W22" s="5">
        <f t="shared" si="10"/>
        <v>0.3895547355705582</v>
      </c>
      <c r="X22" s="5">
        <f t="shared" si="11"/>
        <v>0.34112748995075981</v>
      </c>
      <c r="Y22" s="5">
        <f t="shared" si="12"/>
        <v>3.3011362599166438</v>
      </c>
      <c r="Z22" s="12">
        <f t="shared" si="13"/>
        <v>4.5205550599332014</v>
      </c>
      <c r="AA22" s="12">
        <f t="shared" si="14"/>
        <v>0.69364667462145957</v>
      </c>
      <c r="AB22" s="12">
        <f t="shared" si="15"/>
        <v>5.8518612919311673E-2</v>
      </c>
      <c r="AC22" s="1">
        <f t="shared" si="16"/>
        <v>2.2896373524368772E-2</v>
      </c>
      <c r="AD22" s="1">
        <f t="shared" si="17"/>
        <v>2.7957294794586285E-3</v>
      </c>
      <c r="AE22" s="12">
        <f t="shared" si="18"/>
        <v>0.81642397642269393</v>
      </c>
      <c r="AF22" s="5">
        <f t="shared" si="19"/>
        <v>0</v>
      </c>
      <c r="AG22" s="5">
        <f t="shared" si="20"/>
        <v>0</v>
      </c>
      <c r="AH22" s="5">
        <f t="shared" si="21"/>
        <v>0</v>
      </c>
      <c r="AI22" s="5">
        <f t="shared" si="22"/>
        <v>6.401206643477383E-5</v>
      </c>
      <c r="AJ22" s="5">
        <f t="shared" si="23"/>
        <v>3.7622234058412774E-5</v>
      </c>
      <c r="AK22" s="5" t="e">
        <f t="shared" si="24"/>
        <v>#NUM!</v>
      </c>
      <c r="AL22" s="5">
        <f t="shared" si="25"/>
        <v>1.6810776302341964E-6</v>
      </c>
      <c r="AM22" s="5">
        <f t="shared" si="26"/>
        <v>1.1852776559625833E-6</v>
      </c>
      <c r="AN22" s="13">
        <f t="shared" si="27"/>
        <v>0</v>
      </c>
      <c r="AO22" s="13">
        <f t="shared" si="28"/>
        <v>0</v>
      </c>
      <c r="AP22" s="13">
        <f t="shared" si="29"/>
        <v>0</v>
      </c>
      <c r="AQ22" s="13">
        <f t="shared" si="30"/>
        <v>5.2896899639730389E-6</v>
      </c>
      <c r="AR22" s="13">
        <f t="shared" si="31"/>
        <v>3.108944375726649E-6</v>
      </c>
      <c r="AS22" s="13" t="e">
        <f t="shared" si="32"/>
        <v>#NUM!</v>
      </c>
      <c r="AT22" s="13">
        <f t="shared" si="33"/>
        <v>1.3891723802371617E-7</v>
      </c>
      <c r="AU22" s="14">
        <f t="shared" si="34"/>
        <v>9.7946397772604857E-8</v>
      </c>
    </row>
    <row r="23" spans="1:47" x14ac:dyDescent="0.35">
      <c r="A23" s="5">
        <v>7.4999999999999997E-2</v>
      </c>
      <c r="B23" s="5">
        <v>0.02</v>
      </c>
      <c r="C23" s="5">
        <f t="shared" si="0"/>
        <v>0.15</v>
      </c>
      <c r="D23" s="5">
        <v>9.81</v>
      </c>
      <c r="E23" s="5">
        <v>1000</v>
      </c>
      <c r="F23" s="5">
        <v>2650</v>
      </c>
      <c r="G23" s="5">
        <v>1.65</v>
      </c>
      <c r="H23" s="5">
        <v>9.9999999999999995E-7</v>
      </c>
      <c r="I23" s="12"/>
      <c r="J23" s="12"/>
      <c r="K23" s="12"/>
      <c r="L23" s="12">
        <f t="shared" si="35"/>
        <v>45.600786746231179</v>
      </c>
      <c r="M23" s="5">
        <f t="shared" si="1"/>
        <v>0.2324199120603016</v>
      </c>
      <c r="N23" s="5">
        <f t="shared" si="2"/>
        <v>1.878140703517589E-2</v>
      </c>
      <c r="O23" s="12">
        <f t="shared" si="3"/>
        <v>3.756281407035178E-2</v>
      </c>
      <c r="P23" s="5">
        <f t="shared" si="4"/>
        <v>1897.1962050160116</v>
      </c>
      <c r="Q23" s="5">
        <v>4.7E-2</v>
      </c>
      <c r="R23" s="5">
        <f t="shared" si="5"/>
        <v>5.5131715547597548E-2</v>
      </c>
      <c r="S23" s="5">
        <f t="shared" si="6"/>
        <v>5.6000000000000001E-2</v>
      </c>
      <c r="T23" s="5">
        <f t="shared" si="7"/>
        <v>7.977443845417484E-2</v>
      </c>
      <c r="U23" s="5">
        <f t="shared" si="8"/>
        <v>8.7074722341604224E-2</v>
      </c>
      <c r="V23" s="5">
        <f t="shared" si="9"/>
        <v>-0.31867140905633151</v>
      </c>
      <c r="W23" s="5">
        <f t="shared" si="10"/>
        <v>0.3895547355705582</v>
      </c>
      <c r="X23" s="5">
        <f t="shared" si="11"/>
        <v>0.34112748995075981</v>
      </c>
      <c r="Y23" s="5">
        <f t="shared" si="12"/>
        <v>3.3884242961168698</v>
      </c>
      <c r="Z23" s="12">
        <f t="shared" si="13"/>
        <v>4.5205550599332014</v>
      </c>
      <c r="AA23" s="12">
        <f t="shared" si="14"/>
        <v>0.72357566913404525</v>
      </c>
      <c r="AB23" s="12">
        <f t="shared" si="15"/>
        <v>5.8518612919311673E-2</v>
      </c>
      <c r="AC23" s="1">
        <f t="shared" si="16"/>
        <v>2.4668058404302404E-2</v>
      </c>
      <c r="AD23" s="1">
        <f t="shared" si="17"/>
        <v>3.5875926305667886E-3</v>
      </c>
      <c r="AE23" s="12">
        <f t="shared" si="18"/>
        <v>0.81642397642269393</v>
      </c>
      <c r="AF23" s="5">
        <f t="shared" si="19"/>
        <v>0</v>
      </c>
      <c r="AG23" s="5">
        <f t="shared" si="20"/>
        <v>0</v>
      </c>
      <c r="AH23" s="5">
        <f t="shared" si="21"/>
        <v>0</v>
      </c>
      <c r="AI23" s="5">
        <f t="shared" si="22"/>
        <v>8.8498944541666444E-5</v>
      </c>
      <c r="AJ23" s="5">
        <f t="shared" si="23"/>
        <v>5.2940899210809977E-5</v>
      </c>
      <c r="AK23" s="5" t="e">
        <f t="shared" si="24"/>
        <v>#NUM!</v>
      </c>
      <c r="AL23" s="5">
        <f t="shared" si="25"/>
        <v>2.0728773486348881E-6</v>
      </c>
      <c r="AM23" s="5">
        <f t="shared" si="26"/>
        <v>1.4616839194521741E-6</v>
      </c>
      <c r="AN23" s="13">
        <f t="shared" si="27"/>
        <v>0</v>
      </c>
      <c r="AO23" s="13">
        <f t="shared" si="28"/>
        <v>0</v>
      </c>
      <c r="AP23" s="13">
        <f t="shared" si="29"/>
        <v>0</v>
      </c>
      <c r="AQ23" s="13">
        <f t="shared" si="30"/>
        <v>7.3131833549112263E-6</v>
      </c>
      <c r="AR23" s="13">
        <f t="shared" si="31"/>
        <v>4.3748149190665815E-6</v>
      </c>
      <c r="AS23" s="13" t="e">
        <f t="shared" si="32"/>
        <v>#NUM!</v>
      </c>
      <c r="AT23" s="13">
        <f t="shared" si="33"/>
        <v>1.7129393125894251E-7</v>
      </c>
      <c r="AU23" s="14">
        <f t="shared" si="34"/>
        <v>1.207874575820083E-7</v>
      </c>
    </row>
    <row r="24" spans="1:47" x14ac:dyDescent="0.35">
      <c r="A24" s="5">
        <v>7.4999999999999997E-2</v>
      </c>
      <c r="B24" s="5">
        <v>0.02</v>
      </c>
      <c r="C24" s="5">
        <f t="shared" si="0"/>
        <v>0.15</v>
      </c>
      <c r="D24" s="5">
        <v>9.81</v>
      </c>
      <c r="E24" s="5">
        <v>1000</v>
      </c>
      <c r="F24" s="5">
        <v>2650</v>
      </c>
      <c r="G24" s="5">
        <v>1.65</v>
      </c>
      <c r="H24" s="5">
        <v>9.9999999999999995E-7</v>
      </c>
      <c r="I24" s="12"/>
      <c r="J24" s="12"/>
      <c r="K24" s="12"/>
      <c r="L24" s="12">
        <f t="shared" si="35"/>
        <v>47.04964117462314</v>
      </c>
      <c r="M24" s="5">
        <f t="shared" si="1"/>
        <v>0.23980449120603026</v>
      </c>
      <c r="N24" s="5">
        <f t="shared" si="2"/>
        <v>1.93781407035176E-2</v>
      </c>
      <c r="O24" s="12">
        <f t="shared" si="3"/>
        <v>3.8756281407035201E-2</v>
      </c>
      <c r="P24" s="5">
        <f t="shared" si="4"/>
        <v>1897.1962050160116</v>
      </c>
      <c r="Q24" s="5">
        <v>4.7E-2</v>
      </c>
      <c r="R24" s="5">
        <f t="shared" si="5"/>
        <v>5.5131715547597548E-2</v>
      </c>
      <c r="S24" s="5">
        <f t="shared" si="6"/>
        <v>5.6000000000000001E-2</v>
      </c>
      <c r="T24" s="5">
        <f t="shared" si="7"/>
        <v>7.977443845417484E-2</v>
      </c>
      <c r="U24" s="5">
        <f t="shared" si="8"/>
        <v>8.7074722341604224E-2</v>
      </c>
      <c r="V24" s="5">
        <f t="shared" si="9"/>
        <v>-0.29702384513002755</v>
      </c>
      <c r="W24" s="5">
        <f t="shared" si="10"/>
        <v>0.3895547355705582</v>
      </c>
      <c r="X24" s="5">
        <f t="shared" si="11"/>
        <v>0.34112748995075981</v>
      </c>
      <c r="Y24" s="5">
        <f t="shared" si="12"/>
        <v>3.4743203373151039</v>
      </c>
      <c r="Z24" s="12">
        <f t="shared" si="13"/>
        <v>4.5205550599332014</v>
      </c>
      <c r="AA24" s="12">
        <f t="shared" si="14"/>
        <v>0.75361236629957662</v>
      </c>
      <c r="AB24" s="12">
        <f t="shared" si="15"/>
        <v>5.8518612919311673E-2</v>
      </c>
      <c r="AC24" s="1">
        <f t="shared" si="16"/>
        <v>2.6508369126994374E-2</v>
      </c>
      <c r="AD24" s="1">
        <f t="shared" si="17"/>
        <v>4.4975449640149079E-3</v>
      </c>
      <c r="AE24" s="12">
        <f t="shared" si="18"/>
        <v>0.81642397642269393</v>
      </c>
      <c r="AF24" s="5">
        <f t="shared" si="19"/>
        <v>0</v>
      </c>
      <c r="AG24" s="5">
        <f t="shared" si="20"/>
        <v>0</v>
      </c>
      <c r="AH24" s="5">
        <f t="shared" si="21"/>
        <v>0</v>
      </c>
      <c r="AI24" s="5">
        <f t="shared" si="22"/>
        <v>1.192225820713618E-4</v>
      </c>
      <c r="AJ24" s="5">
        <f t="shared" si="23"/>
        <v>7.2946022894623564E-5</v>
      </c>
      <c r="AK24" s="5" t="e">
        <f t="shared" si="24"/>
        <v>#NUM!</v>
      </c>
      <c r="AL24" s="5">
        <f t="shared" si="25"/>
        <v>2.5391726453754257E-6</v>
      </c>
      <c r="AM24" s="5">
        <f t="shared" si="26"/>
        <v>1.7907062435334196E-6</v>
      </c>
      <c r="AN24" s="13">
        <f t="shared" si="27"/>
        <v>0</v>
      </c>
      <c r="AO24" s="13">
        <f t="shared" si="28"/>
        <v>0</v>
      </c>
      <c r="AP24" s="13">
        <f t="shared" si="29"/>
        <v>0</v>
      </c>
      <c r="AQ24" s="13">
        <f t="shared" si="30"/>
        <v>9.8520565103838102E-6</v>
      </c>
      <c r="AR24" s="13">
        <f t="shared" si="31"/>
        <v>6.027954832712958E-6</v>
      </c>
      <c r="AS24" s="13" t="e">
        <f t="shared" si="32"/>
        <v>#NUM!</v>
      </c>
      <c r="AT24" s="13">
        <f t="shared" si="33"/>
        <v>2.0982662812055051E-7</v>
      </c>
      <c r="AU24" s="14">
        <f t="shared" si="34"/>
        <v>1.4797648900296838E-7</v>
      </c>
    </row>
    <row r="25" spans="1:47" x14ac:dyDescent="0.35">
      <c r="A25" s="5">
        <v>7.4999999999999997E-2</v>
      </c>
      <c r="B25" s="5">
        <v>0.02</v>
      </c>
      <c r="C25" s="5">
        <f t="shared" si="0"/>
        <v>0.15</v>
      </c>
      <c r="D25" s="5">
        <v>9.81</v>
      </c>
      <c r="E25" s="5">
        <v>1000</v>
      </c>
      <c r="F25" s="5">
        <v>2650</v>
      </c>
      <c r="G25" s="5">
        <v>1.65</v>
      </c>
      <c r="H25" s="5">
        <v>9.9999999999999995E-7</v>
      </c>
      <c r="I25" s="12"/>
      <c r="J25" s="12"/>
      <c r="K25" s="12"/>
      <c r="L25" s="12">
        <f t="shared" si="35"/>
        <v>48.498495603015101</v>
      </c>
      <c r="M25" s="5">
        <f t="shared" si="1"/>
        <v>0.24718907035175891</v>
      </c>
      <c r="N25" s="5">
        <f t="shared" si="2"/>
        <v>1.9974874371859307E-2</v>
      </c>
      <c r="O25" s="12">
        <f t="shared" si="3"/>
        <v>3.9949748743718615E-2</v>
      </c>
      <c r="P25" s="5">
        <f t="shared" si="4"/>
        <v>1897.1962050160116</v>
      </c>
      <c r="Q25" s="5">
        <v>4.7E-2</v>
      </c>
      <c r="R25" s="5">
        <f t="shared" si="5"/>
        <v>5.5131715547597548E-2</v>
      </c>
      <c r="S25" s="5">
        <f t="shared" si="6"/>
        <v>5.6000000000000001E-2</v>
      </c>
      <c r="T25" s="5">
        <f t="shared" si="7"/>
        <v>7.977443845417484E-2</v>
      </c>
      <c r="U25" s="5">
        <f t="shared" si="8"/>
        <v>8.7074722341604224E-2</v>
      </c>
      <c r="V25" s="5">
        <f t="shared" si="9"/>
        <v>-0.27537628120372382</v>
      </c>
      <c r="W25" s="5">
        <f t="shared" si="10"/>
        <v>0.3895547355705582</v>
      </c>
      <c r="X25" s="5">
        <f t="shared" si="11"/>
        <v>0.34112748995075981</v>
      </c>
      <c r="Y25" s="5">
        <f t="shared" si="12"/>
        <v>3.558837347080368</v>
      </c>
      <c r="Z25" s="12">
        <f t="shared" si="13"/>
        <v>4.5205550599332014</v>
      </c>
      <c r="AA25" s="12">
        <f t="shared" si="14"/>
        <v>0.78374047016860815</v>
      </c>
      <c r="AB25" s="12">
        <f t="shared" si="15"/>
        <v>5.8518612919311673E-2</v>
      </c>
      <c r="AC25" s="1">
        <f t="shared" si="16"/>
        <v>2.8417064816025243E-2</v>
      </c>
      <c r="AD25" s="1">
        <f t="shared" si="17"/>
        <v>5.5255502870089667E-3</v>
      </c>
      <c r="AE25" s="12">
        <f t="shared" si="18"/>
        <v>0.81642397642269393</v>
      </c>
      <c r="AF25" s="5">
        <f t="shared" si="19"/>
        <v>0</v>
      </c>
      <c r="AG25" s="5">
        <f t="shared" si="20"/>
        <v>0</v>
      </c>
      <c r="AH25" s="5">
        <f t="shared" si="21"/>
        <v>0</v>
      </c>
      <c r="AI25" s="5">
        <f t="shared" si="22"/>
        <v>1.570199206501407E-4</v>
      </c>
      <c r="AJ25" s="5">
        <f t="shared" si="23"/>
        <v>9.860395317639074E-5</v>
      </c>
      <c r="AK25" s="5" t="e">
        <f t="shared" si="24"/>
        <v>#NUM!</v>
      </c>
      <c r="AL25" s="5">
        <f t="shared" si="25"/>
        <v>3.0911181197714375E-6</v>
      </c>
      <c r="AM25" s="5">
        <f t="shared" si="26"/>
        <v>2.1802434321067379E-6</v>
      </c>
      <c r="AN25" s="13">
        <f t="shared" si="27"/>
        <v>0</v>
      </c>
      <c r="AO25" s="13">
        <f t="shared" si="28"/>
        <v>0</v>
      </c>
      <c r="AP25" s="13">
        <f t="shared" si="29"/>
        <v>0</v>
      </c>
      <c r="AQ25" s="13">
        <f t="shared" si="30"/>
        <v>1.2975470792733E-5</v>
      </c>
      <c r="AR25" s="13">
        <f t="shared" si="31"/>
        <v>8.1482190870482001E-6</v>
      </c>
      <c r="AS25" s="13" t="e">
        <f t="shared" si="32"/>
        <v>#NUM!</v>
      </c>
      <c r="AT25" s="13">
        <f t="shared" si="33"/>
        <v>2.5543709813323037E-7</v>
      </c>
      <c r="AU25" s="14">
        <f t="shared" si="34"/>
        <v>1.8016621621776104E-7</v>
      </c>
    </row>
    <row r="26" spans="1:47" x14ac:dyDescent="0.35">
      <c r="A26" s="5">
        <v>7.4999999999999997E-2</v>
      </c>
      <c r="B26" s="5">
        <v>0.02</v>
      </c>
      <c r="C26" s="5">
        <f t="shared" si="0"/>
        <v>0.15</v>
      </c>
      <c r="D26" s="5">
        <v>9.81</v>
      </c>
      <c r="E26" s="5">
        <v>1000</v>
      </c>
      <c r="F26" s="5">
        <v>2650</v>
      </c>
      <c r="G26" s="5">
        <v>1.65</v>
      </c>
      <c r="H26" s="5">
        <v>9.9999999999999995E-7</v>
      </c>
      <c r="I26" s="12"/>
      <c r="J26" s="12"/>
      <c r="K26" s="12"/>
      <c r="L26" s="12">
        <f t="shared" si="35"/>
        <v>49.947350031407062</v>
      </c>
      <c r="M26" s="5">
        <f t="shared" si="1"/>
        <v>0.25457364949748756</v>
      </c>
      <c r="N26" s="5">
        <f t="shared" si="2"/>
        <v>2.0571608040201018E-2</v>
      </c>
      <c r="O26" s="12">
        <f t="shared" si="3"/>
        <v>4.1143216080402036E-2</v>
      </c>
      <c r="P26" s="5">
        <f t="shared" si="4"/>
        <v>1897.1962050160116</v>
      </c>
      <c r="Q26" s="5">
        <v>4.7E-2</v>
      </c>
      <c r="R26" s="5">
        <f t="shared" si="5"/>
        <v>5.5131715547597548E-2</v>
      </c>
      <c r="S26" s="5">
        <f t="shared" si="6"/>
        <v>5.6000000000000001E-2</v>
      </c>
      <c r="T26" s="5">
        <f t="shared" si="7"/>
        <v>7.977443845417484E-2</v>
      </c>
      <c r="U26" s="5">
        <f t="shared" si="8"/>
        <v>8.7074722341604224E-2</v>
      </c>
      <c r="V26" s="5">
        <f t="shared" si="9"/>
        <v>-0.25372871727741986</v>
      </c>
      <c r="W26" s="5">
        <f t="shared" si="10"/>
        <v>0.3895547355705582</v>
      </c>
      <c r="X26" s="5">
        <f t="shared" si="11"/>
        <v>0.34112748995075981</v>
      </c>
      <c r="Y26" s="5">
        <f t="shared" si="12"/>
        <v>3.6419893475087557</v>
      </c>
      <c r="Z26" s="12">
        <f t="shared" si="13"/>
        <v>4.5205550599332014</v>
      </c>
      <c r="AA26" s="12">
        <f t="shared" si="14"/>
        <v>0.81394469507184619</v>
      </c>
      <c r="AB26" s="12">
        <f t="shared" si="15"/>
        <v>5.8518612919311673E-2</v>
      </c>
      <c r="AC26" s="1">
        <f t="shared" si="16"/>
        <v>3.0393871714056216E-2</v>
      </c>
      <c r="AD26" s="1">
        <f t="shared" si="17"/>
        <v>6.6700600828053774E-3</v>
      </c>
      <c r="AE26" s="12">
        <f t="shared" si="18"/>
        <v>0.81642397642269393</v>
      </c>
      <c r="AF26" s="5">
        <f t="shared" si="19"/>
        <v>0</v>
      </c>
      <c r="AG26" s="5">
        <f t="shared" si="20"/>
        <v>0</v>
      </c>
      <c r="AH26" s="5">
        <f t="shared" si="21"/>
        <v>0</v>
      </c>
      <c r="AI26" s="5">
        <f t="shared" si="22"/>
        <v>2.0272895048183381E-4</v>
      </c>
      <c r="AJ26" s="5">
        <f t="shared" si="23"/>
        <v>1.309764634029338E-4</v>
      </c>
      <c r="AK26" s="5" t="e">
        <f t="shared" si="24"/>
        <v>#NUM!</v>
      </c>
      <c r="AL26" s="5">
        <f t="shared" si="25"/>
        <v>3.7411090306652995E-6</v>
      </c>
      <c r="AM26" s="5">
        <f t="shared" si="26"/>
        <v>2.6390786875016575E-6</v>
      </c>
      <c r="AN26" s="13">
        <f t="shared" si="27"/>
        <v>0</v>
      </c>
      <c r="AO26" s="13">
        <f t="shared" si="28"/>
        <v>0</v>
      </c>
      <c r="AP26" s="13">
        <f t="shared" si="29"/>
        <v>0</v>
      </c>
      <c r="AQ26" s="13">
        <f t="shared" si="30"/>
        <v>1.6752674214372633E-5</v>
      </c>
      <c r="AR26" s="13">
        <f t="shared" si="31"/>
        <v>1.082334819928281E-5</v>
      </c>
      <c r="AS26" s="13" t="e">
        <f t="shared" si="32"/>
        <v>#NUM!</v>
      </c>
      <c r="AT26" s="13">
        <f t="shared" si="33"/>
        <v>3.0914963374606543E-7</v>
      </c>
      <c r="AU26" s="14">
        <f t="shared" si="34"/>
        <v>2.1808244640309092E-7</v>
      </c>
    </row>
    <row r="27" spans="1:47" x14ac:dyDescent="0.35">
      <c r="A27" s="5">
        <v>7.4999999999999997E-2</v>
      </c>
      <c r="B27" s="5">
        <v>0.02</v>
      </c>
      <c r="C27" s="5">
        <f t="shared" si="0"/>
        <v>0.15</v>
      </c>
      <c r="D27" s="5">
        <v>9.81</v>
      </c>
      <c r="E27" s="5">
        <v>1000</v>
      </c>
      <c r="F27" s="5">
        <v>2650</v>
      </c>
      <c r="G27" s="5">
        <v>1.65</v>
      </c>
      <c r="H27" s="5">
        <v>9.9999999999999995E-7</v>
      </c>
      <c r="I27" s="12"/>
      <c r="J27" s="12"/>
      <c r="K27" s="12"/>
      <c r="L27" s="12">
        <f t="shared" si="35"/>
        <v>51.396204459799023</v>
      </c>
      <c r="M27" s="5">
        <f t="shared" si="1"/>
        <v>0.26195822864321622</v>
      </c>
      <c r="N27" s="5">
        <f t="shared" si="2"/>
        <v>2.1168341708542725E-2</v>
      </c>
      <c r="O27" s="12">
        <f t="shared" si="3"/>
        <v>4.2336683417085449E-2</v>
      </c>
      <c r="P27" s="5">
        <f t="shared" si="4"/>
        <v>1897.1962050160116</v>
      </c>
      <c r="Q27" s="5">
        <v>4.7E-2</v>
      </c>
      <c r="R27" s="5">
        <f t="shared" si="5"/>
        <v>5.5131715547597548E-2</v>
      </c>
      <c r="S27" s="5">
        <f t="shared" si="6"/>
        <v>5.6000000000000001E-2</v>
      </c>
      <c r="T27" s="5">
        <f t="shared" si="7"/>
        <v>7.977443845417484E-2</v>
      </c>
      <c r="U27" s="5">
        <f t="shared" si="8"/>
        <v>8.7074722341604224E-2</v>
      </c>
      <c r="V27" s="5">
        <f t="shared" si="9"/>
        <v>-0.23208115335111612</v>
      </c>
      <c r="W27" s="5">
        <f t="shared" si="10"/>
        <v>0.3895547355705582</v>
      </c>
      <c r="X27" s="5">
        <f t="shared" si="11"/>
        <v>0.34112748995075981</v>
      </c>
      <c r="Y27" s="5">
        <f t="shared" si="12"/>
        <v>3.7237913067717625</v>
      </c>
      <c r="Z27" s="12">
        <f t="shared" si="13"/>
        <v>4.5205550599332014</v>
      </c>
      <c r="AA27" s="12">
        <f t="shared" si="14"/>
        <v>0.84421071058965591</v>
      </c>
      <c r="AB27" s="12">
        <f t="shared" si="15"/>
        <v>5.8518612919311673E-2</v>
      </c>
      <c r="AC27" s="1">
        <f t="shared" si="16"/>
        <v>3.2438486539914171E-2</v>
      </c>
      <c r="AD27" s="1">
        <f t="shared" si="17"/>
        <v>7.9282609348918752E-3</v>
      </c>
      <c r="AE27" s="12">
        <f t="shared" si="18"/>
        <v>0.81642397642269393</v>
      </c>
      <c r="AF27" s="5">
        <f t="shared" si="19"/>
        <v>0</v>
      </c>
      <c r="AG27" s="5">
        <f t="shared" si="20"/>
        <v>0</v>
      </c>
      <c r="AH27" s="5">
        <f t="shared" si="21"/>
        <v>0</v>
      </c>
      <c r="AI27" s="5">
        <f t="shared" si="22"/>
        <v>2.5718078562141745E-4</v>
      </c>
      <c r="AJ27" s="5">
        <f t="shared" si="23"/>
        <v>1.7121453094357929E-4</v>
      </c>
      <c r="AK27" s="5" t="e">
        <f t="shared" si="24"/>
        <v>#NUM!</v>
      </c>
      <c r="AL27" s="5">
        <f t="shared" si="25"/>
        <v>4.5028721300327565E-6</v>
      </c>
      <c r="AM27" s="5">
        <f t="shared" si="26"/>
        <v>3.1769458104288748E-6</v>
      </c>
      <c r="AN27" s="13">
        <f t="shared" si="27"/>
        <v>0</v>
      </c>
      <c r="AO27" s="13">
        <f t="shared" si="28"/>
        <v>0</v>
      </c>
      <c r="AP27" s="13">
        <f t="shared" si="29"/>
        <v>0</v>
      </c>
      <c r="AQ27" s="13">
        <f t="shared" si="30"/>
        <v>2.1252346571478407E-5</v>
      </c>
      <c r="AR27" s="13">
        <f t="shared" si="31"/>
        <v>1.4148454134681814E-5</v>
      </c>
      <c r="AS27" s="13" t="e">
        <f t="shared" si="32"/>
        <v>#NUM!</v>
      </c>
      <c r="AT27" s="13">
        <f t="shared" si="33"/>
        <v>3.7209855644261596E-7</v>
      </c>
      <c r="AU27" s="14">
        <f t="shared" si="34"/>
        <v>2.6252954021779015E-7</v>
      </c>
    </row>
    <row r="28" spans="1:47" x14ac:dyDescent="0.35">
      <c r="A28" s="5">
        <v>7.4999999999999997E-2</v>
      </c>
      <c r="B28" s="5">
        <v>0.02</v>
      </c>
      <c r="C28" s="5">
        <f t="shared" si="0"/>
        <v>0.15</v>
      </c>
      <c r="D28" s="5">
        <v>9.81</v>
      </c>
      <c r="E28" s="5">
        <v>1000</v>
      </c>
      <c r="F28" s="5">
        <v>2650</v>
      </c>
      <c r="G28" s="5">
        <v>1.65</v>
      </c>
      <c r="H28" s="5">
        <v>9.9999999999999995E-7</v>
      </c>
      <c r="I28" s="12"/>
      <c r="J28" s="12"/>
      <c r="K28" s="12"/>
      <c r="L28" s="12">
        <f t="shared" si="35"/>
        <v>52.845058888190984</v>
      </c>
      <c r="M28" s="5">
        <f t="shared" si="1"/>
        <v>0.26934280778894487</v>
      </c>
      <c r="N28" s="5">
        <f t="shared" si="2"/>
        <v>2.1765075376884435E-2</v>
      </c>
      <c r="O28" s="12">
        <f t="shared" si="3"/>
        <v>4.353015075376887E-2</v>
      </c>
      <c r="P28" s="5">
        <f t="shared" si="4"/>
        <v>1897.1962050160116</v>
      </c>
      <c r="Q28" s="5">
        <v>4.7E-2</v>
      </c>
      <c r="R28" s="5">
        <f t="shared" si="5"/>
        <v>5.5131715547597548E-2</v>
      </c>
      <c r="S28" s="5">
        <f t="shared" si="6"/>
        <v>5.6000000000000001E-2</v>
      </c>
      <c r="T28" s="5">
        <f t="shared" si="7"/>
        <v>7.977443845417484E-2</v>
      </c>
      <c r="U28" s="5">
        <f t="shared" si="8"/>
        <v>8.7074722341604224E-2</v>
      </c>
      <c r="V28" s="5">
        <f t="shared" si="9"/>
        <v>-0.21043358942481216</v>
      </c>
      <c r="W28" s="5">
        <f t="shared" si="10"/>
        <v>0.3895547355705582</v>
      </c>
      <c r="X28" s="5">
        <f t="shared" si="11"/>
        <v>0.34112748995075981</v>
      </c>
      <c r="Y28" s="5">
        <f t="shared" si="12"/>
        <v>3.8042590335328206</v>
      </c>
      <c r="Z28" s="12">
        <f t="shared" si="13"/>
        <v>4.5205550599332014</v>
      </c>
      <c r="AA28" s="12">
        <f t="shared" si="14"/>
        <v>0.874525089630381</v>
      </c>
      <c r="AB28" s="12">
        <f t="shared" si="15"/>
        <v>5.8518612919311673E-2</v>
      </c>
      <c r="AC28" s="1">
        <f t="shared" si="16"/>
        <v>3.4550579610849209E-2</v>
      </c>
      <c r="AD28" s="1">
        <f t="shared" si="17"/>
        <v>9.2963133288494065E-3</v>
      </c>
      <c r="AE28" s="12">
        <f t="shared" si="18"/>
        <v>0.81642397642269393</v>
      </c>
      <c r="AF28" s="5">
        <f t="shared" si="19"/>
        <v>0</v>
      </c>
      <c r="AG28" s="5">
        <f t="shared" si="20"/>
        <v>0</v>
      </c>
      <c r="AH28" s="5">
        <f t="shared" si="21"/>
        <v>0</v>
      </c>
      <c r="AI28" s="5">
        <f t="shared" si="22"/>
        <v>3.2119301375581002E-4</v>
      </c>
      <c r="AJ28" s="5">
        <f t="shared" si="23"/>
        <v>2.2055056957664916E-4</v>
      </c>
      <c r="AK28" s="5" t="e">
        <f t="shared" si="24"/>
        <v>#NUM!</v>
      </c>
      <c r="AL28" s="5">
        <f t="shared" si="25"/>
        <v>5.391559270805436E-6</v>
      </c>
      <c r="AM28" s="5">
        <f t="shared" si="26"/>
        <v>3.8045977327851964E-6</v>
      </c>
      <c r="AN28" s="13">
        <f t="shared" si="27"/>
        <v>0</v>
      </c>
      <c r="AO28" s="13">
        <f t="shared" si="28"/>
        <v>0</v>
      </c>
      <c r="AP28" s="13">
        <f t="shared" si="29"/>
        <v>0</v>
      </c>
      <c r="AQ28" s="13">
        <f t="shared" si="30"/>
        <v>2.6542049897632952E-5</v>
      </c>
      <c r="AR28" s="13">
        <f t="shared" si="31"/>
        <v>1.8225378423408816E-5</v>
      </c>
      <c r="AS28" s="13" t="e">
        <f t="shared" si="32"/>
        <v>#NUM!</v>
      </c>
      <c r="AT28" s="13">
        <f t="shared" si="33"/>
        <v>4.4553595210062332E-7</v>
      </c>
      <c r="AU28" s="14">
        <f t="shared" si="34"/>
        <v>3.1439607506774184E-7</v>
      </c>
    </row>
    <row r="29" spans="1:47" x14ac:dyDescent="0.35">
      <c r="A29" s="5">
        <v>7.4999999999999997E-2</v>
      </c>
      <c r="B29" s="5">
        <v>0.02</v>
      </c>
      <c r="C29" s="5">
        <f t="shared" si="0"/>
        <v>0.15</v>
      </c>
      <c r="D29" s="5">
        <v>9.81</v>
      </c>
      <c r="E29" s="5">
        <v>1000</v>
      </c>
      <c r="F29" s="5">
        <v>2650</v>
      </c>
      <c r="G29" s="5">
        <v>1.65</v>
      </c>
      <c r="H29" s="5">
        <v>9.9999999999999995E-7</v>
      </c>
      <c r="I29" s="12"/>
      <c r="J29" s="12"/>
      <c r="K29" s="12"/>
      <c r="L29" s="12">
        <f t="shared" si="35"/>
        <v>54.293913316582945</v>
      </c>
      <c r="M29" s="5">
        <f t="shared" si="1"/>
        <v>0.27672738693467347</v>
      </c>
      <c r="N29" s="5">
        <f t="shared" si="2"/>
        <v>2.2361809045226146E-2</v>
      </c>
      <c r="O29" s="12">
        <f t="shared" si="3"/>
        <v>4.4723618090452291E-2</v>
      </c>
      <c r="P29" s="5">
        <f t="shared" si="4"/>
        <v>1897.1962050160116</v>
      </c>
      <c r="Q29" s="5">
        <v>4.7E-2</v>
      </c>
      <c r="R29" s="5">
        <f t="shared" si="5"/>
        <v>5.5131715547597548E-2</v>
      </c>
      <c r="S29" s="5">
        <f t="shared" si="6"/>
        <v>5.6000000000000001E-2</v>
      </c>
      <c r="T29" s="5">
        <f t="shared" si="7"/>
        <v>7.977443845417484E-2</v>
      </c>
      <c r="U29" s="5">
        <f t="shared" si="8"/>
        <v>8.7074722341604224E-2</v>
      </c>
      <c r="V29" s="5">
        <f t="shared" si="9"/>
        <v>-0.18878602549850831</v>
      </c>
      <c r="W29" s="5">
        <f t="shared" si="10"/>
        <v>0.3895547355705582</v>
      </c>
      <c r="X29" s="5">
        <f t="shared" si="11"/>
        <v>0.34112748995075981</v>
      </c>
      <c r="Y29" s="5">
        <f t="shared" si="12"/>
        <v>3.8834090780136421</v>
      </c>
      <c r="Z29" s="12">
        <f t="shared" si="13"/>
        <v>4.5205550599332014</v>
      </c>
      <c r="AA29" s="12">
        <f t="shared" si="14"/>
        <v>0.90487525935428625</v>
      </c>
      <c r="AB29" s="12">
        <f t="shared" si="15"/>
        <v>5.8518612919311673E-2</v>
      </c>
      <c r="AC29" s="1">
        <f t="shared" si="16"/>
        <v>3.6729797742853634E-2</v>
      </c>
      <c r="AD29" s="1">
        <f t="shared" si="17"/>
        <v>1.0769573011379511E-2</v>
      </c>
      <c r="AE29" s="12">
        <f t="shared" si="18"/>
        <v>0.81642397642269393</v>
      </c>
      <c r="AF29" s="5">
        <f t="shared" si="19"/>
        <v>0</v>
      </c>
      <c r="AG29" s="5">
        <f t="shared" si="20"/>
        <v>0</v>
      </c>
      <c r="AH29" s="5">
        <f t="shared" si="21"/>
        <v>0</v>
      </c>
      <c r="AI29" s="5">
        <f t="shared" si="22"/>
        <v>3.9556423848486461E-4</v>
      </c>
      <c r="AJ29" s="5">
        <f t="shared" si="23"/>
        <v>2.8028941145331275E-4</v>
      </c>
      <c r="AK29" s="5" t="e">
        <f t="shared" si="24"/>
        <v>#NUM!</v>
      </c>
      <c r="AL29" s="5">
        <f t="shared" si="25"/>
        <v>6.4238436047606623E-6</v>
      </c>
      <c r="AM29" s="5">
        <f t="shared" si="26"/>
        <v>4.533877302501612E-6</v>
      </c>
      <c r="AN29" s="13">
        <f t="shared" si="27"/>
        <v>0</v>
      </c>
      <c r="AO29" s="13">
        <f t="shared" si="28"/>
        <v>0</v>
      </c>
      <c r="AP29" s="13">
        <f t="shared" si="29"/>
        <v>0</v>
      </c>
      <c r="AQ29" s="13">
        <f t="shared" si="30"/>
        <v>3.2687777460709297E-5</v>
      </c>
      <c r="AR29" s="13">
        <f t="shared" si="31"/>
        <v>2.3161946947662801E-5</v>
      </c>
      <c r="AS29" s="13" t="e">
        <f t="shared" si="32"/>
        <v>#NUM!</v>
      </c>
      <c r="AT29" s="13">
        <f t="shared" si="33"/>
        <v>5.3083962038406465E-7</v>
      </c>
      <c r="AU29" s="14">
        <f t="shared" si="34"/>
        <v>3.7466069447024672E-7</v>
      </c>
    </row>
    <row r="30" spans="1:47" x14ac:dyDescent="0.35">
      <c r="A30" s="5">
        <v>7.4999999999999997E-2</v>
      </c>
      <c r="B30" s="5">
        <v>0.02</v>
      </c>
      <c r="C30" s="5">
        <f t="shared" si="0"/>
        <v>0.15</v>
      </c>
      <c r="D30" s="5">
        <v>9.81</v>
      </c>
      <c r="E30" s="5">
        <v>1000</v>
      </c>
      <c r="F30" s="5">
        <v>2650</v>
      </c>
      <c r="G30" s="5">
        <v>1.65</v>
      </c>
      <c r="H30" s="5">
        <v>9.9999999999999995E-7</v>
      </c>
      <c r="I30" s="12"/>
      <c r="J30" s="12"/>
      <c r="K30" s="12"/>
      <c r="L30" s="12">
        <f t="shared" si="35"/>
        <v>55.742767744974905</v>
      </c>
      <c r="M30" s="5">
        <f t="shared" si="1"/>
        <v>0.28411196608040212</v>
      </c>
      <c r="N30" s="5">
        <f t="shared" si="2"/>
        <v>2.2958542713567853E-2</v>
      </c>
      <c r="O30" s="12">
        <f t="shared" si="3"/>
        <v>4.5917085427135705E-2</v>
      </c>
      <c r="P30" s="5">
        <f t="shared" si="4"/>
        <v>1897.1962050160116</v>
      </c>
      <c r="Q30" s="5">
        <v>4.7E-2</v>
      </c>
      <c r="R30" s="5">
        <f t="shared" si="5"/>
        <v>5.5131715547597548E-2</v>
      </c>
      <c r="S30" s="5">
        <f t="shared" si="6"/>
        <v>5.6000000000000001E-2</v>
      </c>
      <c r="T30" s="5">
        <f t="shared" si="7"/>
        <v>7.977443845417484E-2</v>
      </c>
      <c r="U30" s="5">
        <f t="shared" si="8"/>
        <v>8.7074722341604224E-2</v>
      </c>
      <c r="V30" s="5">
        <f t="shared" si="9"/>
        <v>-0.16713846157220447</v>
      </c>
      <c r="W30" s="5">
        <f t="shared" si="10"/>
        <v>0.3895547355705582</v>
      </c>
      <c r="X30" s="5">
        <f t="shared" si="11"/>
        <v>0.34112748995075981</v>
      </c>
      <c r="Y30" s="5">
        <f t="shared" si="12"/>
        <v>3.9612586394794875</v>
      </c>
      <c r="Z30" s="12">
        <f t="shared" si="13"/>
        <v>4.5205550599332014</v>
      </c>
      <c r="AA30" s="12">
        <f t="shared" si="14"/>
        <v>0.93524945472178089</v>
      </c>
      <c r="AB30" s="12">
        <f t="shared" si="15"/>
        <v>5.8518612919311673E-2</v>
      </c>
      <c r="AC30" s="1">
        <f t="shared" si="16"/>
        <v>3.8975766941394339E-2</v>
      </c>
      <c r="AD30" s="1">
        <f t="shared" si="17"/>
        <v>1.2342790018060974E-2</v>
      </c>
      <c r="AE30" s="12">
        <f t="shared" si="18"/>
        <v>0.81642397642269393</v>
      </c>
      <c r="AF30" s="5">
        <f t="shared" si="19"/>
        <v>0</v>
      </c>
      <c r="AG30" s="5">
        <f t="shared" si="20"/>
        <v>0</v>
      </c>
      <c r="AH30" s="5">
        <f t="shared" si="21"/>
        <v>0</v>
      </c>
      <c r="AI30" s="5">
        <f t="shared" si="22"/>
        <v>4.8106970715051294E-4</v>
      </c>
      <c r="AJ30" s="5">
        <f t="shared" si="23"/>
        <v>3.5179834015636928E-4</v>
      </c>
      <c r="AK30" s="5" t="e">
        <f t="shared" si="24"/>
        <v>#NUM!</v>
      </c>
      <c r="AL30" s="5">
        <f t="shared" si="25"/>
        <v>7.6180181617570279E-6</v>
      </c>
      <c r="AM30" s="5">
        <f t="shared" si="26"/>
        <v>5.3777902263384078E-6</v>
      </c>
      <c r="AN30" s="13">
        <f t="shared" si="27"/>
        <v>0</v>
      </c>
      <c r="AO30" s="13">
        <f t="shared" si="28"/>
        <v>0</v>
      </c>
      <c r="AP30" s="13">
        <f t="shared" si="29"/>
        <v>0</v>
      </c>
      <c r="AQ30" s="13">
        <f t="shared" si="30"/>
        <v>3.975359246492209E-5</v>
      </c>
      <c r="AR30" s="13">
        <f t="shared" si="31"/>
        <v>2.9071146315261038E-5</v>
      </c>
      <c r="AS30" s="13" t="e">
        <f t="shared" si="32"/>
        <v>#NUM!</v>
      </c>
      <c r="AT30" s="13">
        <f t="shared" si="33"/>
        <v>6.2952122091968007E-7</v>
      </c>
      <c r="AU30" s="14">
        <f t="shared" si="34"/>
        <v>4.4439813574212547E-7</v>
      </c>
    </row>
    <row r="31" spans="1:47" x14ac:dyDescent="0.35">
      <c r="A31" s="5">
        <v>7.4999999999999997E-2</v>
      </c>
      <c r="B31" s="5">
        <v>0.02</v>
      </c>
      <c r="C31" s="5">
        <f t="shared" si="0"/>
        <v>0.15</v>
      </c>
      <c r="D31" s="5">
        <v>9.81</v>
      </c>
      <c r="E31" s="5">
        <v>1000</v>
      </c>
      <c r="F31" s="5">
        <v>2650</v>
      </c>
      <c r="G31" s="5">
        <v>1.65</v>
      </c>
      <c r="H31" s="5">
        <v>9.9999999999999995E-7</v>
      </c>
      <c r="I31" s="12"/>
      <c r="J31" s="12"/>
      <c r="K31" s="12"/>
      <c r="L31" s="12">
        <f t="shared" si="35"/>
        <v>57.191622173366866</v>
      </c>
      <c r="M31" s="5">
        <f t="shared" si="1"/>
        <v>0.29149654522613078</v>
      </c>
      <c r="N31" s="5">
        <f t="shared" si="2"/>
        <v>2.3555276381909563E-2</v>
      </c>
      <c r="O31" s="12">
        <f t="shared" si="3"/>
        <v>4.7110552763819126E-2</v>
      </c>
      <c r="P31" s="5">
        <f t="shared" si="4"/>
        <v>1897.1962050160116</v>
      </c>
      <c r="Q31" s="5">
        <v>4.7E-2</v>
      </c>
      <c r="R31" s="5">
        <f t="shared" si="5"/>
        <v>5.5131715547597548E-2</v>
      </c>
      <c r="S31" s="5">
        <f t="shared" si="6"/>
        <v>5.6000000000000001E-2</v>
      </c>
      <c r="T31" s="5">
        <f t="shared" si="7"/>
        <v>7.977443845417484E-2</v>
      </c>
      <c r="U31" s="5">
        <f t="shared" si="8"/>
        <v>8.7074722341604224E-2</v>
      </c>
      <c r="V31" s="5">
        <f t="shared" si="9"/>
        <v>-0.14549089764590062</v>
      </c>
      <c r="W31" s="5">
        <f t="shared" si="10"/>
        <v>0.3895547355705582</v>
      </c>
      <c r="X31" s="5">
        <f t="shared" si="11"/>
        <v>0.34112748995075981</v>
      </c>
      <c r="Y31" s="5">
        <f t="shared" si="12"/>
        <v>4.0378254799025335</v>
      </c>
      <c r="Z31" s="12">
        <f t="shared" si="13"/>
        <v>4.5205550599332014</v>
      </c>
      <c r="AA31" s="12">
        <f t="shared" si="14"/>
        <v>0.96563667447774382</v>
      </c>
      <c r="AB31" s="12">
        <f t="shared" si="15"/>
        <v>5.8518612919311673E-2</v>
      </c>
      <c r="AC31" s="1">
        <f t="shared" si="16"/>
        <v>4.1288094894410883E-2</v>
      </c>
      <c r="AD31" s="1">
        <f t="shared" si="17"/>
        <v>1.4010283291359621E-2</v>
      </c>
      <c r="AE31" s="12">
        <f t="shared" si="18"/>
        <v>0.81642397642269393</v>
      </c>
      <c r="AF31" s="5">
        <f t="shared" si="19"/>
        <v>9.2991744195008509E-6</v>
      </c>
      <c r="AG31" s="5">
        <f t="shared" si="20"/>
        <v>4.6495872097504255E-6</v>
      </c>
      <c r="AH31" s="5">
        <f t="shared" si="21"/>
        <v>0</v>
      </c>
      <c r="AI31" s="5">
        <f t="shared" si="22"/>
        <v>5.7845790603123527E-4</v>
      </c>
      <c r="AJ31" s="5">
        <f t="shared" si="23"/>
        <v>4.3649646847161201E-4</v>
      </c>
      <c r="AK31" s="5" t="e">
        <f t="shared" si="24"/>
        <v>#NUM!</v>
      </c>
      <c r="AL31" s="5">
        <f t="shared" si="25"/>
        <v>8.994096576078173E-6</v>
      </c>
      <c r="AM31" s="5">
        <f t="shared" si="26"/>
        <v>6.3505800626190198E-6</v>
      </c>
      <c r="AN31" s="13">
        <f t="shared" si="27"/>
        <v>7.684449563925761E-7</v>
      </c>
      <c r="AO31" s="13">
        <f t="shared" si="28"/>
        <v>3.8422247819628805E-7</v>
      </c>
      <c r="AP31" s="13">
        <f t="shared" si="29"/>
        <v>0</v>
      </c>
      <c r="AQ31" s="13">
        <f t="shared" si="30"/>
        <v>4.7801346691911336E-5</v>
      </c>
      <c r="AR31" s="13">
        <f t="shared" si="31"/>
        <v>3.6070246083005053E-5</v>
      </c>
      <c r="AS31" s="13" t="e">
        <f t="shared" si="32"/>
        <v>#NUM!</v>
      </c>
      <c r="AT31" s="13">
        <f t="shared" si="33"/>
        <v>7.432345969015597E-7</v>
      </c>
      <c r="AU31" s="14">
        <f t="shared" si="34"/>
        <v>5.2478542708620171E-7</v>
      </c>
    </row>
    <row r="32" spans="1:47" x14ac:dyDescent="0.35">
      <c r="A32" s="5">
        <v>7.4999999999999997E-2</v>
      </c>
      <c r="B32" s="5">
        <v>0.02</v>
      </c>
      <c r="C32" s="5">
        <f t="shared" si="0"/>
        <v>0.15</v>
      </c>
      <c r="D32" s="5">
        <v>9.81</v>
      </c>
      <c r="E32" s="5">
        <v>1000</v>
      </c>
      <c r="F32" s="5">
        <v>2650</v>
      </c>
      <c r="G32" s="5">
        <v>1.65</v>
      </c>
      <c r="H32" s="5">
        <v>9.9999999999999995E-7</v>
      </c>
      <c r="I32" s="12"/>
      <c r="J32" s="12"/>
      <c r="K32" s="12"/>
      <c r="L32" s="12">
        <f t="shared" si="35"/>
        <v>58.640476601758827</v>
      </c>
      <c r="M32" s="5">
        <f t="shared" si="1"/>
        <v>0.29888112437185943</v>
      </c>
      <c r="N32" s="5">
        <f t="shared" si="2"/>
        <v>2.415201005025127E-2</v>
      </c>
      <c r="O32" s="12">
        <f t="shared" si="3"/>
        <v>4.830402010050254E-2</v>
      </c>
      <c r="P32" s="5">
        <f t="shared" si="4"/>
        <v>1897.1962050160116</v>
      </c>
      <c r="Q32" s="5">
        <v>4.7E-2</v>
      </c>
      <c r="R32" s="5">
        <f t="shared" si="5"/>
        <v>5.5131715547597548E-2</v>
      </c>
      <c r="S32" s="5">
        <f t="shared" si="6"/>
        <v>5.6000000000000001E-2</v>
      </c>
      <c r="T32" s="5">
        <f t="shared" si="7"/>
        <v>7.977443845417484E-2</v>
      </c>
      <c r="U32" s="5">
        <f t="shared" si="8"/>
        <v>8.7074722341604224E-2</v>
      </c>
      <c r="V32" s="5">
        <f t="shared" si="9"/>
        <v>-0.12384333371959688</v>
      </c>
      <c r="W32" s="5">
        <f t="shared" si="10"/>
        <v>0.3895547355705582</v>
      </c>
      <c r="X32" s="5">
        <f t="shared" si="11"/>
        <v>0.34112748995075981</v>
      </c>
      <c r="Y32" s="5">
        <f t="shared" si="12"/>
        <v>4.1131278435550289</v>
      </c>
      <c r="Z32" s="12">
        <f t="shared" si="13"/>
        <v>4.5205550599332014</v>
      </c>
      <c r="AA32" s="12">
        <f t="shared" si="14"/>
        <v>0.99602663941013025</v>
      </c>
      <c r="AB32" s="12">
        <f t="shared" si="15"/>
        <v>5.8518612919311673E-2</v>
      </c>
      <c r="AC32" s="1">
        <f t="shared" si="16"/>
        <v>4.3666373278956012E-2</v>
      </c>
      <c r="AD32" s="1">
        <f t="shared" si="17"/>
        <v>1.5766090725617649E-2</v>
      </c>
      <c r="AE32" s="12">
        <f t="shared" si="18"/>
        <v>0.81642397642269393</v>
      </c>
      <c r="AF32" s="5">
        <f t="shared" si="19"/>
        <v>3.7671803806912794E-4</v>
      </c>
      <c r="AG32" s="5">
        <f t="shared" si="20"/>
        <v>1.8835901903456397E-4</v>
      </c>
      <c r="AH32" s="5">
        <f t="shared" si="21"/>
        <v>0</v>
      </c>
      <c r="AI32" s="5">
        <f t="shared" si="22"/>
        <v>6.8844800277470671E-4</v>
      </c>
      <c r="AJ32" s="5">
        <f t="shared" si="23"/>
        <v>5.3584373642498093E-4</v>
      </c>
      <c r="AK32" s="5" t="e">
        <f t="shared" si="24"/>
        <v>#NUM!</v>
      </c>
      <c r="AL32" s="5">
        <f t="shared" si="25"/>
        <v>1.0573915699277211E-5</v>
      </c>
      <c r="AM32" s="5">
        <f t="shared" si="26"/>
        <v>7.4678051413754827E-6</v>
      </c>
      <c r="AN32" s="13">
        <f t="shared" si="27"/>
        <v>3.1130406128232032E-5</v>
      </c>
      <c r="AO32" s="13">
        <f t="shared" si="28"/>
        <v>1.5565203064116016E-5</v>
      </c>
      <c r="AP32" s="13">
        <f t="shared" si="29"/>
        <v>0</v>
      </c>
      <c r="AQ32" s="13">
        <f t="shared" si="30"/>
        <v>5.689046915405233E-5</v>
      </c>
      <c r="AR32" s="13">
        <f t="shared" si="31"/>
        <v>4.427988960039657E-5</v>
      </c>
      <c r="AS32" s="13" t="e">
        <f t="shared" si="32"/>
        <v>#NUM!</v>
      </c>
      <c r="AT32" s="13">
        <f t="shared" si="33"/>
        <v>8.7378425458826931E-7</v>
      </c>
      <c r="AU32" s="14">
        <f t="shared" si="34"/>
        <v>6.1710824395103317E-7</v>
      </c>
    </row>
    <row r="33" spans="1:47" x14ac:dyDescent="0.35">
      <c r="A33" s="5">
        <v>7.4999999999999997E-2</v>
      </c>
      <c r="B33" s="5">
        <v>0.02</v>
      </c>
      <c r="C33" s="5">
        <f t="shared" si="0"/>
        <v>0.15</v>
      </c>
      <c r="D33" s="5">
        <v>9.81</v>
      </c>
      <c r="E33" s="5">
        <v>1000</v>
      </c>
      <c r="F33" s="5">
        <v>2650</v>
      </c>
      <c r="G33" s="5">
        <v>1.65</v>
      </c>
      <c r="H33" s="5">
        <v>9.9999999999999995E-7</v>
      </c>
      <c r="I33" s="12"/>
      <c r="J33" s="12"/>
      <c r="K33" s="12"/>
      <c r="L33" s="12">
        <f t="shared" si="35"/>
        <v>60.089331030150788</v>
      </c>
      <c r="M33" s="5">
        <f t="shared" si="1"/>
        <v>0.30626570351758808</v>
      </c>
      <c r="N33" s="5">
        <f t="shared" si="2"/>
        <v>2.474874371859298E-2</v>
      </c>
      <c r="O33" s="12">
        <f t="shared" si="3"/>
        <v>4.9497487437185961E-2</v>
      </c>
      <c r="P33" s="5">
        <f t="shared" si="4"/>
        <v>1897.1962050160116</v>
      </c>
      <c r="Q33" s="5">
        <v>4.7E-2</v>
      </c>
      <c r="R33" s="5">
        <f t="shared" si="5"/>
        <v>5.5131715547597548E-2</v>
      </c>
      <c r="S33" s="5">
        <f t="shared" si="6"/>
        <v>5.6000000000000001E-2</v>
      </c>
      <c r="T33" s="5">
        <f t="shared" si="7"/>
        <v>7.977443845417484E-2</v>
      </c>
      <c r="U33" s="5">
        <f t="shared" si="8"/>
        <v>8.7074722341604224E-2</v>
      </c>
      <c r="V33" s="5">
        <f t="shared" si="9"/>
        <v>-0.10219576979329292</v>
      </c>
      <c r="W33" s="5">
        <f t="shared" si="10"/>
        <v>0.3895547355705582</v>
      </c>
      <c r="X33" s="5">
        <f t="shared" si="11"/>
        <v>0.34112748995075981</v>
      </c>
      <c r="Y33" s="5">
        <f t="shared" si="12"/>
        <v>4.1871843822788009</v>
      </c>
      <c r="Z33" s="12">
        <f t="shared" si="13"/>
        <v>4.5205550599332014</v>
      </c>
      <c r="AA33" s="12">
        <f t="shared" si="14"/>
        <v>1.0264097527420353</v>
      </c>
      <c r="AB33" s="12">
        <f t="shared" si="15"/>
        <v>5.8518612919311673E-2</v>
      </c>
      <c r="AC33" s="1">
        <f t="shared" si="16"/>
        <v>4.611017989239679E-2</v>
      </c>
      <c r="AD33" s="1">
        <f t="shared" si="17"/>
        <v>1.7604095709083403E-2</v>
      </c>
      <c r="AE33" s="12">
        <f t="shared" si="18"/>
        <v>0.81642397642269393</v>
      </c>
      <c r="AF33" s="5">
        <f t="shared" si="19"/>
        <v>9.9849284115335955E-4</v>
      </c>
      <c r="AG33" s="5">
        <f t="shared" si="20"/>
        <v>4.9924642057667978E-4</v>
      </c>
      <c r="AH33" s="5">
        <f t="shared" si="21"/>
        <v>0</v>
      </c>
      <c r="AI33" s="5">
        <f t="shared" si="22"/>
        <v>8.1172801998880613E-4</v>
      </c>
      <c r="AJ33" s="5">
        <f t="shared" si="23"/>
        <v>6.5132977997919123E-4</v>
      </c>
      <c r="AK33" s="5" t="e">
        <f t="shared" si="24"/>
        <v>#NUM!</v>
      </c>
      <c r="AL33" s="5">
        <f t="shared" si="25"/>
        <v>1.2381239811800093E-5</v>
      </c>
      <c r="AM33" s="5">
        <f t="shared" si="26"/>
        <v>8.7464172742818464E-6</v>
      </c>
      <c r="AN33" s="13">
        <f t="shared" si="27"/>
        <v>8.2511280374454824E-5</v>
      </c>
      <c r="AO33" s="13">
        <f t="shared" si="28"/>
        <v>4.1255640187227412E-5</v>
      </c>
      <c r="AP33" s="13">
        <f t="shared" si="29"/>
        <v>0</v>
      </c>
      <c r="AQ33" s="13">
        <f t="shared" si="30"/>
        <v>6.7077815167640673E-5</v>
      </c>
      <c r="AR33" s="13">
        <f t="shared" si="31"/>
        <v>5.3823174165192355E-5</v>
      </c>
      <c r="AS33" s="13" t="e">
        <f t="shared" si="32"/>
        <v>#NUM!</v>
      </c>
      <c r="AT33" s="13">
        <f t="shared" si="33"/>
        <v>1.0231339749163933E-6</v>
      </c>
      <c r="AU33" s="14">
        <f t="shared" si="34"/>
        <v>7.2276741329124968E-7</v>
      </c>
    </row>
    <row r="34" spans="1:47" x14ac:dyDescent="0.35">
      <c r="A34" s="5">
        <v>7.4999999999999997E-2</v>
      </c>
      <c r="B34" s="5">
        <v>0.02</v>
      </c>
      <c r="C34" s="5">
        <f t="shared" ref="C34:C65" si="36">2*A34</f>
        <v>0.15</v>
      </c>
      <c r="D34" s="5">
        <v>9.81</v>
      </c>
      <c r="E34" s="5">
        <v>1000</v>
      </c>
      <c r="F34" s="5">
        <v>2650</v>
      </c>
      <c r="G34" s="5">
        <v>1.65</v>
      </c>
      <c r="H34" s="5">
        <v>9.9999999999999995E-7</v>
      </c>
      <c r="I34" s="12"/>
      <c r="J34" s="12"/>
      <c r="K34" s="12"/>
      <c r="L34" s="12">
        <f t="shared" si="35"/>
        <v>61.538185458542749</v>
      </c>
      <c r="M34" s="5">
        <f t="shared" ref="M34:M65" si="37">L34/ (E34*D34*B34)</f>
        <v>0.31365028266331674</v>
      </c>
      <c r="N34" s="5">
        <f t="shared" ref="N34:N65" si="38">L34/ (D34* E34 * G34 * C34)</f>
        <v>2.5345477386934687E-2</v>
      </c>
      <c r="O34" s="12">
        <f t="shared" ref="O34:O65" si="39">L34/ (D34* E34 * G34 * A34)</f>
        <v>5.0690954773869375E-2</v>
      </c>
      <c r="P34" s="5">
        <f t="shared" ref="P34:P65" si="40">A34 * (G34 * D34 / H34^2)^(1/3)</f>
        <v>1897.1962050160116</v>
      </c>
      <c r="Q34" s="5">
        <v>4.7E-2</v>
      </c>
      <c r="R34" s="5">
        <f t="shared" ref="R34:R65" si="41">0.3 / (1 + 1.2 * P34) + 0.055 * (1 - EXP(-0.02 * P34))</f>
        <v>5.5131715547597548E-2</v>
      </c>
      <c r="S34" s="5">
        <f t="shared" ref="S34:S65" si="42">IF(P34 &lt;= 4, 0.24 / P34, IF(P34 &lt;= 10, 0.14 * P34^(-0.64), IF(P34 &lt;= 20, 0.04 * P34^(-0.1), IF(P34 &lt;= 150, 0.013 * P34^(0.29), 0.056))))</f>
        <v>5.6000000000000001E-2</v>
      </c>
      <c r="T34" s="5">
        <f t="shared" ref="T34:T65" si="43">1.5*B34^0.75</f>
        <v>7.977443845417484E-2</v>
      </c>
      <c r="U34" s="5">
        <f t="shared" ref="U34:U65" si="44" xml:space="preserve"> (5 * B34 + 0.06) * (C34/A34)^(4.4 * SQRT(B34) - 1.5)</f>
        <v>8.7074722341604224E-2</v>
      </c>
      <c r="V34" s="5">
        <f t="shared" ref="V34:V65" si="45">O34/R34-1</f>
        <v>-8.0548205866989186E-2</v>
      </c>
      <c r="W34" s="5">
        <f t="shared" ref="W34:W65" si="46">2.45 * SQRT(R34) / (G34 + 1)^0.4</f>
        <v>0.3895547355705582</v>
      </c>
      <c r="X34" s="5">
        <f t="shared" ref="X34:X65" si="47" xml:space="preserve"> R34 * G34 * A34 / B34</f>
        <v>0.34112748995075981</v>
      </c>
      <c r="Y34" s="5">
        <f t="shared" ref="Y34:Y65" si="48" xml:space="preserve"> 6.5 * 2.5 * (M34 / C34) / SQRT(6.5^2 + 2.5^2 * (M34 / C34)^(5/3))</f>
        <v>4.2600140861747118</v>
      </c>
      <c r="Z34" s="12">
        <f t="shared" ref="Z34:Z65" si="49" xml:space="preserve"> 6.5 * 2.5 * (X34 / C34) / SQRT(6.5^2 + 2.5^2 * (X34 / C34)^(5/3))</f>
        <v>4.5205550599332014</v>
      </c>
      <c r="AA34" s="12">
        <f t="shared" ref="AA34:AA65" si="50">Y34 *SQRT(D34 * M34* B34)</f>
        <v>1.0567770625331929</v>
      </c>
      <c r="AB34" s="12">
        <f t="shared" ref="AB34:AB65" si="51" xml:space="preserve"> Z34 * R34^(3/2)</f>
        <v>5.8518612919311673E-2</v>
      </c>
      <c r="AC34" s="1">
        <f t="shared" ref="AC34:AC65" si="52">L34*AA34 / (E34 * (D34 * G34* A34)^(3/2))</f>
        <v>4.8619080618646782E-2</v>
      </c>
      <c r="AD34" s="1">
        <f t="shared" ref="AD34:AD65" si="53">(0.92 - 0.25 * SQRT(AB34 / AC34))^9</f>
        <v>1.9518131965779159E-2</v>
      </c>
      <c r="AE34" s="12">
        <f t="shared" ref="AE34:AE65" si="54">SQRT(2/3 + 36 / P34^3) - SQRT(36 / P34^3)</f>
        <v>0.81642397642269393</v>
      </c>
      <c r="AF34" s="5">
        <f t="shared" ref="AF34:AF65" si="55">IF(O34 &gt; Q34, 8 * (O34 - Q34)^(3/2), 0)</f>
        <v>1.7938993502495911E-3</v>
      </c>
      <c r="AG34" s="5">
        <f t="shared" ref="AG34:AG65" si="56">IF(O34 &gt; Q34, 4 * (O34 - Q34)^(3/2), 0)</f>
        <v>8.9694967512479555E-4</v>
      </c>
      <c r="AH34" s="5">
        <f t="shared" si="21"/>
        <v>0</v>
      </c>
      <c r="AI34" s="5">
        <f t="shared" ref="AI34:AI65" si="57" xml:space="preserve"> IF(AD34 * AC34 &lt; 0.00001, 0, AD34 * AC34)</f>
        <v>9.4895363156960368E-4</v>
      </c>
      <c r="AJ34" s="5">
        <f t="shared" ref="AJ34:AJ65" si="58" xml:space="preserve"> IF(O34&gt;= 0.19, 40 * AE34* O34^3, (AE34 * EXP(-0.391 / O34)) / 0.465)</f>
        <v>7.8446289120914813E-4</v>
      </c>
      <c r="AK34" s="5" t="e">
        <f t="shared" si="24"/>
        <v>#NUM!</v>
      </c>
      <c r="AL34" s="5">
        <f t="shared" ref="AL34:AL65" si="59" xml:space="preserve"> 14 * N34^2.5 / (1 + (T34 / N34)^4)</f>
        <v>1.444186611793525E-5</v>
      </c>
      <c r="AM34" s="5">
        <f t="shared" ref="AM34:AM65" si="60" xml:space="preserve"> 14 * N34^2.5 / (1 + (U34 / N34)^4)</f>
        <v>1.0204842101111994E-5</v>
      </c>
      <c r="AN34" s="13">
        <f t="shared" ref="AN34:AN65" si="61" xml:space="preserve"> AF34 * SQRT(G34 * D34 * A34^3)</f>
        <v>1.4824035401297611E-4</v>
      </c>
      <c r="AO34" s="13">
        <f t="shared" ref="AO34:AO65" si="62" xml:space="preserve"> AG34 * SQRT(G34 * D34 * A34^3)</f>
        <v>7.4120177006488055E-5</v>
      </c>
      <c r="AP34" s="13">
        <f t="shared" ref="AP34:AP65" si="63">AH34 * SQRT(G34 * D34 * A34^3)</f>
        <v>0</v>
      </c>
      <c r="AQ34" s="13">
        <f t="shared" ref="AQ34:AQ65" si="64" xml:space="preserve"> AI34 * SQRT(G34 * D34 * A34^3)</f>
        <v>7.8417566886461619E-5</v>
      </c>
      <c r="AR34" s="13">
        <f t="shared" ref="AR34:AR65" si="65" xml:space="preserve"> AJ34 * SQRT(G34 * D34 * A34^3)</f>
        <v>6.4824738738384187E-5</v>
      </c>
      <c r="AS34" s="13" t="e">
        <f t="shared" ref="AS34:AS65" si="66" xml:space="preserve"> AK34 * SQRT(G34 * D34 * A34^3)</f>
        <v>#NUM!</v>
      </c>
      <c r="AT34" s="13">
        <f t="shared" ref="AT34:AT65" si="67" xml:space="preserve"> AL34* SQRT(G34 * D34 * A34^3)</f>
        <v>1.193415531162805E-6</v>
      </c>
      <c r="AU34" s="14">
        <f t="shared" ref="AU34:AU65" si="68" xml:space="preserve"> AM34* SQRT(G34 * D34 * A34^3)</f>
        <v>8.4328555306343604E-7</v>
      </c>
    </row>
    <row r="35" spans="1:47" x14ac:dyDescent="0.35">
      <c r="A35" s="5">
        <v>7.4999999999999997E-2</v>
      </c>
      <c r="B35" s="5">
        <v>0.02</v>
      </c>
      <c r="C35" s="5">
        <f t="shared" si="36"/>
        <v>0.15</v>
      </c>
      <c r="D35" s="5">
        <v>9.81</v>
      </c>
      <c r="E35" s="5">
        <v>1000</v>
      </c>
      <c r="F35" s="5">
        <v>2650</v>
      </c>
      <c r="G35" s="5">
        <v>1.65</v>
      </c>
      <c r="H35" s="5">
        <v>9.9999999999999995E-7</v>
      </c>
      <c r="I35" s="12"/>
      <c r="J35" s="12"/>
      <c r="K35" s="12"/>
      <c r="L35" s="12">
        <f t="shared" ref="L35:L66" si="69">L34 + ($K$2 - $J$2) / 199</f>
        <v>62.98703988693471</v>
      </c>
      <c r="M35" s="5">
        <f t="shared" si="37"/>
        <v>0.32103486180904539</v>
      </c>
      <c r="N35" s="5">
        <f t="shared" si="38"/>
        <v>2.5942211055276398E-2</v>
      </c>
      <c r="O35" s="12">
        <f t="shared" si="39"/>
        <v>5.1884422110552796E-2</v>
      </c>
      <c r="P35" s="5">
        <f t="shared" si="40"/>
        <v>1897.1962050160116</v>
      </c>
      <c r="Q35" s="5">
        <v>4.7E-2</v>
      </c>
      <c r="R35" s="5">
        <f t="shared" si="41"/>
        <v>5.5131715547597548E-2</v>
      </c>
      <c r="S35" s="5">
        <f t="shared" si="42"/>
        <v>5.6000000000000001E-2</v>
      </c>
      <c r="T35" s="5">
        <f t="shared" si="43"/>
        <v>7.977443845417484E-2</v>
      </c>
      <c r="U35" s="5">
        <f t="shared" si="44"/>
        <v>8.7074722341604224E-2</v>
      </c>
      <c r="V35" s="5">
        <f t="shared" si="45"/>
        <v>-5.8900641940685228E-2</v>
      </c>
      <c r="W35" s="5">
        <f t="shared" si="46"/>
        <v>0.3895547355705582</v>
      </c>
      <c r="X35" s="5">
        <f t="shared" si="47"/>
        <v>0.34112748995075981</v>
      </c>
      <c r="Y35" s="5">
        <f t="shared" si="48"/>
        <v>4.3316362194546958</v>
      </c>
      <c r="Z35" s="12">
        <f t="shared" si="49"/>
        <v>4.5205550599332014</v>
      </c>
      <c r="AA35" s="12">
        <f t="shared" si="50"/>
        <v>1.0871202259803803</v>
      </c>
      <c r="AB35" s="12">
        <f t="shared" si="51"/>
        <v>5.8518612919311673E-2</v>
      </c>
      <c r="AC35" s="1">
        <f t="shared" si="52"/>
        <v>5.1192631239460766E-2</v>
      </c>
      <c r="AD35" s="1">
        <f t="shared" si="53"/>
        <v>2.150206887772407E-2</v>
      </c>
      <c r="AE35" s="12">
        <f t="shared" si="54"/>
        <v>0.81642397642269393</v>
      </c>
      <c r="AF35" s="5">
        <f t="shared" si="55"/>
        <v>2.7309249785518346E-3</v>
      </c>
      <c r="AG35" s="5">
        <f t="shared" si="56"/>
        <v>1.3654624892759173E-3</v>
      </c>
      <c r="AH35" s="5">
        <f t="shared" si="21"/>
        <v>0</v>
      </c>
      <c r="AI35" s="5">
        <f t="shared" si="57"/>
        <v>1.1007474829428142E-3</v>
      </c>
      <c r="AJ35" s="5">
        <f t="shared" si="58"/>
        <v>9.3675925901601611E-4</v>
      </c>
      <c r="AK35" s="5" t="e">
        <f t="shared" si="24"/>
        <v>#NUM!</v>
      </c>
      <c r="AL35" s="5">
        <f t="shared" si="59"/>
        <v>1.6783731180440991E-5</v>
      </c>
      <c r="AM35" s="5">
        <f t="shared" si="60"/>
        <v>1.1863060903320901E-5</v>
      </c>
      <c r="AN35" s="13">
        <f t="shared" si="61"/>
        <v>2.2567224050060411E-4</v>
      </c>
      <c r="AO35" s="13">
        <f t="shared" si="62"/>
        <v>1.1283612025030205E-4</v>
      </c>
      <c r="AP35" s="13">
        <f t="shared" si="63"/>
        <v>0</v>
      </c>
      <c r="AQ35" s="13">
        <f t="shared" si="64"/>
        <v>9.0961177129381338E-5</v>
      </c>
      <c r="AR35" s="13">
        <f t="shared" si="65"/>
        <v>7.7409874841722086E-5</v>
      </c>
      <c r="AS35" s="13" t="e">
        <f t="shared" si="66"/>
        <v>#NUM!</v>
      </c>
      <c r="AT35" s="13">
        <f t="shared" si="67"/>
        <v>1.3869374842579828E-6</v>
      </c>
      <c r="AU35" s="14">
        <f t="shared" si="68"/>
        <v>9.8031383295897232E-7</v>
      </c>
    </row>
    <row r="36" spans="1:47" x14ac:dyDescent="0.35">
      <c r="A36" s="5">
        <v>7.4999999999999997E-2</v>
      </c>
      <c r="B36" s="5">
        <v>0.02</v>
      </c>
      <c r="C36" s="5">
        <f t="shared" si="36"/>
        <v>0.15</v>
      </c>
      <c r="D36" s="5">
        <v>9.81</v>
      </c>
      <c r="E36" s="5">
        <v>1000</v>
      </c>
      <c r="F36" s="5">
        <v>2650</v>
      </c>
      <c r="G36" s="5">
        <v>1.65</v>
      </c>
      <c r="H36" s="5">
        <v>9.9999999999999995E-7</v>
      </c>
      <c r="I36" s="12"/>
      <c r="J36" s="12"/>
      <c r="K36" s="12"/>
      <c r="L36" s="12">
        <f t="shared" si="69"/>
        <v>64.435894315326664</v>
      </c>
      <c r="M36" s="5">
        <f t="shared" si="37"/>
        <v>0.32841944095477399</v>
      </c>
      <c r="N36" s="5">
        <f t="shared" si="38"/>
        <v>2.6538944723618105E-2</v>
      </c>
      <c r="O36" s="12">
        <f t="shared" si="39"/>
        <v>5.3077889447236209E-2</v>
      </c>
      <c r="P36" s="5">
        <f t="shared" si="40"/>
        <v>1897.1962050160116</v>
      </c>
      <c r="Q36" s="5">
        <v>4.7E-2</v>
      </c>
      <c r="R36" s="5">
        <f t="shared" si="41"/>
        <v>5.5131715547597548E-2</v>
      </c>
      <c r="S36" s="5">
        <f t="shared" si="42"/>
        <v>5.6000000000000001E-2</v>
      </c>
      <c r="T36" s="5">
        <f t="shared" si="43"/>
        <v>7.977443845417484E-2</v>
      </c>
      <c r="U36" s="5">
        <f t="shared" si="44"/>
        <v>8.7074722341604224E-2</v>
      </c>
      <c r="V36" s="5">
        <f t="shared" si="45"/>
        <v>-3.7253078014381491E-2</v>
      </c>
      <c r="W36" s="5">
        <f t="shared" si="46"/>
        <v>0.3895547355705582</v>
      </c>
      <c r="X36" s="5">
        <f t="shared" si="47"/>
        <v>0.34112748995075981</v>
      </c>
      <c r="Y36" s="5">
        <f t="shared" si="48"/>
        <v>4.4020702611998042</v>
      </c>
      <c r="Z36" s="12">
        <f t="shared" si="49"/>
        <v>4.5205550599332014</v>
      </c>
      <c r="AA36" s="12">
        <f t="shared" si="50"/>
        <v>1.1174314755170793</v>
      </c>
      <c r="AB36" s="12">
        <f t="shared" si="51"/>
        <v>5.8518612919311673E-2</v>
      </c>
      <c r="AC36" s="1">
        <f t="shared" si="52"/>
        <v>5.3830379100389639E-2</v>
      </c>
      <c r="AD36" s="1">
        <f t="shared" si="53"/>
        <v>2.3549879602890494E-2</v>
      </c>
      <c r="AE36" s="12">
        <f t="shared" si="54"/>
        <v>0.81642397642269393</v>
      </c>
      <c r="AF36" s="5">
        <f t="shared" si="55"/>
        <v>3.7906979589633939E-3</v>
      </c>
      <c r="AG36" s="5">
        <f t="shared" si="56"/>
        <v>1.895348979481697E-3</v>
      </c>
      <c r="AH36" s="5">
        <f t="shared" si="21"/>
        <v>0</v>
      </c>
      <c r="AI36" s="5">
        <f t="shared" si="57"/>
        <v>1.2676989467921287E-3</v>
      </c>
      <c r="AJ36" s="5">
        <f t="shared" si="58"/>
        <v>1.1097326472669629E-3</v>
      </c>
      <c r="AK36" s="5" t="e">
        <f t="shared" si="24"/>
        <v>#NUM!</v>
      </c>
      <c r="AL36" s="5">
        <f t="shared" si="59"/>
        <v>1.9437017922709798E-5</v>
      </c>
      <c r="AM36" s="5">
        <f t="shared" si="60"/>
        <v>1.3742693698764657E-5</v>
      </c>
      <c r="AN36" s="13">
        <f t="shared" si="61"/>
        <v>3.1324745578107028E-4</v>
      </c>
      <c r="AO36" s="13">
        <f t="shared" si="62"/>
        <v>1.5662372789053514E-4</v>
      </c>
      <c r="AP36" s="13">
        <f t="shared" si="63"/>
        <v>0</v>
      </c>
      <c r="AQ36" s="13">
        <f t="shared" si="64"/>
        <v>1.0475734919475589E-4</v>
      </c>
      <c r="AR36" s="13">
        <f t="shared" si="65"/>
        <v>9.1703673602269435E-5</v>
      </c>
      <c r="AS36" s="13" t="e">
        <f t="shared" si="66"/>
        <v>#NUM!</v>
      </c>
      <c r="AT36" s="13">
        <f t="shared" si="67"/>
        <v>1.6061940249982087E-6</v>
      </c>
      <c r="AU36" s="14">
        <f t="shared" si="68"/>
        <v>1.1356388410048331E-6</v>
      </c>
    </row>
    <row r="37" spans="1:47" x14ac:dyDescent="0.35">
      <c r="A37" s="5">
        <v>7.4999999999999997E-2</v>
      </c>
      <c r="B37" s="5">
        <v>0.02</v>
      </c>
      <c r="C37" s="5">
        <f t="shared" si="36"/>
        <v>0.15</v>
      </c>
      <c r="D37" s="5">
        <v>9.81</v>
      </c>
      <c r="E37" s="5">
        <v>1000</v>
      </c>
      <c r="F37" s="5">
        <v>2650</v>
      </c>
      <c r="G37" s="5">
        <v>1.65</v>
      </c>
      <c r="H37" s="5">
        <v>9.9999999999999995E-7</v>
      </c>
      <c r="I37" s="12"/>
      <c r="J37" s="12"/>
      <c r="K37" s="12"/>
      <c r="L37" s="12">
        <f t="shared" si="69"/>
        <v>65.884748743718617</v>
      </c>
      <c r="M37" s="5">
        <f t="shared" si="37"/>
        <v>0.33580402010050259</v>
      </c>
      <c r="N37" s="5">
        <f t="shared" si="38"/>
        <v>2.7135678391959812E-2</v>
      </c>
      <c r="O37" s="12">
        <f t="shared" si="39"/>
        <v>5.4271356783919623E-2</v>
      </c>
      <c r="P37" s="5">
        <f t="shared" si="40"/>
        <v>1897.1962050160116</v>
      </c>
      <c r="Q37" s="5">
        <v>4.7E-2</v>
      </c>
      <c r="R37" s="5">
        <f t="shared" si="41"/>
        <v>5.5131715547597548E-2</v>
      </c>
      <c r="S37" s="5">
        <f t="shared" si="42"/>
        <v>5.6000000000000001E-2</v>
      </c>
      <c r="T37" s="5">
        <f t="shared" si="43"/>
        <v>7.977443845417484E-2</v>
      </c>
      <c r="U37" s="5">
        <f t="shared" si="44"/>
        <v>8.7074722341604224E-2</v>
      </c>
      <c r="V37" s="5">
        <f t="shared" si="45"/>
        <v>-1.5605514088077643E-2</v>
      </c>
      <c r="W37" s="5">
        <f t="shared" si="46"/>
        <v>0.3895547355705582</v>
      </c>
      <c r="X37" s="5">
        <f t="shared" si="47"/>
        <v>0.34112748995075981</v>
      </c>
      <c r="Y37" s="5">
        <f t="shared" si="48"/>
        <v>4.4713358507701138</v>
      </c>
      <c r="Z37" s="12">
        <f t="shared" si="49"/>
        <v>4.5205550599332014</v>
      </c>
      <c r="AA37" s="12">
        <f t="shared" si="50"/>
        <v>1.1477035866216125</v>
      </c>
      <c r="AB37" s="12">
        <f t="shared" si="51"/>
        <v>5.8518612919311673E-2</v>
      </c>
      <c r="AC37" s="1">
        <f t="shared" si="52"/>
        <v>5.6531864640566254E-2</v>
      </c>
      <c r="AD37" s="1">
        <f t="shared" si="53"/>
        <v>2.565569427994599E-2</v>
      </c>
      <c r="AE37" s="12">
        <f t="shared" si="54"/>
        <v>0.81642397642269393</v>
      </c>
      <c r="AF37" s="5">
        <f t="shared" si="55"/>
        <v>4.9603596840305806E-3</v>
      </c>
      <c r="AG37" s="5">
        <f t="shared" si="56"/>
        <v>2.4801798420152903E-3</v>
      </c>
      <c r="AH37" s="5">
        <v>1.061717E-6</v>
      </c>
      <c r="AI37" s="5">
        <f t="shared" si="57"/>
        <v>1.4503642362936565E-3</v>
      </c>
      <c r="AJ37" s="5">
        <f t="shared" si="58"/>
        <v>1.3048846360031116E-3</v>
      </c>
      <c r="AK37" s="5" t="e">
        <f t="shared" si="24"/>
        <v>#NUM!</v>
      </c>
      <c r="AL37" s="5">
        <f t="shared" si="59"/>
        <v>2.2434262797736266E-5</v>
      </c>
      <c r="AM37" s="5">
        <f t="shared" si="60"/>
        <v>1.5867083414609817E-5</v>
      </c>
      <c r="AN37" s="13">
        <f t="shared" si="61"/>
        <v>4.0990341821021302E-4</v>
      </c>
      <c r="AO37" s="13">
        <f t="shared" si="62"/>
        <v>2.0495170910510651E-4</v>
      </c>
      <c r="AP37" s="13">
        <f t="shared" si="63"/>
        <v>8.7735860944314887E-8</v>
      </c>
      <c r="AQ37" s="13">
        <f t="shared" si="64"/>
        <v>1.1985204621765282E-4</v>
      </c>
      <c r="AR37" s="13">
        <f t="shared" si="65"/>
        <v>1.0783021932656437E-4</v>
      </c>
      <c r="AS37" s="13" t="e">
        <f t="shared" si="66"/>
        <v>#NUM!</v>
      </c>
      <c r="AT37" s="13">
        <f t="shared" si="67"/>
        <v>1.8538738300417207E-6</v>
      </c>
      <c r="AU37" s="14">
        <f t="shared" si="68"/>
        <v>1.3111895392614529E-6</v>
      </c>
    </row>
    <row r="38" spans="1:47" x14ac:dyDescent="0.35">
      <c r="A38" s="5">
        <v>7.4999999999999997E-2</v>
      </c>
      <c r="B38" s="5">
        <v>0.02</v>
      </c>
      <c r="C38" s="5">
        <f t="shared" si="36"/>
        <v>0.15</v>
      </c>
      <c r="D38" s="5">
        <v>9.81</v>
      </c>
      <c r="E38" s="5">
        <v>1000</v>
      </c>
      <c r="F38" s="5">
        <v>2650</v>
      </c>
      <c r="G38" s="5">
        <v>1.65</v>
      </c>
      <c r="H38" s="5">
        <v>9.9999999999999995E-7</v>
      </c>
      <c r="I38" s="12"/>
      <c r="J38" s="12"/>
      <c r="K38" s="12"/>
      <c r="L38" s="12">
        <f t="shared" si="69"/>
        <v>67.333603172110571</v>
      </c>
      <c r="M38" s="5">
        <f t="shared" si="37"/>
        <v>0.34318859924623124</v>
      </c>
      <c r="N38" s="5">
        <f t="shared" si="38"/>
        <v>2.7732412060301515E-2</v>
      </c>
      <c r="O38" s="12">
        <f t="shared" si="39"/>
        <v>5.546482412060303E-2</v>
      </c>
      <c r="P38" s="5">
        <f t="shared" si="40"/>
        <v>1897.1962050160116</v>
      </c>
      <c r="Q38" s="5">
        <v>4.7E-2</v>
      </c>
      <c r="R38" s="5">
        <f t="shared" si="41"/>
        <v>5.5131715547597548E-2</v>
      </c>
      <c r="S38" s="5">
        <f t="shared" si="42"/>
        <v>5.6000000000000001E-2</v>
      </c>
      <c r="T38" s="5">
        <f t="shared" si="43"/>
        <v>7.977443845417484E-2</v>
      </c>
      <c r="U38" s="5">
        <f t="shared" si="44"/>
        <v>8.7074722341604224E-2</v>
      </c>
      <c r="V38" s="5">
        <f t="shared" si="45"/>
        <v>6.0420498382258714E-3</v>
      </c>
      <c r="W38" s="5">
        <f t="shared" si="46"/>
        <v>0.3895547355705582</v>
      </c>
      <c r="X38" s="5">
        <f t="shared" si="47"/>
        <v>0.34112748995075981</v>
      </c>
      <c r="Y38" s="5">
        <f t="shared" si="48"/>
        <v>4.5394527376160854</v>
      </c>
      <c r="Z38" s="12">
        <f t="shared" si="49"/>
        <v>4.5205550599332014</v>
      </c>
      <c r="AA38" s="12">
        <f t="shared" si="50"/>
        <v>1.1779298472501945</v>
      </c>
      <c r="AB38" s="12">
        <f t="shared" si="51"/>
        <v>5.8518612919311673E-2</v>
      </c>
      <c r="AC38" s="1">
        <f t="shared" si="52"/>
        <v>5.9296622795070246E-2</v>
      </c>
      <c r="AD38" s="1">
        <f t="shared" si="53"/>
        <v>2.781384048799947E-2</v>
      </c>
      <c r="AE38" s="12">
        <f t="shared" si="54"/>
        <v>0.81642397642269393</v>
      </c>
      <c r="AF38" s="5">
        <f t="shared" si="55"/>
        <v>6.2304138512923922E-3</v>
      </c>
      <c r="AG38" s="5">
        <f t="shared" si="56"/>
        <v>3.1152069256461961E-3</v>
      </c>
      <c r="AH38" s="5">
        <v>2.2411379999999999E-5</v>
      </c>
      <c r="AI38" s="5">
        <f t="shared" si="57"/>
        <v>1.649266807899157E-3</v>
      </c>
      <c r="AJ38" s="5">
        <f t="shared" si="58"/>
        <v>1.5236955220018058E-3</v>
      </c>
      <c r="AK38" s="5">
        <v>4.8789410000000001E-7</v>
      </c>
      <c r="AL38" s="5">
        <f t="shared" si="59"/>
        <v>2.5810462694674951E-5</v>
      </c>
      <c r="AM38" s="5">
        <f t="shared" si="60"/>
        <v>1.8261380918206432E-5</v>
      </c>
      <c r="AN38" s="13">
        <f t="shared" si="61"/>
        <v>5.1485539299316366E-4</v>
      </c>
      <c r="AO38" s="13">
        <f t="shared" si="62"/>
        <v>2.5742769649658183E-4</v>
      </c>
      <c r="AP38" s="13">
        <f t="shared" si="63"/>
        <v>1.8519828911566828E-6</v>
      </c>
      <c r="AQ38" s="13">
        <f t="shared" si="64"/>
        <v>1.3628852445417614E-4</v>
      </c>
      <c r="AR38" s="13">
        <f t="shared" si="65"/>
        <v>1.259118375610692E-4</v>
      </c>
      <c r="AS38" s="13">
        <f t="shared" si="66"/>
        <v>4.0317531802873709E-8</v>
      </c>
      <c r="AT38" s="13">
        <f t="shared" si="67"/>
        <v>2.1328688962203944E-6</v>
      </c>
      <c r="AU38" s="14">
        <f t="shared" si="68"/>
        <v>1.5090442904191276E-6</v>
      </c>
    </row>
    <row r="39" spans="1:47" x14ac:dyDescent="0.35">
      <c r="A39" s="5">
        <v>7.4999999999999997E-2</v>
      </c>
      <c r="B39" s="5">
        <v>0.02</v>
      </c>
      <c r="C39" s="5">
        <f t="shared" si="36"/>
        <v>0.15</v>
      </c>
      <c r="D39" s="5">
        <v>9.81</v>
      </c>
      <c r="E39" s="5">
        <v>1000</v>
      </c>
      <c r="F39" s="5">
        <v>2650</v>
      </c>
      <c r="G39" s="5">
        <v>1.65</v>
      </c>
      <c r="H39" s="5">
        <v>9.9999999999999995E-7</v>
      </c>
      <c r="I39" s="12"/>
      <c r="J39" s="12"/>
      <c r="K39" s="12"/>
      <c r="L39" s="12">
        <f t="shared" si="69"/>
        <v>68.782457600502525</v>
      </c>
      <c r="M39" s="5">
        <f t="shared" si="37"/>
        <v>0.35057317839195984</v>
      </c>
      <c r="N39" s="5">
        <f t="shared" si="38"/>
        <v>2.8329145728643222E-2</v>
      </c>
      <c r="O39" s="12">
        <f t="shared" si="39"/>
        <v>5.6658291457286444E-2</v>
      </c>
      <c r="P39" s="5">
        <f t="shared" si="40"/>
        <v>1897.1962050160116</v>
      </c>
      <c r="Q39" s="5">
        <v>4.7E-2</v>
      </c>
      <c r="R39" s="5">
        <f t="shared" si="41"/>
        <v>5.5131715547597548E-2</v>
      </c>
      <c r="S39" s="5">
        <f t="shared" si="42"/>
        <v>5.6000000000000001E-2</v>
      </c>
      <c r="T39" s="5">
        <f t="shared" si="43"/>
        <v>7.977443845417484E-2</v>
      </c>
      <c r="U39" s="5">
        <f t="shared" si="44"/>
        <v>8.7074722341604224E-2</v>
      </c>
      <c r="V39" s="5">
        <f t="shared" si="45"/>
        <v>2.7689613764529719E-2</v>
      </c>
      <c r="W39" s="5">
        <f t="shared" si="46"/>
        <v>0.3895547355705582</v>
      </c>
      <c r="X39" s="5">
        <f t="shared" si="47"/>
        <v>0.34112748995075981</v>
      </c>
      <c r="Y39" s="5">
        <f t="shared" si="48"/>
        <v>4.606440735245946</v>
      </c>
      <c r="Z39" s="12">
        <f t="shared" si="49"/>
        <v>4.5205550599332014</v>
      </c>
      <c r="AA39" s="12">
        <f t="shared" si="50"/>
        <v>1.2081040288173444</v>
      </c>
      <c r="AB39" s="12">
        <f t="shared" si="51"/>
        <v>5.8518612919311673E-2</v>
      </c>
      <c r="AC39" s="1">
        <f t="shared" si="52"/>
        <v>6.2124184278204285E-2</v>
      </c>
      <c r="AD39" s="1">
        <f t="shared" si="53"/>
        <v>3.0018872951070689E-2</v>
      </c>
      <c r="AE39" s="12">
        <f t="shared" si="54"/>
        <v>0.81642397642269393</v>
      </c>
      <c r="AF39" s="5">
        <f t="shared" si="55"/>
        <v>7.5934729004354133E-3</v>
      </c>
      <c r="AG39" s="5">
        <f t="shared" si="56"/>
        <v>3.7967364502177066E-3</v>
      </c>
      <c r="AH39" s="5">
        <v>7.1498769999999998E-5</v>
      </c>
      <c r="AI39" s="5">
        <f t="shared" si="57"/>
        <v>1.8648979950363176E-3</v>
      </c>
      <c r="AJ39" s="5">
        <f t="shared" si="58"/>
        <v>1.7676159481462826E-3</v>
      </c>
      <c r="AK39" s="5">
        <v>4.2812900000000001E-6</v>
      </c>
      <c r="AL39" s="5">
        <f t="shared" si="59"/>
        <v>2.9603181125645184E-5</v>
      </c>
      <c r="AM39" s="5">
        <f t="shared" si="60"/>
        <v>2.09526306681962E-5</v>
      </c>
      <c r="AN39" s="13">
        <f t="shared" si="61"/>
        <v>6.2749290298358689E-4</v>
      </c>
      <c r="AO39" s="13">
        <f t="shared" si="62"/>
        <v>3.1374645149179344E-4</v>
      </c>
      <c r="AP39" s="13">
        <f t="shared" si="63"/>
        <v>5.9083598947832171E-6</v>
      </c>
      <c r="AQ39" s="13">
        <f t="shared" si="64"/>
        <v>1.5410738564781198E-4</v>
      </c>
      <c r="AR39" s="13">
        <f t="shared" si="65"/>
        <v>1.4606840337822184E-4</v>
      </c>
      <c r="AS39" s="13">
        <f t="shared" si="66"/>
        <v>3.5378793416916737E-7</v>
      </c>
      <c r="AT39" s="13">
        <f t="shared" si="67"/>
        <v>2.4462833153740336E-6</v>
      </c>
      <c r="AU39" s="14">
        <f t="shared" si="68"/>
        <v>1.7314379356480581E-6</v>
      </c>
    </row>
    <row r="40" spans="1:47" x14ac:dyDescent="0.35">
      <c r="A40" s="5">
        <v>7.4999999999999997E-2</v>
      </c>
      <c r="B40" s="5">
        <v>0.02</v>
      </c>
      <c r="C40" s="5">
        <f t="shared" si="36"/>
        <v>0.15</v>
      </c>
      <c r="D40" s="5">
        <v>9.81</v>
      </c>
      <c r="E40" s="5">
        <v>1000</v>
      </c>
      <c r="F40" s="5">
        <v>2650</v>
      </c>
      <c r="G40" s="5">
        <v>1.65</v>
      </c>
      <c r="H40" s="5">
        <v>9.9999999999999995E-7</v>
      </c>
      <c r="I40" s="12"/>
      <c r="J40" s="12"/>
      <c r="K40" s="12"/>
      <c r="L40" s="12">
        <f t="shared" si="69"/>
        <v>70.231312028894479</v>
      </c>
      <c r="M40" s="5">
        <f t="shared" si="37"/>
        <v>0.35795775753768844</v>
      </c>
      <c r="N40" s="5">
        <f t="shared" si="38"/>
        <v>2.8925879396984929E-2</v>
      </c>
      <c r="O40" s="12">
        <f t="shared" si="39"/>
        <v>5.7851758793969858E-2</v>
      </c>
      <c r="P40" s="5">
        <f t="shared" si="40"/>
        <v>1897.1962050160116</v>
      </c>
      <c r="Q40" s="5">
        <v>4.7E-2</v>
      </c>
      <c r="R40" s="5">
        <f t="shared" si="41"/>
        <v>5.5131715547597548E-2</v>
      </c>
      <c r="S40" s="5">
        <f t="shared" si="42"/>
        <v>5.6000000000000001E-2</v>
      </c>
      <c r="T40" s="5">
        <f t="shared" si="43"/>
        <v>7.977443845417484E-2</v>
      </c>
      <c r="U40" s="5">
        <f t="shared" si="44"/>
        <v>8.7074722341604224E-2</v>
      </c>
      <c r="V40" s="5">
        <f t="shared" si="45"/>
        <v>4.9337177690833567E-2</v>
      </c>
      <c r="W40" s="5">
        <f t="shared" si="46"/>
        <v>0.3895547355705582</v>
      </c>
      <c r="X40" s="5">
        <f t="shared" si="47"/>
        <v>0.34112748995075981</v>
      </c>
      <c r="Y40" s="5">
        <f t="shared" si="48"/>
        <v>4.6723196791096271</v>
      </c>
      <c r="Z40" s="12">
        <f t="shared" si="49"/>
        <v>4.5205550599332014</v>
      </c>
      <c r="AA40" s="12">
        <f t="shared" si="50"/>
        <v>1.2382203586511189</v>
      </c>
      <c r="AB40" s="12">
        <f t="shared" si="51"/>
        <v>5.8518612919311673E-2</v>
      </c>
      <c r="AC40" s="1">
        <f t="shared" si="52"/>
        <v>6.5014076755605443E-2</v>
      </c>
      <c r="AD40" s="1">
        <f t="shared" si="53"/>
        <v>3.2265594272256178E-2</v>
      </c>
      <c r="AE40" s="12">
        <f t="shared" si="54"/>
        <v>0.81642397642269393</v>
      </c>
      <c r="AF40" s="5">
        <f t="shared" si="55"/>
        <v>9.0435758399023871E-3</v>
      </c>
      <c r="AG40" s="5">
        <f t="shared" si="56"/>
        <v>4.5217879199511936E-3</v>
      </c>
      <c r="AH40" s="5">
        <v>1.4870279999999999E-4</v>
      </c>
      <c r="AI40" s="5">
        <f t="shared" si="57"/>
        <v>2.0977178225816866E-3</v>
      </c>
      <c r="AJ40" s="5">
        <f t="shared" si="58"/>
        <v>2.0380593071166286E-3</v>
      </c>
      <c r="AK40" s="5">
        <v>1.2168820000000001E-5</v>
      </c>
      <c r="AL40" s="5">
        <f t="shared" si="59"/>
        <v>3.3852653207919978E-5</v>
      </c>
      <c r="AM40" s="5">
        <f t="shared" si="60"/>
        <v>2.3969856730489534E-5</v>
      </c>
      <c r="AN40" s="13">
        <f t="shared" si="61"/>
        <v>7.4732335672221648E-4</v>
      </c>
      <c r="AO40" s="13">
        <f t="shared" si="62"/>
        <v>3.7366167836110824E-4</v>
      </c>
      <c r="AP40" s="13">
        <f t="shared" si="63"/>
        <v>1.2288178660443664E-5</v>
      </c>
      <c r="AQ40" s="13">
        <f t="shared" si="64"/>
        <v>1.7334664433407194E-4</v>
      </c>
      <c r="AR40" s="13">
        <f t="shared" si="65"/>
        <v>1.6841671364916573E-4</v>
      </c>
      <c r="AS40" s="13">
        <f t="shared" si="66"/>
        <v>1.0055804883753374E-6</v>
      </c>
      <c r="AT40" s="13">
        <f t="shared" si="67"/>
        <v>2.7974419496402359E-6</v>
      </c>
      <c r="AU40" s="14">
        <f t="shared" si="68"/>
        <v>1.9807689025996381E-6</v>
      </c>
    </row>
    <row r="41" spans="1:47" x14ac:dyDescent="0.35">
      <c r="A41" s="5">
        <v>7.4999999999999997E-2</v>
      </c>
      <c r="B41" s="5">
        <v>0.02</v>
      </c>
      <c r="C41" s="5">
        <f t="shared" si="36"/>
        <v>0.15</v>
      </c>
      <c r="D41" s="5">
        <v>9.81</v>
      </c>
      <c r="E41" s="5">
        <v>1000</v>
      </c>
      <c r="F41" s="5">
        <v>2650</v>
      </c>
      <c r="G41" s="5">
        <v>1.65</v>
      </c>
      <c r="H41" s="5">
        <v>9.9999999999999995E-7</v>
      </c>
      <c r="I41" s="12"/>
      <c r="J41" s="12"/>
      <c r="K41" s="12"/>
      <c r="L41" s="12">
        <f t="shared" si="69"/>
        <v>71.680166457286433</v>
      </c>
      <c r="M41" s="5">
        <f t="shared" si="37"/>
        <v>0.36534233668341703</v>
      </c>
      <c r="N41" s="5">
        <f t="shared" si="38"/>
        <v>2.9522613065326636E-2</v>
      </c>
      <c r="O41" s="12">
        <f t="shared" si="39"/>
        <v>5.9045226130653272E-2</v>
      </c>
      <c r="P41" s="5">
        <f t="shared" si="40"/>
        <v>1897.1962050160116</v>
      </c>
      <c r="Q41" s="5">
        <v>4.7E-2</v>
      </c>
      <c r="R41" s="5">
        <f t="shared" si="41"/>
        <v>5.5131715547597548E-2</v>
      </c>
      <c r="S41" s="5">
        <f t="shared" si="42"/>
        <v>5.6000000000000001E-2</v>
      </c>
      <c r="T41" s="5">
        <f t="shared" si="43"/>
        <v>7.977443845417484E-2</v>
      </c>
      <c r="U41" s="5">
        <f t="shared" si="44"/>
        <v>8.7074722341604224E-2</v>
      </c>
      <c r="V41" s="5">
        <f t="shared" si="45"/>
        <v>7.0984741617137415E-2</v>
      </c>
      <c r="W41" s="5">
        <f t="shared" si="46"/>
        <v>0.3895547355705582</v>
      </c>
      <c r="X41" s="5">
        <f t="shared" si="47"/>
        <v>0.34112748995075981</v>
      </c>
      <c r="Y41" s="5">
        <f t="shared" si="48"/>
        <v>4.7371093881665693</v>
      </c>
      <c r="Z41" s="12">
        <f t="shared" si="49"/>
        <v>4.5205550599332014</v>
      </c>
      <c r="AA41" s="12">
        <f t="shared" si="50"/>
        <v>1.2682734938548412</v>
      </c>
      <c r="AB41" s="12">
        <f t="shared" si="51"/>
        <v>5.8518612919311673E-2</v>
      </c>
      <c r="AC41" s="1">
        <f t="shared" si="52"/>
        <v>6.7965825912712899E-2</v>
      </c>
      <c r="AD41" s="1">
        <f t="shared" si="53"/>
        <v>3.4549068271084581E-2</v>
      </c>
      <c r="AE41" s="12">
        <f t="shared" si="54"/>
        <v>0.81642397642269393</v>
      </c>
      <c r="AF41" s="5">
        <f t="shared" si="55"/>
        <v>1.0575780377302255E-2</v>
      </c>
      <c r="AG41" s="5">
        <f t="shared" si="56"/>
        <v>5.2878901886511277E-3</v>
      </c>
      <c r="AH41" s="5">
        <v>2.5437879999999998E-4</v>
      </c>
      <c r="AI41" s="5">
        <f t="shared" si="57"/>
        <v>2.3481559595589672E-3</v>
      </c>
      <c r="AJ41" s="5">
        <f t="shared" si="58"/>
        <v>2.3363949440320313E-3</v>
      </c>
      <c r="AK41" s="5">
        <v>2.4368820000000001E-5</v>
      </c>
      <c r="AL41" s="5">
        <f t="shared" si="59"/>
        <v>3.8601888930003681E-5</v>
      </c>
      <c r="AM41" s="5">
        <f t="shared" si="60"/>
        <v>2.7344148886075487E-5</v>
      </c>
      <c r="AN41" s="13">
        <f t="shared" si="61"/>
        <v>8.7393834379651523E-4</v>
      </c>
      <c r="AO41" s="13">
        <f t="shared" si="62"/>
        <v>4.3696917189825761E-4</v>
      </c>
      <c r="AP41" s="13">
        <f t="shared" si="63"/>
        <v>2.1020802176080524E-5</v>
      </c>
      <c r="AQ41" s="13">
        <f t="shared" si="64"/>
        <v>1.9404180656750324E-4</v>
      </c>
      <c r="AR41" s="13">
        <f t="shared" si="65"/>
        <v>1.930699253384797E-4</v>
      </c>
      <c r="AS41" s="13">
        <f t="shared" si="66"/>
        <v>2.0137375617956948E-6</v>
      </c>
      <c r="AT41" s="13">
        <f t="shared" si="67"/>
        <v>3.1898989649319838E-6</v>
      </c>
      <c r="AU41" s="14">
        <f t="shared" si="68"/>
        <v>2.2596063209964254E-6</v>
      </c>
    </row>
    <row r="42" spans="1:47" x14ac:dyDescent="0.35">
      <c r="A42" s="5">
        <v>7.4999999999999997E-2</v>
      </c>
      <c r="B42" s="5">
        <v>0.02</v>
      </c>
      <c r="C42" s="5">
        <f t="shared" si="36"/>
        <v>0.15</v>
      </c>
      <c r="D42" s="5">
        <v>9.81</v>
      </c>
      <c r="E42" s="5">
        <v>1000</v>
      </c>
      <c r="F42" s="5">
        <v>2650</v>
      </c>
      <c r="G42" s="5">
        <v>1.65</v>
      </c>
      <c r="H42" s="5">
        <v>9.9999999999999995E-7</v>
      </c>
      <c r="I42" s="12"/>
      <c r="J42" s="12"/>
      <c r="K42" s="12"/>
      <c r="L42" s="12">
        <f t="shared" si="69"/>
        <v>73.129020885678386</v>
      </c>
      <c r="M42" s="5">
        <f t="shared" si="37"/>
        <v>0.37272691582914569</v>
      </c>
      <c r="N42" s="5">
        <f t="shared" si="38"/>
        <v>3.011934673366834E-2</v>
      </c>
      <c r="O42" s="12">
        <f t="shared" si="39"/>
        <v>6.0238693467336679E-2</v>
      </c>
      <c r="P42" s="5">
        <f t="shared" si="40"/>
        <v>1897.1962050160116</v>
      </c>
      <c r="Q42" s="5">
        <v>4.7E-2</v>
      </c>
      <c r="R42" s="5">
        <f t="shared" si="41"/>
        <v>5.5131715547597548E-2</v>
      </c>
      <c r="S42" s="5">
        <f t="shared" si="42"/>
        <v>5.6000000000000001E-2</v>
      </c>
      <c r="T42" s="5">
        <f t="shared" si="43"/>
        <v>7.977443845417484E-2</v>
      </c>
      <c r="U42" s="5">
        <f t="shared" si="44"/>
        <v>8.7074722341604224E-2</v>
      </c>
      <c r="V42" s="5">
        <f t="shared" si="45"/>
        <v>9.263230554344104E-2</v>
      </c>
      <c r="W42" s="5">
        <f t="shared" si="46"/>
        <v>0.3895547355705582</v>
      </c>
      <c r="X42" s="5">
        <f t="shared" si="47"/>
        <v>0.34112748995075981</v>
      </c>
      <c r="Y42" s="5">
        <f t="shared" si="48"/>
        <v>4.800829629912168</v>
      </c>
      <c r="Z42" s="12">
        <f t="shared" si="49"/>
        <v>4.5205550599332014</v>
      </c>
      <c r="AA42" s="12">
        <f t="shared" si="50"/>
        <v>1.2982584965106794</v>
      </c>
      <c r="AB42" s="12">
        <f t="shared" si="51"/>
        <v>5.8518612919311673E-2</v>
      </c>
      <c r="AC42" s="1">
        <f t="shared" si="52"/>
        <v>7.0978956426721959E-2</v>
      </c>
      <c r="AD42" s="1">
        <f t="shared" si="53"/>
        <v>3.686462729176708E-2</v>
      </c>
      <c r="AE42" s="12">
        <f t="shared" si="54"/>
        <v>0.81642397642269393</v>
      </c>
      <c r="AF42" s="5">
        <f t="shared" si="55"/>
        <v>1.2185901875673357E-2</v>
      </c>
      <c r="AG42" s="5">
        <f t="shared" si="56"/>
        <v>6.0929509378366787E-3</v>
      </c>
      <c r="AH42" s="5">
        <v>3.8885990000000001E-4</v>
      </c>
      <c r="AI42" s="5">
        <f t="shared" si="57"/>
        <v>2.6166127742296807E-3</v>
      </c>
      <c r="AJ42" s="5">
        <f t="shared" si="58"/>
        <v>2.6639421648494447E-3</v>
      </c>
      <c r="AK42" s="5">
        <v>4.1028900000000003E-5</v>
      </c>
      <c r="AL42" s="5">
        <f t="shared" si="59"/>
        <v>4.3896774164658887E-5</v>
      </c>
      <c r="AM42" s="5">
        <f t="shared" si="60"/>
        <v>3.1108748540041462E-5</v>
      </c>
      <c r="AN42" s="13">
        <f t="shared" si="61"/>
        <v>1.0069920632759424E-3</v>
      </c>
      <c r="AO42" s="13">
        <f t="shared" si="62"/>
        <v>5.0349603163797119E-4</v>
      </c>
      <c r="AP42" s="13">
        <f t="shared" si="63"/>
        <v>3.213375891430597E-5</v>
      </c>
      <c r="AQ42" s="13">
        <f t="shared" si="64"/>
        <v>2.1622595710997684E-4</v>
      </c>
      <c r="AR42" s="13">
        <f t="shared" si="65"/>
        <v>2.2013706038325471E-4</v>
      </c>
      <c r="AS42" s="13">
        <f t="shared" si="66"/>
        <v>3.3904570286603693E-6</v>
      </c>
      <c r="AT42" s="13">
        <f t="shared" si="67"/>
        <v>3.6274461782325294E-6</v>
      </c>
      <c r="AU42" s="14">
        <f t="shared" si="68"/>
        <v>2.5706971217949195E-6</v>
      </c>
    </row>
    <row r="43" spans="1:47" x14ac:dyDescent="0.35">
      <c r="A43" s="5">
        <v>7.4999999999999997E-2</v>
      </c>
      <c r="B43" s="5">
        <v>0.02</v>
      </c>
      <c r="C43" s="5">
        <f t="shared" si="36"/>
        <v>0.15</v>
      </c>
      <c r="D43" s="5">
        <v>9.81</v>
      </c>
      <c r="E43" s="5">
        <v>1000</v>
      </c>
      <c r="F43" s="5">
        <v>2650</v>
      </c>
      <c r="G43" s="5">
        <v>1.65</v>
      </c>
      <c r="H43" s="5">
        <v>9.9999999999999995E-7</v>
      </c>
      <c r="I43" s="12"/>
      <c r="J43" s="12"/>
      <c r="K43" s="12"/>
      <c r="L43" s="12">
        <f t="shared" si="69"/>
        <v>74.57787531407034</v>
      </c>
      <c r="M43" s="5">
        <f t="shared" si="37"/>
        <v>0.38011149497487429</v>
      </c>
      <c r="N43" s="5">
        <f t="shared" si="38"/>
        <v>3.0716080402010047E-2</v>
      </c>
      <c r="O43" s="12">
        <f t="shared" si="39"/>
        <v>6.1432160804020093E-2</v>
      </c>
      <c r="P43" s="5">
        <f t="shared" si="40"/>
        <v>1897.1962050160116</v>
      </c>
      <c r="Q43" s="5">
        <v>4.7E-2</v>
      </c>
      <c r="R43" s="5">
        <f t="shared" si="41"/>
        <v>5.5131715547597548E-2</v>
      </c>
      <c r="S43" s="5">
        <f t="shared" si="42"/>
        <v>5.6000000000000001E-2</v>
      </c>
      <c r="T43" s="5">
        <f t="shared" si="43"/>
        <v>7.977443845417484E-2</v>
      </c>
      <c r="U43" s="5">
        <f t="shared" si="44"/>
        <v>8.7074722341604224E-2</v>
      </c>
      <c r="V43" s="5">
        <f t="shared" si="45"/>
        <v>0.11427986946974467</v>
      </c>
      <c r="W43" s="5">
        <f t="shared" si="46"/>
        <v>0.3895547355705582</v>
      </c>
      <c r="X43" s="5">
        <f t="shared" si="47"/>
        <v>0.34112748995075981</v>
      </c>
      <c r="Y43" s="5">
        <f t="shared" si="48"/>
        <v>4.8635000886456057</v>
      </c>
      <c r="Z43" s="12">
        <f t="shared" si="49"/>
        <v>4.5205550599332014</v>
      </c>
      <c r="AA43" s="12">
        <f t="shared" si="50"/>
        <v>1.3281708101635796</v>
      </c>
      <c r="AB43" s="12">
        <f t="shared" si="51"/>
        <v>5.8518612919311673E-2</v>
      </c>
      <c r="AC43" s="1">
        <f t="shared" si="52"/>
        <v>7.4052992848770219E-2</v>
      </c>
      <c r="AD43" s="1">
        <f t="shared" si="53"/>
        <v>3.9207874657349789E-2</v>
      </c>
      <c r="AE43" s="12">
        <f t="shared" si="54"/>
        <v>0.81642397642269393</v>
      </c>
      <c r="AF43" s="5">
        <f t="shared" si="55"/>
        <v>1.3870337406104728E-2</v>
      </c>
      <c r="AG43" s="5">
        <f t="shared" si="56"/>
        <v>6.935168703052364E-3</v>
      </c>
      <c r="AH43" s="5">
        <v>5.5245830000000002E-4</v>
      </c>
      <c r="AI43" s="5">
        <f t="shared" si="57"/>
        <v>2.9034604616162032E-3</v>
      </c>
      <c r="AJ43" s="5">
        <f t="shared" si="58"/>
        <v>3.0219650424471701E-3</v>
      </c>
      <c r="AK43" s="5">
        <v>6.2262160000000006E-5</v>
      </c>
      <c r="AL43" s="5">
        <f t="shared" si="59"/>
        <v>4.9786168868002387E-5</v>
      </c>
      <c r="AM43" s="5">
        <f t="shared" si="60"/>
        <v>3.5299134123799322E-5</v>
      </c>
      <c r="AN43" s="13">
        <f t="shared" si="61"/>
        <v>1.1461867841550373E-3</v>
      </c>
      <c r="AO43" s="13">
        <f t="shared" si="62"/>
        <v>5.7309339207751867E-4</v>
      </c>
      <c r="AP43" s="13">
        <f t="shared" si="63"/>
        <v>4.5652847779900483E-5</v>
      </c>
      <c r="AQ43" s="13">
        <f t="shared" si="64"/>
        <v>2.3992985260448454E-4</v>
      </c>
      <c r="AR43" s="13">
        <f t="shared" si="65"/>
        <v>2.4972257648952172E-4</v>
      </c>
      <c r="AS43" s="13">
        <f t="shared" si="66"/>
        <v>5.1450850008549221E-6</v>
      </c>
      <c r="AT43" s="13">
        <f t="shared" si="67"/>
        <v>4.1141211723587704E-6</v>
      </c>
      <c r="AU43" s="14">
        <f t="shared" si="68"/>
        <v>2.9169730944690324E-6</v>
      </c>
    </row>
    <row r="44" spans="1:47" x14ac:dyDescent="0.35">
      <c r="A44" s="5">
        <v>7.4999999999999997E-2</v>
      </c>
      <c r="B44" s="5">
        <v>0.02</v>
      </c>
      <c r="C44" s="5">
        <f t="shared" si="36"/>
        <v>0.15</v>
      </c>
      <c r="D44" s="5">
        <v>9.81</v>
      </c>
      <c r="E44" s="5">
        <v>1000</v>
      </c>
      <c r="F44" s="5">
        <v>2650</v>
      </c>
      <c r="G44" s="5">
        <v>1.65</v>
      </c>
      <c r="H44" s="5">
        <v>9.9999999999999995E-7</v>
      </c>
      <c r="I44" s="12"/>
      <c r="J44" s="12"/>
      <c r="K44" s="12"/>
      <c r="L44" s="12">
        <f t="shared" si="69"/>
        <v>76.026729742462294</v>
      </c>
      <c r="M44" s="5">
        <f t="shared" si="37"/>
        <v>0.38749607412060288</v>
      </c>
      <c r="N44" s="5">
        <f t="shared" si="38"/>
        <v>3.1312814070351754E-2</v>
      </c>
      <c r="O44" s="12">
        <f t="shared" si="39"/>
        <v>6.2625628140703507E-2</v>
      </c>
      <c r="P44" s="5">
        <f t="shared" si="40"/>
        <v>1897.1962050160116</v>
      </c>
      <c r="Q44" s="5">
        <v>4.7E-2</v>
      </c>
      <c r="R44" s="5">
        <f t="shared" si="41"/>
        <v>5.5131715547597548E-2</v>
      </c>
      <c r="S44" s="5">
        <f t="shared" si="42"/>
        <v>5.6000000000000001E-2</v>
      </c>
      <c r="T44" s="5">
        <f t="shared" si="43"/>
        <v>7.977443845417484E-2</v>
      </c>
      <c r="U44" s="5">
        <f t="shared" si="44"/>
        <v>8.7074722341604224E-2</v>
      </c>
      <c r="V44" s="5">
        <f t="shared" si="45"/>
        <v>0.13592743339604851</v>
      </c>
      <c r="W44" s="5">
        <f t="shared" si="46"/>
        <v>0.3895547355705582</v>
      </c>
      <c r="X44" s="5">
        <f t="shared" si="47"/>
        <v>0.34112748995075981</v>
      </c>
      <c r="Y44" s="5">
        <f t="shared" si="48"/>
        <v>4.9251403367702586</v>
      </c>
      <c r="Z44" s="12">
        <f t="shared" si="49"/>
        <v>4.5205550599332014</v>
      </c>
      <c r="AA44" s="12">
        <f t="shared" si="50"/>
        <v>1.3580062375269162</v>
      </c>
      <c r="AB44" s="12">
        <f t="shared" si="51"/>
        <v>5.8518612919311673E-2</v>
      </c>
      <c r="AC44" s="1">
        <f t="shared" si="52"/>
        <v>7.718746040273064E-2</v>
      </c>
      <c r="AD44" s="1">
        <f t="shared" si="53"/>
        <v>4.1574683269125626E-2</v>
      </c>
      <c r="AE44" s="12">
        <f t="shared" si="54"/>
        <v>0.81642397642269393</v>
      </c>
      <c r="AF44" s="5">
        <f t="shared" si="55"/>
        <v>1.5625942220524658E-2</v>
      </c>
      <c r="AG44" s="5">
        <f t="shared" si="56"/>
        <v>7.8129711102623289E-3</v>
      </c>
      <c r="AH44" s="5">
        <v>7.4546669999999999E-4</v>
      </c>
      <c r="AI44" s="5">
        <f t="shared" si="57"/>
        <v>3.2090442185917023E-3</v>
      </c>
      <c r="AJ44" s="5">
        <f t="shared" si="58"/>
        <v>3.4116680002040409E-3</v>
      </c>
      <c r="AK44" s="5">
        <v>8.8160900000000005E-5</v>
      </c>
      <c r="AL44" s="5">
        <f t="shared" si="59"/>
        <v>5.632200188168498E-5</v>
      </c>
      <c r="AM44" s="5">
        <f t="shared" si="60"/>
        <v>3.9953105665472413E-5</v>
      </c>
      <c r="AN44" s="13">
        <f t="shared" si="61"/>
        <v>1.2912626375803065E-3</v>
      </c>
      <c r="AO44" s="13">
        <f t="shared" si="62"/>
        <v>6.4563131879015326E-4</v>
      </c>
      <c r="AP44" s="13">
        <f t="shared" si="63"/>
        <v>6.1602256279043571E-5</v>
      </c>
      <c r="AQ44" s="13">
        <f t="shared" si="64"/>
        <v>2.6518201867966625E-4</v>
      </c>
      <c r="AR44" s="13">
        <f t="shared" si="65"/>
        <v>2.8192600217767124E-4</v>
      </c>
      <c r="AS44" s="13">
        <f t="shared" si="66"/>
        <v>7.285248765090557E-6</v>
      </c>
      <c r="AT44" s="13">
        <f t="shared" si="67"/>
        <v>4.6542151300176554E-6</v>
      </c>
      <c r="AU44" s="14">
        <f t="shared" si="68"/>
        <v>3.3015578755538499E-6</v>
      </c>
    </row>
    <row r="45" spans="1:47" x14ac:dyDescent="0.35">
      <c r="A45" s="5">
        <v>7.4999999999999997E-2</v>
      </c>
      <c r="B45" s="5">
        <v>0.02</v>
      </c>
      <c r="C45" s="5">
        <f t="shared" si="36"/>
        <v>0.15</v>
      </c>
      <c r="D45" s="5">
        <v>9.81</v>
      </c>
      <c r="E45" s="5">
        <v>1000</v>
      </c>
      <c r="F45" s="5">
        <v>2650</v>
      </c>
      <c r="G45" s="5">
        <v>1.65</v>
      </c>
      <c r="H45" s="5">
        <v>9.9999999999999995E-7</v>
      </c>
      <c r="I45" s="12"/>
      <c r="J45" s="12"/>
      <c r="K45" s="12"/>
      <c r="L45" s="12">
        <f t="shared" si="69"/>
        <v>77.475584170854248</v>
      </c>
      <c r="M45" s="5">
        <f t="shared" si="37"/>
        <v>0.39488065326633148</v>
      </c>
      <c r="N45" s="5">
        <f t="shared" si="38"/>
        <v>3.1909547738693457E-2</v>
      </c>
      <c r="O45" s="12">
        <f t="shared" si="39"/>
        <v>6.3819095477386914E-2</v>
      </c>
      <c r="P45" s="5">
        <f t="shared" si="40"/>
        <v>1897.1962050160116</v>
      </c>
      <c r="Q45" s="5">
        <v>4.7E-2</v>
      </c>
      <c r="R45" s="5">
        <f t="shared" si="41"/>
        <v>5.5131715547597548E-2</v>
      </c>
      <c r="S45" s="5">
        <f t="shared" si="42"/>
        <v>5.6000000000000001E-2</v>
      </c>
      <c r="T45" s="5">
        <f t="shared" si="43"/>
        <v>7.977443845417484E-2</v>
      </c>
      <c r="U45" s="5">
        <f t="shared" si="44"/>
        <v>8.7074722341604224E-2</v>
      </c>
      <c r="V45" s="5">
        <f t="shared" si="45"/>
        <v>0.15757499732235214</v>
      </c>
      <c r="W45" s="5">
        <f t="shared" si="46"/>
        <v>0.3895547355705582</v>
      </c>
      <c r="X45" s="5">
        <f t="shared" si="47"/>
        <v>0.34112748995075981</v>
      </c>
      <c r="Y45" s="5">
        <f t="shared" si="48"/>
        <v>4.9857698089263991</v>
      </c>
      <c r="Z45" s="12">
        <f t="shared" si="49"/>
        <v>4.5205550599332014</v>
      </c>
      <c r="AA45" s="12">
        <f t="shared" si="50"/>
        <v>1.3877609193537208</v>
      </c>
      <c r="AB45" s="12">
        <f t="shared" si="51"/>
        <v>5.8518612919311673E-2</v>
      </c>
      <c r="AC45" s="1">
        <f t="shared" si="52"/>
        <v>8.0381885706623857E-2</v>
      </c>
      <c r="AD45" s="1">
        <f t="shared" si="53"/>
        <v>4.39611911936987E-2</v>
      </c>
      <c r="AE45" s="12">
        <f t="shared" si="54"/>
        <v>0.81642397642269393</v>
      </c>
      <c r="AF45" s="5">
        <f t="shared" si="55"/>
        <v>1.7449940116424385E-2</v>
      </c>
      <c r="AG45" s="5">
        <f t="shared" si="56"/>
        <v>8.7249700582121923E-3</v>
      </c>
      <c r="AH45" s="5">
        <v>9.6815930000000001E-4</v>
      </c>
      <c r="AI45" s="5">
        <f t="shared" si="57"/>
        <v>3.5336834460589282E-3</v>
      </c>
      <c r="AJ45" s="5">
        <f t="shared" si="58"/>
        <v>3.8341921432883336E-3</v>
      </c>
      <c r="AK45" s="5">
        <v>1.1880339999999999E-4</v>
      </c>
      <c r="AL45" s="5">
        <f t="shared" si="59"/>
        <v>6.3559361735251676E-5</v>
      </c>
      <c r="AM45" s="5">
        <f t="shared" si="60"/>
        <v>4.5110868186846118E-5</v>
      </c>
      <c r="AN45" s="13">
        <f t="shared" si="61"/>
        <v>1.4419902097651555E-3</v>
      </c>
      <c r="AO45" s="13">
        <f t="shared" si="62"/>
        <v>7.2099510488257777E-4</v>
      </c>
      <c r="AP45" s="13">
        <f t="shared" si="63"/>
        <v>8.0004643155139499E-5</v>
      </c>
      <c r="AQ45" s="13">
        <f t="shared" si="64"/>
        <v>2.9200884929284695E-4</v>
      </c>
      <c r="AR45" s="13">
        <f t="shared" si="65"/>
        <v>3.168416336154831E-4</v>
      </c>
      <c r="AS45" s="13">
        <f t="shared" si="66"/>
        <v>9.817417053802303E-6</v>
      </c>
      <c r="AT45" s="13">
        <f t="shared" si="67"/>
        <v>5.252280337334195E-6</v>
      </c>
      <c r="AU45" s="14">
        <f t="shared" si="68"/>
        <v>3.7277738402214992E-6</v>
      </c>
    </row>
    <row r="46" spans="1:47" x14ac:dyDescent="0.35">
      <c r="A46" s="5">
        <v>7.4999999999999997E-2</v>
      </c>
      <c r="B46" s="5">
        <v>0.02</v>
      </c>
      <c r="C46" s="5">
        <f t="shared" si="36"/>
        <v>0.15</v>
      </c>
      <c r="D46" s="5">
        <v>9.81</v>
      </c>
      <c r="E46" s="5">
        <v>1000</v>
      </c>
      <c r="F46" s="5">
        <v>2650</v>
      </c>
      <c r="G46" s="5">
        <v>1.65</v>
      </c>
      <c r="H46" s="5">
        <v>9.9999999999999995E-7</v>
      </c>
      <c r="I46" s="12"/>
      <c r="J46" s="12"/>
      <c r="K46" s="12"/>
      <c r="L46" s="12">
        <f t="shared" si="69"/>
        <v>78.924438599246201</v>
      </c>
      <c r="M46" s="5">
        <f t="shared" si="37"/>
        <v>0.40226523241206014</v>
      </c>
      <c r="N46" s="5">
        <f t="shared" si="38"/>
        <v>3.2506281407035167E-2</v>
      </c>
      <c r="O46" s="12">
        <f t="shared" si="39"/>
        <v>6.5012562814070335E-2</v>
      </c>
      <c r="P46" s="5">
        <f t="shared" si="40"/>
        <v>1897.1962050160116</v>
      </c>
      <c r="Q46" s="5">
        <v>4.7E-2</v>
      </c>
      <c r="R46" s="5">
        <f t="shared" si="41"/>
        <v>5.5131715547597548E-2</v>
      </c>
      <c r="S46" s="5">
        <f t="shared" si="42"/>
        <v>5.6000000000000001E-2</v>
      </c>
      <c r="T46" s="5">
        <f t="shared" si="43"/>
        <v>7.977443845417484E-2</v>
      </c>
      <c r="U46" s="5">
        <f t="shared" si="44"/>
        <v>8.7074722341604224E-2</v>
      </c>
      <c r="V46" s="5">
        <f t="shared" si="45"/>
        <v>0.17922256124865599</v>
      </c>
      <c r="W46" s="5">
        <f t="shared" si="46"/>
        <v>0.3895547355705582</v>
      </c>
      <c r="X46" s="5">
        <f t="shared" si="47"/>
        <v>0.34112748995075981</v>
      </c>
      <c r="Y46" s="5">
        <f t="shared" si="48"/>
        <v>5.0454077787648908</v>
      </c>
      <c r="Z46" s="12">
        <f t="shared" si="49"/>
        <v>4.5205550599332014</v>
      </c>
      <c r="AA46" s="12">
        <f t="shared" si="50"/>
        <v>1.4174313144197281</v>
      </c>
      <c r="AB46" s="12">
        <f t="shared" si="51"/>
        <v>5.8518612919311673E-2</v>
      </c>
      <c r="AC46" s="1">
        <f t="shared" si="52"/>
        <v>8.3635797422314764E-2</v>
      </c>
      <c r="AD46" s="1">
        <f t="shared" si="53"/>
        <v>4.6363794941963195E-2</v>
      </c>
      <c r="AE46" s="12">
        <f t="shared" si="54"/>
        <v>0.81642397642269393</v>
      </c>
      <c r="AF46" s="5">
        <f t="shared" si="55"/>
        <v>1.9339856594746307E-2</v>
      </c>
      <c r="AG46" s="5">
        <f t="shared" si="56"/>
        <v>9.6699282973731534E-3</v>
      </c>
      <c r="AH46" s="5">
        <v>1.220793E-3</v>
      </c>
      <c r="AI46" s="5">
        <f t="shared" si="57"/>
        <v>3.8776729614957758E-3</v>
      </c>
      <c r="AJ46" s="5">
        <f t="shared" si="58"/>
        <v>4.2906123005301217E-3</v>
      </c>
      <c r="AK46" s="5">
        <v>1.5425770000000001E-4</v>
      </c>
      <c r="AL46" s="5">
        <f t="shared" si="59"/>
        <v>7.1556582828393692E-5</v>
      </c>
      <c r="AM46" s="5">
        <f t="shared" si="60"/>
        <v>5.0815113569363854E-5</v>
      </c>
      <c r="AN46" s="13">
        <f t="shared" si="61"/>
        <v>1.5981650184367898E-3</v>
      </c>
      <c r="AO46" s="13">
        <f t="shared" si="62"/>
        <v>7.9908250921839489E-4</v>
      </c>
      <c r="AP46" s="13">
        <f t="shared" si="63"/>
        <v>1.0088123755180806E-4</v>
      </c>
      <c r="AQ46" s="13">
        <f t="shared" si="64"/>
        <v>3.2043470692974031E-4</v>
      </c>
      <c r="AR46" s="13">
        <f t="shared" si="65"/>
        <v>3.545582901708061E-4</v>
      </c>
      <c r="AS46" s="13">
        <f t="shared" si="66"/>
        <v>1.2747212408570122E-5</v>
      </c>
      <c r="AT46" s="13">
        <f t="shared" si="67"/>
        <v>5.9131373055930157E-6</v>
      </c>
      <c r="AU46" s="14">
        <f t="shared" si="68"/>
        <v>4.199148867345324E-6</v>
      </c>
    </row>
    <row r="47" spans="1:47" x14ac:dyDescent="0.35">
      <c r="A47" s="5">
        <v>7.4999999999999997E-2</v>
      </c>
      <c r="B47" s="5">
        <v>0.02</v>
      </c>
      <c r="C47" s="5">
        <f t="shared" si="36"/>
        <v>0.15</v>
      </c>
      <c r="D47" s="5">
        <v>9.81</v>
      </c>
      <c r="E47" s="5">
        <v>1000</v>
      </c>
      <c r="F47" s="5">
        <v>2650</v>
      </c>
      <c r="G47" s="5">
        <v>1.65</v>
      </c>
      <c r="H47" s="5">
        <v>9.9999999999999995E-7</v>
      </c>
      <c r="I47" s="12"/>
      <c r="J47" s="12"/>
      <c r="K47" s="12"/>
      <c r="L47" s="12">
        <f t="shared" si="69"/>
        <v>80.373293027638155</v>
      </c>
      <c r="M47" s="5">
        <f t="shared" si="37"/>
        <v>0.40964981155778873</v>
      </c>
      <c r="N47" s="5">
        <f t="shared" si="38"/>
        <v>3.3103015075376871E-2</v>
      </c>
      <c r="O47" s="12">
        <f t="shared" si="39"/>
        <v>6.6206030150753742E-2</v>
      </c>
      <c r="P47" s="5">
        <f t="shared" si="40"/>
        <v>1897.1962050160116</v>
      </c>
      <c r="Q47" s="5">
        <v>4.7E-2</v>
      </c>
      <c r="R47" s="5">
        <f t="shared" si="41"/>
        <v>5.5131715547597548E-2</v>
      </c>
      <c r="S47" s="5">
        <f t="shared" si="42"/>
        <v>5.6000000000000001E-2</v>
      </c>
      <c r="T47" s="5">
        <f t="shared" si="43"/>
        <v>7.977443845417484E-2</v>
      </c>
      <c r="U47" s="5">
        <f t="shared" si="44"/>
        <v>8.7074722341604224E-2</v>
      </c>
      <c r="V47" s="5">
        <f t="shared" si="45"/>
        <v>0.20087012517495983</v>
      </c>
      <c r="W47" s="5">
        <f t="shared" si="46"/>
        <v>0.3895547355705582</v>
      </c>
      <c r="X47" s="5">
        <f t="shared" si="47"/>
        <v>0.34112748995075981</v>
      </c>
      <c r="Y47" s="5">
        <f t="shared" si="48"/>
        <v>5.1040733381793579</v>
      </c>
      <c r="Z47" s="12">
        <f t="shared" si="49"/>
        <v>4.5205550599332014</v>
      </c>
      <c r="AA47" s="12">
        <f t="shared" si="50"/>
        <v>1.4470141805665941</v>
      </c>
      <c r="AB47" s="12">
        <f t="shared" si="51"/>
        <v>5.8518612919311673E-2</v>
      </c>
      <c r="AC47" s="1">
        <f t="shared" si="52"/>
        <v>8.6948726838820697E-2</v>
      </c>
      <c r="AD47" s="1">
        <f t="shared" si="53"/>
        <v>4.8779141024168755E-2</v>
      </c>
      <c r="AE47" s="12">
        <f t="shared" si="54"/>
        <v>0.81642397642269393</v>
      </c>
      <c r="AF47" s="5">
        <f t="shared" si="55"/>
        <v>2.1293467857024569E-2</v>
      </c>
      <c r="AG47" s="5">
        <f t="shared" si="56"/>
        <v>1.0646733928512285E-2</v>
      </c>
      <c r="AH47" s="5">
        <v>1.503608E-3</v>
      </c>
      <c r="AI47" s="5">
        <f t="shared" si="57"/>
        <v>4.241284208342762E-3</v>
      </c>
      <c r="AJ47" s="5">
        <f t="shared" si="58"/>
        <v>4.781934734393492E-3</v>
      </c>
      <c r="AK47" s="5">
        <v>1.9458410000000001E-4</v>
      </c>
      <c r="AL47" s="5">
        <f t="shared" si="59"/>
        <v>8.0375326358327694E-5</v>
      </c>
      <c r="AM47" s="5">
        <f t="shared" si="60"/>
        <v>5.7111100516536246E-5</v>
      </c>
      <c r="AN47" s="13">
        <f t="shared" si="61"/>
        <v>1.7596032981728148E-3</v>
      </c>
      <c r="AO47" s="13">
        <f t="shared" si="62"/>
        <v>8.7980164908640739E-4</v>
      </c>
      <c r="AP47" s="13">
        <f t="shared" si="63"/>
        <v>1.2425188859438007E-4</v>
      </c>
      <c r="AQ47" s="13">
        <f t="shared" si="64"/>
        <v>3.5048202254318167E-4</v>
      </c>
      <c r="AR47" s="13">
        <f t="shared" si="65"/>
        <v>3.9515912517322109E-4</v>
      </c>
      <c r="AS47" s="13">
        <f t="shared" si="66"/>
        <v>1.6079617769683129E-5</v>
      </c>
      <c r="AT47" s="13">
        <f t="shared" si="67"/>
        <v>6.6418814587391609E-6</v>
      </c>
      <c r="AU47" s="14">
        <f t="shared" si="68"/>
        <v>4.719422947259594E-6</v>
      </c>
    </row>
    <row r="48" spans="1:47" x14ac:dyDescent="0.35">
      <c r="A48" s="5">
        <v>7.4999999999999997E-2</v>
      </c>
      <c r="B48" s="5">
        <v>0.02</v>
      </c>
      <c r="C48" s="5">
        <f t="shared" si="36"/>
        <v>0.15</v>
      </c>
      <c r="D48" s="5">
        <v>9.81</v>
      </c>
      <c r="E48" s="5">
        <v>1000</v>
      </c>
      <c r="F48" s="5">
        <v>2650</v>
      </c>
      <c r="G48" s="5">
        <v>1.65</v>
      </c>
      <c r="H48" s="5">
        <v>9.9999999999999995E-7</v>
      </c>
      <c r="I48" s="12"/>
      <c r="J48" s="12"/>
      <c r="K48" s="12"/>
      <c r="L48" s="12">
        <f t="shared" si="69"/>
        <v>81.822147456030109</v>
      </c>
      <c r="M48" s="5">
        <f t="shared" si="37"/>
        <v>0.41703439070351733</v>
      </c>
      <c r="N48" s="5">
        <f t="shared" si="38"/>
        <v>3.3699748743718574E-2</v>
      </c>
      <c r="O48" s="12">
        <f t="shared" si="39"/>
        <v>6.7399497487437149E-2</v>
      </c>
      <c r="P48" s="5">
        <f t="shared" si="40"/>
        <v>1897.1962050160116</v>
      </c>
      <c r="Q48" s="5">
        <v>4.7E-2</v>
      </c>
      <c r="R48" s="5">
        <f t="shared" si="41"/>
        <v>5.5131715547597548E-2</v>
      </c>
      <c r="S48" s="5">
        <f t="shared" si="42"/>
        <v>5.6000000000000001E-2</v>
      </c>
      <c r="T48" s="5">
        <f t="shared" si="43"/>
        <v>7.977443845417484E-2</v>
      </c>
      <c r="U48" s="5">
        <f t="shared" si="44"/>
        <v>8.7074722341604224E-2</v>
      </c>
      <c r="V48" s="5">
        <f t="shared" si="45"/>
        <v>0.22251768910126346</v>
      </c>
      <c r="W48" s="5">
        <f t="shared" si="46"/>
        <v>0.3895547355705582</v>
      </c>
      <c r="X48" s="5">
        <f t="shared" si="47"/>
        <v>0.34112748995075981</v>
      </c>
      <c r="Y48" s="5">
        <f t="shared" si="48"/>
        <v>5.1617853788233337</v>
      </c>
      <c r="Z48" s="12">
        <f t="shared" si="49"/>
        <v>4.5205550599332014</v>
      </c>
      <c r="AA48" s="12">
        <f t="shared" si="50"/>
        <v>1.4765065567557034</v>
      </c>
      <c r="AB48" s="12">
        <f t="shared" si="51"/>
        <v>5.8518612919311673E-2</v>
      </c>
      <c r="AC48" s="1">
        <f t="shared" si="52"/>
        <v>9.0320208394236323E-2</v>
      </c>
      <c r="AD48" s="1">
        <f t="shared" si="53"/>
        <v>5.1204116261884071E-2</v>
      </c>
      <c r="AE48" s="12">
        <f t="shared" si="54"/>
        <v>0.81642397642269393</v>
      </c>
      <c r="AF48" s="5">
        <f t="shared" si="55"/>
        <v>2.3308761118267355E-2</v>
      </c>
      <c r="AG48" s="5">
        <f t="shared" si="56"/>
        <v>1.1654380559133678E-2</v>
      </c>
      <c r="AH48" s="5">
        <v>1.81683E-3</v>
      </c>
      <c r="AI48" s="5">
        <f t="shared" si="57"/>
        <v>4.6247664514160744E-3</v>
      </c>
      <c r="AJ48" s="5">
        <f t="shared" si="58"/>
        <v>5.3090954729206399E-3</v>
      </c>
      <c r="AK48" s="5">
        <v>2.3983699999999999E-4</v>
      </c>
      <c r="AL48" s="5">
        <f t="shared" si="59"/>
        <v>9.0080655346329278E-5</v>
      </c>
      <c r="AM48" s="5">
        <f t="shared" si="60"/>
        <v>6.4046732225986932E-5</v>
      </c>
      <c r="AN48" s="13">
        <f t="shared" si="61"/>
        <v>1.9261387208234946E-3</v>
      </c>
      <c r="AO48" s="13">
        <f t="shared" si="62"/>
        <v>9.6306936041174731E-4</v>
      </c>
      <c r="AP48" s="13">
        <f t="shared" si="63"/>
        <v>1.5013524718871378E-4</v>
      </c>
      <c r="AQ48" s="13">
        <f t="shared" si="64"/>
        <v>3.8217139433707222E-4</v>
      </c>
      <c r="AR48" s="13">
        <f t="shared" si="65"/>
        <v>4.3872148807286401E-4</v>
      </c>
      <c r="AS48" s="13">
        <f t="shared" si="66"/>
        <v>1.9819128526058873E-5</v>
      </c>
      <c r="AT48" s="13">
        <f t="shared" si="67"/>
        <v>7.4438893332576396E-6</v>
      </c>
      <c r="AU48" s="14">
        <f t="shared" si="68"/>
        <v>5.2925546002531379E-6</v>
      </c>
    </row>
    <row r="49" spans="1:47" x14ac:dyDescent="0.35">
      <c r="A49" s="5">
        <v>7.4999999999999997E-2</v>
      </c>
      <c r="B49" s="5">
        <v>0.02</v>
      </c>
      <c r="C49" s="5">
        <f t="shared" si="36"/>
        <v>0.15</v>
      </c>
      <c r="D49" s="5">
        <v>9.81</v>
      </c>
      <c r="E49" s="5">
        <v>1000</v>
      </c>
      <c r="F49" s="5">
        <v>2650</v>
      </c>
      <c r="G49" s="5">
        <v>1.65</v>
      </c>
      <c r="H49" s="5">
        <v>9.9999999999999995E-7</v>
      </c>
      <c r="I49" s="12"/>
      <c r="J49" s="12"/>
      <c r="K49" s="12"/>
      <c r="L49" s="12">
        <f t="shared" si="69"/>
        <v>83.271001884422063</v>
      </c>
      <c r="M49" s="5">
        <f t="shared" si="37"/>
        <v>0.42441896984924593</v>
      </c>
      <c r="N49" s="5">
        <f t="shared" si="38"/>
        <v>3.4296482412060285E-2</v>
      </c>
      <c r="O49" s="12">
        <f t="shared" si="39"/>
        <v>6.859296482412057E-2</v>
      </c>
      <c r="P49" s="5">
        <f t="shared" si="40"/>
        <v>1897.1962050160116</v>
      </c>
      <c r="Q49" s="5">
        <v>4.7E-2</v>
      </c>
      <c r="R49" s="5">
        <f t="shared" si="41"/>
        <v>5.5131715547597548E-2</v>
      </c>
      <c r="S49" s="5">
        <f t="shared" si="42"/>
        <v>5.6000000000000001E-2</v>
      </c>
      <c r="T49" s="5">
        <f t="shared" si="43"/>
        <v>7.977443845417484E-2</v>
      </c>
      <c r="U49" s="5">
        <f t="shared" si="44"/>
        <v>8.7074722341604224E-2</v>
      </c>
      <c r="V49" s="5">
        <f t="shared" si="45"/>
        <v>0.24416525302756731</v>
      </c>
      <c r="W49" s="5">
        <f t="shared" si="46"/>
        <v>0.3895547355705582</v>
      </c>
      <c r="X49" s="5">
        <f t="shared" si="47"/>
        <v>0.34112748995075981</v>
      </c>
      <c r="Y49" s="5">
        <f t="shared" si="48"/>
        <v>5.2185625757476686</v>
      </c>
      <c r="Z49" s="12">
        <f t="shared" si="49"/>
        <v>4.5205550599332014</v>
      </c>
      <c r="AA49" s="12">
        <f t="shared" si="50"/>
        <v>1.5059057460848837</v>
      </c>
      <c r="AB49" s="12">
        <f t="shared" si="51"/>
        <v>5.8518612919311673E-2</v>
      </c>
      <c r="AC49" s="1">
        <f t="shared" si="52"/>
        <v>9.3749780140969713E-2</v>
      </c>
      <c r="AD49" s="1">
        <f t="shared" si="53"/>
        <v>5.363583724945211E-2</v>
      </c>
      <c r="AE49" s="12">
        <f t="shared" si="54"/>
        <v>0.81642397642269393</v>
      </c>
      <c r="AF49" s="5">
        <f t="shared" si="55"/>
        <v>2.5383903197884895E-2</v>
      </c>
      <c r="AG49" s="5">
        <f t="shared" si="56"/>
        <v>1.2691951598942448E-2</v>
      </c>
      <c r="AH49" s="5">
        <v>2.160669E-3</v>
      </c>
      <c r="AI49" s="5">
        <f t="shared" si="57"/>
        <v>5.0283479498129694E-3</v>
      </c>
      <c r="AJ49" s="5">
        <f t="shared" si="58"/>
        <v>5.8729592153306011E-3</v>
      </c>
      <c r="AK49" s="5">
        <v>2.9006570000000002E-4</v>
      </c>
      <c r="AL49" s="5">
        <f t="shared" si="59"/>
        <v>1.0074110310987325E-4</v>
      </c>
      <c r="AM49" s="5">
        <f t="shared" si="60"/>
        <v>7.1672631371357893E-5</v>
      </c>
      <c r="AN49" s="13">
        <f t="shared" si="61"/>
        <v>2.0976197999971547E-3</v>
      </c>
      <c r="AO49" s="13">
        <f t="shared" si="62"/>
        <v>1.0488098999985773E-3</v>
      </c>
      <c r="AP49" s="13">
        <f t="shared" si="63"/>
        <v>1.7854866685820413E-4</v>
      </c>
      <c r="AQ49" s="13">
        <f t="shared" si="64"/>
        <v>4.1552168469038503E-4</v>
      </c>
      <c r="AR49" s="13">
        <f t="shared" si="65"/>
        <v>4.8531683400367359E-4</v>
      </c>
      <c r="AS49" s="13">
        <f t="shared" si="66"/>
        <v>2.3969818623903884E-5</v>
      </c>
      <c r="AT49" s="13">
        <f t="shared" si="67"/>
        <v>8.3248242364252687E-6</v>
      </c>
      <c r="AU49" s="14">
        <f t="shared" si="68"/>
        <v>5.9227270727610057E-6</v>
      </c>
    </row>
    <row r="50" spans="1:47" x14ac:dyDescent="0.35">
      <c r="A50" s="5">
        <v>7.4999999999999997E-2</v>
      </c>
      <c r="B50" s="5">
        <v>0.02</v>
      </c>
      <c r="C50" s="5">
        <f t="shared" si="36"/>
        <v>0.15</v>
      </c>
      <c r="D50" s="5">
        <v>9.81</v>
      </c>
      <c r="E50" s="5">
        <v>1000</v>
      </c>
      <c r="F50" s="5">
        <v>2650</v>
      </c>
      <c r="G50" s="5">
        <v>1.65</v>
      </c>
      <c r="H50" s="5">
        <v>9.9999999999999995E-7</v>
      </c>
      <c r="I50" s="12"/>
      <c r="J50" s="12"/>
      <c r="K50" s="12"/>
      <c r="L50" s="12">
        <f t="shared" si="69"/>
        <v>84.719856312814017</v>
      </c>
      <c r="M50" s="5">
        <f t="shared" si="37"/>
        <v>0.43180354899497458</v>
      </c>
      <c r="N50" s="5">
        <f t="shared" si="38"/>
        <v>3.4893216080401988E-2</v>
      </c>
      <c r="O50" s="12">
        <f t="shared" si="39"/>
        <v>6.9786432160803977E-2</v>
      </c>
      <c r="P50" s="5">
        <f t="shared" si="40"/>
        <v>1897.1962050160116</v>
      </c>
      <c r="Q50" s="5">
        <v>4.7E-2</v>
      </c>
      <c r="R50" s="5">
        <f t="shared" si="41"/>
        <v>5.5131715547597548E-2</v>
      </c>
      <c r="S50" s="5">
        <f t="shared" si="42"/>
        <v>5.6000000000000001E-2</v>
      </c>
      <c r="T50" s="5">
        <f t="shared" si="43"/>
        <v>7.977443845417484E-2</v>
      </c>
      <c r="U50" s="5">
        <f t="shared" si="44"/>
        <v>8.7074722341604224E-2</v>
      </c>
      <c r="V50" s="5">
        <f t="shared" si="45"/>
        <v>0.26581281695387093</v>
      </c>
      <c r="W50" s="5">
        <f t="shared" si="46"/>
        <v>0.3895547355705582</v>
      </c>
      <c r="X50" s="5">
        <f t="shared" si="47"/>
        <v>0.34112748995075981</v>
      </c>
      <c r="Y50" s="5">
        <f t="shared" si="48"/>
        <v>5.2744233730022678</v>
      </c>
      <c r="Z50" s="12">
        <f t="shared" si="49"/>
        <v>4.5205550599332014</v>
      </c>
      <c r="AA50" s="12">
        <f t="shared" si="50"/>
        <v>1.5352092997222011</v>
      </c>
      <c r="AB50" s="12">
        <f t="shared" si="51"/>
        <v>5.8518612919311673E-2</v>
      </c>
      <c r="AC50" s="1">
        <f t="shared" si="52"/>
        <v>9.7236984158687853E-2</v>
      </c>
      <c r="AD50" s="1">
        <f t="shared" si="53"/>
        <v>5.6071639282793399E-2</v>
      </c>
      <c r="AE50" s="12">
        <f t="shared" si="54"/>
        <v>0.81642397642269393</v>
      </c>
      <c r="AF50" s="5">
        <f t="shared" si="55"/>
        <v>2.7517215292155797E-2</v>
      </c>
      <c r="AG50" s="5">
        <f t="shared" si="56"/>
        <v>1.3758607646077899E-2</v>
      </c>
      <c r="AH50" s="5">
        <v>2.5353210000000001E-3</v>
      </c>
      <c r="AI50" s="5">
        <f t="shared" si="57"/>
        <v>5.4522371006926413E-3</v>
      </c>
      <c r="AJ50" s="5">
        <f t="shared" si="58"/>
        <v>6.4743187619813415E-3</v>
      </c>
      <c r="AK50" s="5">
        <v>3.4531550000000002E-4</v>
      </c>
      <c r="AL50" s="5">
        <f t="shared" si="59"/>
        <v>1.1242873452325305E-4</v>
      </c>
      <c r="AM50" s="5">
        <f t="shared" si="60"/>
        <v>8.004221198263246E-5</v>
      </c>
      <c r="AN50" s="13">
        <f t="shared" si="61"/>
        <v>2.2739078063621059E-3</v>
      </c>
      <c r="AO50" s="13">
        <f t="shared" si="62"/>
        <v>1.136953903181053E-3</v>
      </c>
      <c r="AP50" s="13">
        <f t="shared" si="63"/>
        <v>2.0950834422468639E-4</v>
      </c>
      <c r="AQ50" s="13">
        <f t="shared" si="64"/>
        <v>4.5055011467444163E-4</v>
      </c>
      <c r="AR50" s="13">
        <f t="shared" si="65"/>
        <v>5.3501067667783783E-4</v>
      </c>
      <c r="AS50" s="13">
        <f t="shared" si="66"/>
        <v>2.8535431466121922E-5</v>
      </c>
      <c r="AT50" s="13">
        <f t="shared" si="67"/>
        <v>9.2906413086325489E-6</v>
      </c>
      <c r="AU50" s="14">
        <f t="shared" si="68"/>
        <v>6.6143542772543121E-6</v>
      </c>
    </row>
    <row r="51" spans="1:47" x14ac:dyDescent="0.35">
      <c r="A51" s="5">
        <v>7.4999999999999997E-2</v>
      </c>
      <c r="B51" s="5">
        <v>0.02</v>
      </c>
      <c r="C51" s="5">
        <f t="shared" si="36"/>
        <v>0.15</v>
      </c>
      <c r="D51" s="5">
        <v>9.81</v>
      </c>
      <c r="E51" s="5">
        <v>1000</v>
      </c>
      <c r="F51" s="5">
        <v>2650</v>
      </c>
      <c r="G51" s="5">
        <v>1.65</v>
      </c>
      <c r="H51" s="5">
        <v>9.9999999999999995E-7</v>
      </c>
      <c r="I51" s="12"/>
      <c r="J51" s="12"/>
      <c r="K51" s="12"/>
      <c r="L51" s="12">
        <f t="shared" si="69"/>
        <v>86.16871074120597</v>
      </c>
      <c r="M51" s="5">
        <f t="shared" si="37"/>
        <v>0.43918812814070318</v>
      </c>
      <c r="N51" s="5">
        <f t="shared" si="38"/>
        <v>3.5489949748743692E-2</v>
      </c>
      <c r="O51" s="12">
        <f t="shared" si="39"/>
        <v>7.0979899497487384E-2</v>
      </c>
      <c r="P51" s="5">
        <f t="shared" si="40"/>
        <v>1897.1962050160116</v>
      </c>
      <c r="Q51" s="5">
        <v>4.7E-2</v>
      </c>
      <c r="R51" s="5">
        <f t="shared" si="41"/>
        <v>5.5131715547597548E-2</v>
      </c>
      <c r="S51" s="5">
        <f t="shared" si="42"/>
        <v>5.6000000000000001E-2</v>
      </c>
      <c r="T51" s="5">
        <f t="shared" si="43"/>
        <v>7.977443845417484E-2</v>
      </c>
      <c r="U51" s="5">
        <f t="shared" si="44"/>
        <v>8.7074722341604224E-2</v>
      </c>
      <c r="V51" s="5">
        <f t="shared" si="45"/>
        <v>0.28746038088017456</v>
      </c>
      <c r="W51" s="5">
        <f t="shared" si="46"/>
        <v>0.3895547355705582</v>
      </c>
      <c r="X51" s="5">
        <f t="shared" si="47"/>
        <v>0.34112748995075981</v>
      </c>
      <c r="Y51" s="5">
        <f t="shared" si="48"/>
        <v>5.3293859710547506</v>
      </c>
      <c r="Z51" s="12">
        <f t="shared" si="49"/>
        <v>4.5205550599332014</v>
      </c>
      <c r="AA51" s="12">
        <f t="shared" si="50"/>
        <v>1.5644150017127723</v>
      </c>
      <c r="AB51" s="12">
        <f t="shared" si="51"/>
        <v>5.8518612919311673E-2</v>
      </c>
      <c r="AC51" s="1">
        <f t="shared" si="52"/>
        <v>0.10078136691908678</v>
      </c>
      <c r="AD51" s="1">
        <f t="shared" si="53"/>
        <v>5.8509065010500107E-2</v>
      </c>
      <c r="AE51" s="12">
        <f t="shared" si="54"/>
        <v>0.81642397642269393</v>
      </c>
      <c r="AF51" s="5">
        <f t="shared" si="55"/>
        <v>2.9707152446465386E-2</v>
      </c>
      <c r="AG51" s="5">
        <f t="shared" si="56"/>
        <v>1.4853576223232693E-2</v>
      </c>
      <c r="AH51" s="5">
        <v>2.940972E-3</v>
      </c>
      <c r="AI51" s="5">
        <f t="shared" si="57"/>
        <v>5.8966235489159129E-3</v>
      </c>
      <c r="AJ51" s="5">
        <f t="shared" si="58"/>
        <v>7.1138949194274274E-3</v>
      </c>
      <c r="AK51" s="5">
        <v>4.0562829999999999E-4</v>
      </c>
      <c r="AL51" s="5">
        <f t="shared" si="59"/>
        <v>1.2521919941031788E-4</v>
      </c>
      <c r="AM51" s="5">
        <f t="shared" si="60"/>
        <v>8.9211747803283635E-5</v>
      </c>
      <c r="AN51" s="13">
        <f t="shared" si="61"/>
        <v>2.4548750713181112E-3</v>
      </c>
      <c r="AO51" s="13">
        <f t="shared" si="62"/>
        <v>1.2274375356590556E-3</v>
      </c>
      <c r="AP51" s="13">
        <f t="shared" si="63"/>
        <v>2.4302964955173897E-4</v>
      </c>
      <c r="AQ51" s="13">
        <f t="shared" si="64"/>
        <v>4.8727235574890399E-4</v>
      </c>
      <c r="AR51" s="13">
        <f t="shared" si="65"/>
        <v>5.8786258054015607E-4</v>
      </c>
      <c r="AS51" s="13">
        <f t="shared" si="66"/>
        <v>3.3519429493809409E-5</v>
      </c>
      <c r="AT51" s="13">
        <f t="shared" si="67"/>
        <v>1.0347591935536575E-5</v>
      </c>
      <c r="AU51" s="14">
        <f t="shared" si="68"/>
        <v>7.3720864409896251E-6</v>
      </c>
    </row>
    <row r="52" spans="1:47" x14ac:dyDescent="0.35">
      <c r="A52" s="5">
        <v>7.4999999999999997E-2</v>
      </c>
      <c r="B52" s="5">
        <v>0.02</v>
      </c>
      <c r="C52" s="5">
        <f t="shared" si="36"/>
        <v>0.15</v>
      </c>
      <c r="D52" s="5">
        <v>9.81</v>
      </c>
      <c r="E52" s="5">
        <v>1000</v>
      </c>
      <c r="F52" s="5">
        <v>2650</v>
      </c>
      <c r="G52" s="5">
        <v>1.65</v>
      </c>
      <c r="H52" s="5">
        <v>9.9999999999999995E-7</v>
      </c>
      <c r="I52" s="12"/>
      <c r="J52" s="12"/>
      <c r="K52" s="12"/>
      <c r="L52" s="12">
        <f t="shared" si="69"/>
        <v>87.617565169597924</v>
      </c>
      <c r="M52" s="5">
        <f t="shared" si="37"/>
        <v>0.44657270728643178</v>
      </c>
      <c r="N52" s="5">
        <f t="shared" si="38"/>
        <v>3.6086683417085402E-2</v>
      </c>
      <c r="O52" s="12">
        <f t="shared" si="39"/>
        <v>7.2173366834170805E-2</v>
      </c>
      <c r="P52" s="5">
        <f t="shared" si="40"/>
        <v>1897.1962050160116</v>
      </c>
      <c r="Q52" s="5">
        <v>4.7E-2</v>
      </c>
      <c r="R52" s="5">
        <f t="shared" si="41"/>
        <v>5.5131715547597548E-2</v>
      </c>
      <c r="S52" s="5">
        <f t="shared" si="42"/>
        <v>5.6000000000000001E-2</v>
      </c>
      <c r="T52" s="5">
        <f t="shared" si="43"/>
        <v>7.977443845417484E-2</v>
      </c>
      <c r="U52" s="5">
        <f t="shared" si="44"/>
        <v>8.7074722341604224E-2</v>
      </c>
      <c r="V52" s="5">
        <f t="shared" si="45"/>
        <v>0.30910794480647841</v>
      </c>
      <c r="W52" s="5">
        <f t="shared" si="46"/>
        <v>0.3895547355705582</v>
      </c>
      <c r="X52" s="5">
        <f t="shared" si="47"/>
        <v>0.34112748995075981</v>
      </c>
      <c r="Y52" s="5">
        <f t="shared" si="48"/>
        <v>5.3834683158870549</v>
      </c>
      <c r="Z52" s="12">
        <f t="shared" si="49"/>
        <v>4.5205550599332014</v>
      </c>
      <c r="AA52" s="12">
        <f t="shared" si="50"/>
        <v>1.5935208546162662</v>
      </c>
      <c r="AB52" s="12">
        <f t="shared" si="51"/>
        <v>5.8518612919311673E-2</v>
      </c>
      <c r="AC52" s="1">
        <f t="shared" si="52"/>
        <v>0.10438247960633307</v>
      </c>
      <c r="AD52" s="1">
        <f t="shared" si="53"/>
        <v>6.0945853009528345E-2</v>
      </c>
      <c r="AE52" s="12">
        <f t="shared" si="54"/>
        <v>0.81642397642269393</v>
      </c>
      <c r="AF52" s="5">
        <f t="shared" si="55"/>
        <v>3.195228665793632E-2</v>
      </c>
      <c r="AG52" s="5">
        <f t="shared" si="56"/>
        <v>1.597614332896816E-2</v>
      </c>
      <c r="AH52" s="5">
        <v>3.3777910000000002E-3</v>
      </c>
      <c r="AI52" s="5">
        <f t="shared" si="57"/>
        <v>6.3616792588576656E-3</v>
      </c>
      <c r="AJ52" s="5">
        <f t="shared" si="58"/>
        <v>7.7923368321294118E-3</v>
      </c>
      <c r="AK52" s="5">
        <v>4.710432E-4</v>
      </c>
      <c r="AL52" s="5">
        <f t="shared" si="59"/>
        <v>1.3919177741839766E-4</v>
      </c>
      <c r="AM52" s="5">
        <f t="shared" si="60"/>
        <v>9.9240436694213917E-5</v>
      </c>
      <c r="AN52" s="13">
        <f t="shared" si="61"/>
        <v>2.6404035906683128E-3</v>
      </c>
      <c r="AO52" s="13">
        <f t="shared" si="62"/>
        <v>1.3202017953341564E-3</v>
      </c>
      <c r="AP52" s="13">
        <f t="shared" si="63"/>
        <v>2.7912654829390348E-4</v>
      </c>
      <c r="AQ52" s="13">
        <f t="shared" si="64"/>
        <v>5.2570261833187969E-4</v>
      </c>
      <c r="AR52" s="13">
        <f t="shared" si="65"/>
        <v>6.4392618817911862E-4</v>
      </c>
      <c r="AS52" s="13">
        <f t="shared" si="66"/>
        <v>3.8925043767750828E-5</v>
      </c>
      <c r="AT52" s="13">
        <f t="shared" si="67"/>
        <v>1.1502227456254883E-5</v>
      </c>
      <c r="AU52" s="14">
        <f t="shared" si="68"/>
        <v>8.2008154280817175E-6</v>
      </c>
    </row>
    <row r="53" spans="1:47" x14ac:dyDescent="0.35">
      <c r="A53" s="5">
        <v>7.4999999999999997E-2</v>
      </c>
      <c r="B53" s="5">
        <v>0.02</v>
      </c>
      <c r="C53" s="5">
        <f t="shared" si="36"/>
        <v>0.15</v>
      </c>
      <c r="D53" s="5">
        <v>9.81</v>
      </c>
      <c r="E53" s="5">
        <v>1000</v>
      </c>
      <c r="F53" s="5">
        <v>2650</v>
      </c>
      <c r="G53" s="5">
        <v>1.65</v>
      </c>
      <c r="H53" s="5">
        <v>9.9999999999999995E-7</v>
      </c>
      <c r="I53" s="12"/>
      <c r="J53" s="12"/>
      <c r="K53" s="12"/>
      <c r="L53" s="12">
        <f t="shared" si="69"/>
        <v>89.066419597989878</v>
      </c>
      <c r="M53" s="5">
        <f t="shared" si="37"/>
        <v>0.45395728643216038</v>
      </c>
      <c r="N53" s="5">
        <f t="shared" si="38"/>
        <v>3.6683417085427106E-2</v>
      </c>
      <c r="O53" s="12">
        <f t="shared" si="39"/>
        <v>7.3366834170854212E-2</v>
      </c>
      <c r="P53" s="5">
        <f t="shared" si="40"/>
        <v>1897.1962050160116</v>
      </c>
      <c r="Q53" s="5">
        <v>4.7E-2</v>
      </c>
      <c r="R53" s="5">
        <f t="shared" si="41"/>
        <v>5.5131715547597548E-2</v>
      </c>
      <c r="S53" s="5">
        <f t="shared" si="42"/>
        <v>5.6000000000000001E-2</v>
      </c>
      <c r="T53" s="5">
        <f t="shared" si="43"/>
        <v>7.977443845417484E-2</v>
      </c>
      <c r="U53" s="5">
        <f t="shared" si="44"/>
        <v>8.7074722341604224E-2</v>
      </c>
      <c r="V53" s="5">
        <f t="shared" si="45"/>
        <v>0.33075550873278226</v>
      </c>
      <c r="W53" s="5">
        <f t="shared" si="46"/>
        <v>0.3895547355705582</v>
      </c>
      <c r="X53" s="5">
        <f t="shared" si="47"/>
        <v>0.34112748995075981</v>
      </c>
      <c r="Y53" s="5">
        <f t="shared" si="48"/>
        <v>5.4366880896390173</v>
      </c>
      <c r="Z53" s="12">
        <f t="shared" si="49"/>
        <v>4.5205550599332014</v>
      </c>
      <c r="AA53" s="12">
        <f t="shared" si="50"/>
        <v>1.622525065934399</v>
      </c>
      <c r="AB53" s="12">
        <f t="shared" si="51"/>
        <v>5.8518612919311673E-2</v>
      </c>
      <c r="AC53" s="1">
        <f t="shared" si="52"/>
        <v>0.1080398783967651</v>
      </c>
      <c r="AD53" s="1">
        <f t="shared" si="53"/>
        <v>6.3379926444003018E-2</v>
      </c>
      <c r="AE53" s="12">
        <f t="shared" si="54"/>
        <v>0.81642397642269393</v>
      </c>
      <c r="AF53" s="5">
        <f t="shared" si="55"/>
        <v>3.4251292822291383E-2</v>
      </c>
      <c r="AG53" s="5">
        <f t="shared" si="56"/>
        <v>1.7125646411145692E-2</v>
      </c>
      <c r="AH53" s="5">
        <v>3.845939E-3</v>
      </c>
      <c r="AI53" s="5">
        <f t="shared" si="57"/>
        <v>6.8475595458060024E-3</v>
      </c>
      <c r="AJ53" s="5">
        <f t="shared" si="58"/>
        <v>8.5102226938254654E-3</v>
      </c>
      <c r="AK53" s="5">
        <v>5.4159659999999997E-4</v>
      </c>
      <c r="AL53" s="5">
        <f t="shared" si="59"/>
        <v>1.5442941373289851E-4</v>
      </c>
      <c r="AM53" s="5">
        <f t="shared" si="60"/>
        <v>1.1019046064790116E-4</v>
      </c>
      <c r="AN53" s="13">
        <f t="shared" si="61"/>
        <v>2.8303838633266373E-3</v>
      </c>
      <c r="AO53" s="13">
        <f t="shared" si="62"/>
        <v>1.4151919316633186E-3</v>
      </c>
      <c r="AP53" s="13">
        <f t="shared" si="63"/>
        <v>3.1781234481911608E-4</v>
      </c>
      <c r="AQ53" s="13">
        <f t="shared" si="64"/>
        <v>5.6585373703044357E-4</v>
      </c>
      <c r="AR53" s="13">
        <f t="shared" si="65"/>
        <v>7.0324927911168784E-4</v>
      </c>
      <c r="AS53" s="13">
        <f t="shared" si="66"/>
        <v>4.4755282232001307E-5</v>
      </c>
      <c r="AT53" s="13">
        <f t="shared" si="67"/>
        <v>1.2761402114670534E-5</v>
      </c>
      <c r="AU53" s="14">
        <f t="shared" si="68"/>
        <v>9.1056796988220571E-6</v>
      </c>
    </row>
    <row r="54" spans="1:47" x14ac:dyDescent="0.35">
      <c r="A54" s="5">
        <v>7.4999999999999997E-2</v>
      </c>
      <c r="B54" s="5">
        <v>0.02</v>
      </c>
      <c r="C54" s="5">
        <f t="shared" si="36"/>
        <v>0.15</v>
      </c>
      <c r="D54" s="5">
        <v>9.81</v>
      </c>
      <c r="E54" s="5">
        <v>1000</v>
      </c>
      <c r="F54" s="5">
        <v>2650</v>
      </c>
      <c r="G54" s="5">
        <v>1.65</v>
      </c>
      <c r="H54" s="5">
        <v>9.9999999999999995E-7</v>
      </c>
      <c r="I54" s="12"/>
      <c r="J54" s="12"/>
      <c r="K54" s="12"/>
      <c r="L54" s="12">
        <f t="shared" si="69"/>
        <v>90.515274026381832</v>
      </c>
      <c r="M54" s="5">
        <f t="shared" si="37"/>
        <v>0.46134186557788903</v>
      </c>
      <c r="N54" s="5">
        <f t="shared" si="38"/>
        <v>3.7280150753768816E-2</v>
      </c>
      <c r="O54" s="12">
        <f t="shared" si="39"/>
        <v>7.4560301507537632E-2</v>
      </c>
      <c r="P54" s="5">
        <f t="shared" si="40"/>
        <v>1897.1962050160116</v>
      </c>
      <c r="Q54" s="5">
        <v>4.7E-2</v>
      </c>
      <c r="R54" s="5">
        <f t="shared" si="41"/>
        <v>5.5131715547597548E-2</v>
      </c>
      <c r="S54" s="5">
        <f t="shared" si="42"/>
        <v>5.6000000000000001E-2</v>
      </c>
      <c r="T54" s="5">
        <f t="shared" si="43"/>
        <v>7.977443845417484E-2</v>
      </c>
      <c r="U54" s="5">
        <f t="shared" si="44"/>
        <v>8.7074722341604224E-2</v>
      </c>
      <c r="V54" s="5">
        <f t="shared" si="45"/>
        <v>0.3524030726590861</v>
      </c>
      <c r="W54" s="5">
        <f t="shared" si="46"/>
        <v>0.3895547355705582</v>
      </c>
      <c r="X54" s="5">
        <f t="shared" si="47"/>
        <v>0.34112748995075981</v>
      </c>
      <c r="Y54" s="5">
        <f t="shared" si="48"/>
        <v>5.4890627026759464</v>
      </c>
      <c r="Z54" s="12">
        <f t="shared" si="49"/>
        <v>4.5205550599332014</v>
      </c>
      <c r="AA54" s="12">
        <f t="shared" si="50"/>
        <v>1.6514260352893917</v>
      </c>
      <c r="AB54" s="12">
        <f t="shared" si="51"/>
        <v>5.8518612919311673E-2</v>
      </c>
      <c r="AC54" s="1">
        <f t="shared" si="52"/>
        <v>0.11175312470120363</v>
      </c>
      <c r="AD54" s="1">
        <f t="shared" si="53"/>
        <v>6.5809381929413269E-2</v>
      </c>
      <c r="AE54" s="12">
        <f t="shared" si="54"/>
        <v>0.81642397642269393</v>
      </c>
      <c r="AF54" s="5">
        <f t="shared" si="55"/>
        <v>3.6602936937397225E-2</v>
      </c>
      <c r="AG54" s="5">
        <f t="shared" si="56"/>
        <v>1.8301468468698612E-2</v>
      </c>
      <c r="AH54" s="5">
        <v>4.3455639999999997E-3</v>
      </c>
      <c r="AI54" s="5">
        <f t="shared" si="57"/>
        <v>7.354404065266858E-3</v>
      </c>
      <c r="AJ54" s="5">
        <f t="shared" si="58"/>
        <v>9.2680607935089528E-3</v>
      </c>
      <c r="AK54" s="5">
        <v>6.1732270000000003E-4</v>
      </c>
      <c r="AL54" s="5">
        <f t="shared" si="59"/>
        <v>1.710187450077263E-4</v>
      </c>
      <c r="AM54" s="5">
        <f t="shared" si="60"/>
        <v>1.2212704097171542E-4</v>
      </c>
      <c r="AN54" s="13">
        <f t="shared" si="61"/>
        <v>3.0247139165078922E-3</v>
      </c>
      <c r="AO54" s="13">
        <f t="shared" si="62"/>
        <v>1.5123569582539461E-3</v>
      </c>
      <c r="AP54" s="13">
        <f t="shared" si="63"/>
        <v>3.5909926922957883E-4</v>
      </c>
      <c r="AQ54" s="13">
        <f t="shared" si="64"/>
        <v>6.0773725239264055E-4</v>
      </c>
      <c r="AR54" s="13">
        <f t="shared" si="65"/>
        <v>7.6587385621851984E-4</v>
      </c>
      <c r="AS54" s="13">
        <f t="shared" si="66"/>
        <v>5.1012971031799455E-5</v>
      </c>
      <c r="AT54" s="13">
        <f t="shared" si="67"/>
        <v>1.4132275202214075E-5</v>
      </c>
      <c r="AU54" s="14">
        <f t="shared" si="68"/>
        <v>1.0092068869797763E-5</v>
      </c>
    </row>
    <row r="55" spans="1:47" x14ac:dyDescent="0.35">
      <c r="A55" s="5">
        <v>7.4999999999999997E-2</v>
      </c>
      <c r="B55" s="5">
        <v>0.02</v>
      </c>
      <c r="C55" s="5">
        <f t="shared" si="36"/>
        <v>0.15</v>
      </c>
      <c r="D55" s="5">
        <v>9.81</v>
      </c>
      <c r="E55" s="5">
        <v>1000</v>
      </c>
      <c r="F55" s="5">
        <v>2650</v>
      </c>
      <c r="G55" s="5">
        <v>1.65</v>
      </c>
      <c r="H55" s="5">
        <v>9.9999999999999995E-7</v>
      </c>
      <c r="I55" s="12"/>
      <c r="J55" s="12"/>
      <c r="K55" s="12"/>
      <c r="L55" s="12">
        <f t="shared" si="69"/>
        <v>91.964128454773785</v>
      </c>
      <c r="M55" s="5">
        <f t="shared" si="37"/>
        <v>0.46872644472361763</v>
      </c>
      <c r="N55" s="5">
        <f t="shared" si="38"/>
        <v>3.787688442211052E-2</v>
      </c>
      <c r="O55" s="12">
        <f t="shared" si="39"/>
        <v>7.5753768844221039E-2</v>
      </c>
      <c r="P55" s="5">
        <f t="shared" si="40"/>
        <v>1897.1962050160116</v>
      </c>
      <c r="Q55" s="5">
        <v>4.7E-2</v>
      </c>
      <c r="R55" s="5">
        <f t="shared" si="41"/>
        <v>5.5131715547597548E-2</v>
      </c>
      <c r="S55" s="5">
        <f t="shared" si="42"/>
        <v>5.6000000000000001E-2</v>
      </c>
      <c r="T55" s="5">
        <f t="shared" si="43"/>
        <v>7.977443845417484E-2</v>
      </c>
      <c r="U55" s="5">
        <f t="shared" si="44"/>
        <v>8.7074722341604224E-2</v>
      </c>
      <c r="V55" s="5">
        <f t="shared" si="45"/>
        <v>0.37405063658538973</v>
      </c>
      <c r="W55" s="5">
        <f t="shared" si="46"/>
        <v>0.3895547355705582</v>
      </c>
      <c r="X55" s="5">
        <f t="shared" si="47"/>
        <v>0.34112748995075981</v>
      </c>
      <c r="Y55" s="5">
        <f t="shared" si="48"/>
        <v>5.5406092869646617</v>
      </c>
      <c r="Z55" s="12">
        <f t="shared" si="49"/>
        <v>4.5205550599332014</v>
      </c>
      <c r="AA55" s="12">
        <f t="shared" si="50"/>
        <v>1.6802223423159008</v>
      </c>
      <c r="AB55" s="12">
        <f t="shared" si="51"/>
        <v>5.8518612919311673E-2</v>
      </c>
      <c r="AC55" s="1">
        <f t="shared" si="52"/>
        <v>0.11552178537298716</v>
      </c>
      <c r="AD55" s="1">
        <f t="shared" si="53"/>
        <v>6.8232478694664422E-2</v>
      </c>
      <c r="AE55" s="12">
        <f t="shared" si="54"/>
        <v>0.81642397642269393</v>
      </c>
      <c r="AF55" s="5">
        <f t="shared" si="55"/>
        <v>3.9006066117828586E-2</v>
      </c>
      <c r="AG55" s="5">
        <f t="shared" si="56"/>
        <v>1.9503033058914293E-2</v>
      </c>
      <c r="AH55" s="5">
        <v>4.876806E-3</v>
      </c>
      <c r="AI55" s="5">
        <f t="shared" si="57"/>
        <v>7.8823377592319426E-3</v>
      </c>
      <c r="AJ55" s="5">
        <f t="shared" si="58"/>
        <v>1.0066290853240413E-2</v>
      </c>
      <c r="AK55" s="5">
        <v>6.9825409999999997E-4</v>
      </c>
      <c r="AL55" s="5">
        <f t="shared" si="59"/>
        <v>1.8905011490786416E-4</v>
      </c>
      <c r="AM55" s="5">
        <f t="shared" si="60"/>
        <v>1.3511848819717462E-4</v>
      </c>
      <c r="AN55" s="13">
        <f t="shared" si="61"/>
        <v>3.2232984805730352E-3</v>
      </c>
      <c r="AO55" s="13">
        <f t="shared" si="62"/>
        <v>1.6116492402865176E-3</v>
      </c>
      <c r="AP55" s="13">
        <f t="shared" si="63"/>
        <v>4.0299889054088849E-4</v>
      </c>
      <c r="AQ55" s="13">
        <f t="shared" si="64"/>
        <v>6.5136348910311908E-4</v>
      </c>
      <c r="AR55" s="13">
        <f t="shared" si="65"/>
        <v>8.3183625629516128E-4</v>
      </c>
      <c r="AS55" s="13">
        <f t="shared" si="66"/>
        <v>5.7700804095062751E-5</v>
      </c>
      <c r="AT55" s="13">
        <f t="shared" si="67"/>
        <v>1.5622312342237263E-5</v>
      </c>
      <c r="AU55" s="14">
        <f t="shared" si="68"/>
        <v>1.1165627838184154E-5</v>
      </c>
    </row>
    <row r="56" spans="1:47" x14ac:dyDescent="0.35">
      <c r="A56" s="5">
        <v>7.4999999999999997E-2</v>
      </c>
      <c r="B56" s="5">
        <v>0.02</v>
      </c>
      <c r="C56" s="5">
        <f t="shared" si="36"/>
        <v>0.15</v>
      </c>
      <c r="D56" s="5">
        <v>9.81</v>
      </c>
      <c r="E56" s="5">
        <v>1000</v>
      </c>
      <c r="F56" s="5">
        <v>2650</v>
      </c>
      <c r="G56" s="5">
        <v>1.65</v>
      </c>
      <c r="H56" s="5">
        <v>9.9999999999999995E-7</v>
      </c>
      <c r="I56" s="12"/>
      <c r="J56" s="12"/>
      <c r="K56" s="12"/>
      <c r="L56" s="12">
        <f t="shared" si="69"/>
        <v>93.412982883165739</v>
      </c>
      <c r="M56" s="5">
        <f t="shared" si="37"/>
        <v>0.47611102386934623</v>
      </c>
      <c r="N56" s="5">
        <f t="shared" si="38"/>
        <v>3.8473618090452223E-2</v>
      </c>
      <c r="O56" s="12">
        <f t="shared" si="39"/>
        <v>7.6947236180904446E-2</v>
      </c>
      <c r="P56" s="5">
        <f t="shared" si="40"/>
        <v>1897.1962050160116</v>
      </c>
      <c r="Q56" s="5">
        <v>4.7E-2</v>
      </c>
      <c r="R56" s="5">
        <f t="shared" si="41"/>
        <v>5.5131715547597548E-2</v>
      </c>
      <c r="S56" s="5">
        <f t="shared" si="42"/>
        <v>5.6000000000000001E-2</v>
      </c>
      <c r="T56" s="5">
        <f t="shared" si="43"/>
        <v>7.977443845417484E-2</v>
      </c>
      <c r="U56" s="5">
        <f t="shared" si="44"/>
        <v>8.7074722341604224E-2</v>
      </c>
      <c r="V56" s="5">
        <f t="shared" si="45"/>
        <v>0.39569820051169335</v>
      </c>
      <c r="W56" s="5">
        <f t="shared" si="46"/>
        <v>0.3895547355705582</v>
      </c>
      <c r="X56" s="5">
        <f t="shared" si="47"/>
        <v>0.34112748995075981</v>
      </c>
      <c r="Y56" s="5">
        <f t="shared" si="48"/>
        <v>5.5913446906498212</v>
      </c>
      <c r="Z56" s="12">
        <f t="shared" si="49"/>
        <v>4.5205550599332014</v>
      </c>
      <c r="AA56" s="12">
        <f t="shared" si="50"/>
        <v>1.7089127352305002</v>
      </c>
      <c r="AB56" s="12">
        <f t="shared" si="51"/>
        <v>5.8518612919311673E-2</v>
      </c>
      <c r="AC56" s="1">
        <f t="shared" si="52"/>
        <v>0.11934543288463384</v>
      </c>
      <c r="AD56" s="1">
        <f t="shared" si="53"/>
        <v>7.0647628110054442E-2</v>
      </c>
      <c r="AE56" s="12">
        <f t="shared" si="54"/>
        <v>0.81642397642269393</v>
      </c>
      <c r="AF56" s="5">
        <f t="shared" si="55"/>
        <v>4.1459600077878932E-2</v>
      </c>
      <c r="AG56" s="5">
        <f t="shared" si="56"/>
        <v>2.0729800038939466E-2</v>
      </c>
      <c r="AH56" s="5">
        <v>5.4397930000000001E-3</v>
      </c>
      <c r="AI56" s="5">
        <f t="shared" si="57"/>
        <v>8.4314717590670742E-3</v>
      </c>
      <c r="AJ56" s="5">
        <f t="shared" si="58"/>
        <v>1.0905285617550713E-2</v>
      </c>
      <c r="AK56" s="5">
        <v>7.8442119999999995E-4</v>
      </c>
      <c r="AL56" s="5">
        <f t="shared" si="59"/>
        <v>2.0861757868729345E-4</v>
      </c>
      <c r="AM56" s="5">
        <f t="shared" si="60"/>
        <v>1.4923624627217826E-4</v>
      </c>
      <c r="AN56" s="13">
        <f t="shared" si="61"/>
        <v>3.4260482852207252E-3</v>
      </c>
      <c r="AO56" s="13">
        <f t="shared" si="62"/>
        <v>1.7130241426103626E-3</v>
      </c>
      <c r="AP56" s="13">
        <f t="shared" si="63"/>
        <v>4.495217861387333E-4</v>
      </c>
      <c r="AQ56" s="13">
        <f t="shared" si="64"/>
        <v>6.9674163059405361E-4</v>
      </c>
      <c r="AR56" s="13">
        <f t="shared" si="65"/>
        <v>9.011672813936919E-4</v>
      </c>
      <c r="AS56" s="13">
        <f t="shared" si="66"/>
        <v>6.4821293550892194E-5</v>
      </c>
      <c r="AT56" s="13">
        <f t="shared" si="67"/>
        <v>1.7239285868313351E-5</v>
      </c>
      <c r="AU56" s="14">
        <f t="shared" si="68"/>
        <v>1.2332260433606472E-5</v>
      </c>
    </row>
    <row r="57" spans="1:47" x14ac:dyDescent="0.35">
      <c r="A57" s="5">
        <v>7.4999999999999997E-2</v>
      </c>
      <c r="B57" s="5">
        <v>0.02</v>
      </c>
      <c r="C57" s="5">
        <f t="shared" si="36"/>
        <v>0.15</v>
      </c>
      <c r="D57" s="5">
        <v>9.81</v>
      </c>
      <c r="E57" s="5">
        <v>1000</v>
      </c>
      <c r="F57" s="5">
        <v>2650</v>
      </c>
      <c r="G57" s="5">
        <v>1.65</v>
      </c>
      <c r="H57" s="5">
        <v>9.9999999999999995E-7</v>
      </c>
      <c r="I57" s="12"/>
      <c r="J57" s="12"/>
      <c r="K57" s="12"/>
      <c r="L57" s="12">
        <f t="shared" si="69"/>
        <v>94.861837311557693</v>
      </c>
      <c r="M57" s="5">
        <f t="shared" si="37"/>
        <v>0.48349560301507483</v>
      </c>
      <c r="N57" s="5">
        <f t="shared" si="38"/>
        <v>3.9070351758793934E-2</v>
      </c>
      <c r="O57" s="12">
        <f t="shared" si="39"/>
        <v>7.8140703517587867E-2</v>
      </c>
      <c r="P57" s="5">
        <f t="shared" si="40"/>
        <v>1897.1962050160116</v>
      </c>
      <c r="Q57" s="5">
        <v>4.7E-2</v>
      </c>
      <c r="R57" s="5">
        <f t="shared" si="41"/>
        <v>5.5131715547597548E-2</v>
      </c>
      <c r="S57" s="5">
        <f t="shared" si="42"/>
        <v>5.6000000000000001E-2</v>
      </c>
      <c r="T57" s="5">
        <f t="shared" si="43"/>
        <v>7.977443845417484E-2</v>
      </c>
      <c r="U57" s="5">
        <f t="shared" si="44"/>
        <v>8.7074722341604224E-2</v>
      </c>
      <c r="V57" s="5">
        <f t="shared" si="45"/>
        <v>0.4173457644379972</v>
      </c>
      <c r="W57" s="5">
        <f t="shared" si="46"/>
        <v>0.3895547355705582</v>
      </c>
      <c r="X57" s="5">
        <f t="shared" si="47"/>
        <v>0.34112748995075981</v>
      </c>
      <c r="Y57" s="5">
        <f t="shared" si="48"/>
        <v>5.6412854737292921</v>
      </c>
      <c r="Z57" s="12">
        <f t="shared" si="49"/>
        <v>4.5205550599332014</v>
      </c>
      <c r="AA57" s="12">
        <f t="shared" si="50"/>
        <v>1.737496120044288</v>
      </c>
      <c r="AB57" s="12">
        <f t="shared" si="51"/>
        <v>5.8518612919311673E-2</v>
      </c>
      <c r="AC57" s="1">
        <f t="shared" si="52"/>
        <v>0.12322364547582568</v>
      </c>
      <c r="AD57" s="1">
        <f t="shared" si="53"/>
        <v>7.3053383629414367E-2</v>
      </c>
      <c r="AE57" s="12">
        <f t="shared" si="54"/>
        <v>0.81642397642269393</v>
      </c>
      <c r="AF57" s="5">
        <f t="shared" si="55"/>
        <v>4.3962523816474787E-2</v>
      </c>
      <c r="AG57" s="5">
        <f t="shared" si="56"/>
        <v>2.1981261908237393E-2</v>
      </c>
      <c r="AH57" s="5">
        <v>6.0346430000000001E-3</v>
      </c>
      <c r="AI57" s="5">
        <f t="shared" si="57"/>
        <v>9.0019042451604438E-3</v>
      </c>
      <c r="AJ57" s="5">
        <f t="shared" si="58"/>
        <v>1.1785352656871822E-2</v>
      </c>
      <c r="AK57" s="5">
        <v>8.7585319999999996E-4</v>
      </c>
      <c r="AL57" s="5">
        <f t="shared" si="59"/>
        <v>2.2981889625817259E-4</v>
      </c>
      <c r="AM57" s="5">
        <f t="shared" si="60"/>
        <v>1.6455493059614628E-4</v>
      </c>
      <c r="AN57" s="13">
        <f t="shared" si="61"/>
        <v>3.6328794549991788E-3</v>
      </c>
      <c r="AO57" s="13">
        <f t="shared" si="62"/>
        <v>1.8164397274995894E-3</v>
      </c>
      <c r="AP57" s="13">
        <f t="shared" si="63"/>
        <v>4.9867770705054474E-4</v>
      </c>
      <c r="AQ57" s="13">
        <f t="shared" si="64"/>
        <v>7.4387979008288889E-4</v>
      </c>
      <c r="AR57" s="13">
        <f t="shared" si="65"/>
        <v>9.7389234785071554E-4</v>
      </c>
      <c r="AS57" s="13">
        <f t="shared" si="66"/>
        <v>7.2376852365397949E-5</v>
      </c>
      <c r="AT57" s="13">
        <f t="shared" si="67"/>
        <v>1.8991274251502952E-5</v>
      </c>
      <c r="AU57" s="14">
        <f t="shared" si="68"/>
        <v>1.359813256120499E-5</v>
      </c>
    </row>
    <row r="58" spans="1:47" x14ac:dyDescent="0.35">
      <c r="A58" s="5">
        <v>7.4999999999999997E-2</v>
      </c>
      <c r="B58" s="5">
        <v>0.02</v>
      </c>
      <c r="C58" s="5">
        <f t="shared" si="36"/>
        <v>0.15</v>
      </c>
      <c r="D58" s="5">
        <v>9.81</v>
      </c>
      <c r="E58" s="5">
        <v>1000</v>
      </c>
      <c r="F58" s="5">
        <v>2650</v>
      </c>
      <c r="G58" s="5">
        <v>1.65</v>
      </c>
      <c r="H58" s="5">
        <v>9.9999999999999995E-7</v>
      </c>
      <c r="I58" s="12"/>
      <c r="J58" s="12"/>
      <c r="K58" s="12"/>
      <c r="L58" s="12">
        <f t="shared" si="69"/>
        <v>96.310691739949647</v>
      </c>
      <c r="M58" s="5">
        <f t="shared" si="37"/>
        <v>0.49088018216080348</v>
      </c>
      <c r="N58" s="5">
        <f t="shared" si="38"/>
        <v>3.9667085427135637E-2</v>
      </c>
      <c r="O58" s="12">
        <f t="shared" si="39"/>
        <v>7.9334170854271274E-2</v>
      </c>
      <c r="P58" s="5">
        <f t="shared" si="40"/>
        <v>1897.1962050160116</v>
      </c>
      <c r="Q58" s="5">
        <v>4.7E-2</v>
      </c>
      <c r="R58" s="5">
        <f t="shared" si="41"/>
        <v>5.5131715547597548E-2</v>
      </c>
      <c r="S58" s="5">
        <f t="shared" si="42"/>
        <v>5.6000000000000001E-2</v>
      </c>
      <c r="T58" s="5">
        <f t="shared" si="43"/>
        <v>7.977443845417484E-2</v>
      </c>
      <c r="U58" s="5">
        <f t="shared" si="44"/>
        <v>8.7074722341604224E-2</v>
      </c>
      <c r="V58" s="5">
        <f t="shared" si="45"/>
        <v>0.43899332836430083</v>
      </c>
      <c r="W58" s="5">
        <f t="shared" si="46"/>
        <v>0.3895547355705582</v>
      </c>
      <c r="X58" s="5">
        <f t="shared" si="47"/>
        <v>0.34112748995075981</v>
      </c>
      <c r="Y58" s="5">
        <f t="shared" si="48"/>
        <v>5.6904479047339649</v>
      </c>
      <c r="Z58" s="12">
        <f t="shared" si="49"/>
        <v>4.5205550599332014</v>
      </c>
      <c r="AA58" s="12">
        <f t="shared" si="50"/>
        <v>1.7659715503856495</v>
      </c>
      <c r="AB58" s="12">
        <f t="shared" si="51"/>
        <v>5.8518612919311673E-2</v>
      </c>
      <c r="AC58" s="1">
        <f t="shared" si="52"/>
        <v>0.12715600727521745</v>
      </c>
      <c r="AD58" s="1">
        <f t="shared" si="53"/>
        <v>7.5448431178624015E-2</v>
      </c>
      <c r="AE58" s="12">
        <f t="shared" si="54"/>
        <v>0.81642397642269393</v>
      </c>
      <c r="AF58" s="5">
        <f t="shared" si="55"/>
        <v>4.6513881294308945E-2</v>
      </c>
      <c r="AG58" s="5">
        <f t="shared" si="56"/>
        <v>2.3256940647154473E-2</v>
      </c>
      <c r="AH58" s="5">
        <v>6.6614680000000003E-3</v>
      </c>
      <c r="AI58" s="5">
        <f t="shared" si="57"/>
        <v>9.5937212638528575E-3</v>
      </c>
      <c r="AJ58" s="5">
        <f t="shared" si="58"/>
        <v>1.2706736350190415E-2</v>
      </c>
      <c r="AK58" s="5">
        <v>9.7257780000000002E-4</v>
      </c>
      <c r="AL58" s="5">
        <f t="shared" si="59"/>
        <v>2.5275551324585046E-4</v>
      </c>
      <c r="AM58" s="5">
        <f t="shared" si="60"/>
        <v>1.8115235946366783E-4</v>
      </c>
      <c r="AN58" s="13">
        <f t="shared" si="61"/>
        <v>3.8437129868108535E-3</v>
      </c>
      <c r="AO58" s="13">
        <f t="shared" si="62"/>
        <v>1.9218564934054268E-3</v>
      </c>
      <c r="AP58" s="13">
        <f t="shared" si="63"/>
        <v>5.5047590848880017E-4</v>
      </c>
      <c r="AQ58" s="13">
        <f t="shared" si="64"/>
        <v>7.9278507808004509E-4</v>
      </c>
      <c r="AR58" s="13">
        <f t="shared" si="65"/>
        <v>1.0500316501255772E-3</v>
      </c>
      <c r="AS58" s="13">
        <f t="shared" si="66"/>
        <v>8.0369769550951611E-5</v>
      </c>
      <c r="AT58" s="13">
        <f t="shared" si="67"/>
        <v>2.0886660534819424E-5</v>
      </c>
      <c r="AU58" s="14">
        <f t="shared" si="68"/>
        <v>1.4969674800006881E-5</v>
      </c>
    </row>
    <row r="59" spans="1:47" x14ac:dyDescent="0.35">
      <c r="A59" s="5">
        <v>7.4999999999999997E-2</v>
      </c>
      <c r="B59" s="5">
        <v>0.02</v>
      </c>
      <c r="C59" s="5">
        <f t="shared" si="36"/>
        <v>0.15</v>
      </c>
      <c r="D59" s="5">
        <v>9.81</v>
      </c>
      <c r="E59" s="5">
        <v>1000</v>
      </c>
      <c r="F59" s="5">
        <v>2650</v>
      </c>
      <c r="G59" s="5">
        <v>1.65</v>
      </c>
      <c r="H59" s="5">
        <v>9.9999999999999995E-7</v>
      </c>
      <c r="I59" s="12"/>
      <c r="J59" s="12"/>
      <c r="K59" s="12"/>
      <c r="L59" s="12">
        <f t="shared" si="69"/>
        <v>97.7595461683416</v>
      </c>
      <c r="M59" s="5">
        <f t="shared" si="37"/>
        <v>0.49826476130653208</v>
      </c>
      <c r="N59" s="5">
        <f t="shared" si="38"/>
        <v>4.0263819095477341E-2</v>
      </c>
      <c r="O59" s="12">
        <f t="shared" si="39"/>
        <v>8.0527638190954681E-2</v>
      </c>
      <c r="P59" s="5">
        <f t="shared" si="40"/>
        <v>1897.1962050160116</v>
      </c>
      <c r="Q59" s="5">
        <v>4.7E-2</v>
      </c>
      <c r="R59" s="5">
        <f t="shared" si="41"/>
        <v>5.5131715547597548E-2</v>
      </c>
      <c r="S59" s="5">
        <f t="shared" si="42"/>
        <v>5.6000000000000001E-2</v>
      </c>
      <c r="T59" s="5">
        <f t="shared" si="43"/>
        <v>7.977443845417484E-2</v>
      </c>
      <c r="U59" s="5">
        <f t="shared" si="44"/>
        <v>8.7074722341604224E-2</v>
      </c>
      <c r="V59" s="5">
        <f t="shared" si="45"/>
        <v>0.46064089229060468</v>
      </c>
      <c r="W59" s="5">
        <f t="shared" si="46"/>
        <v>0.3895547355705582</v>
      </c>
      <c r="X59" s="5">
        <f t="shared" si="47"/>
        <v>0.34112748995075981</v>
      </c>
      <c r="Y59" s="5">
        <f t="shared" si="48"/>
        <v>5.7388479583237775</v>
      </c>
      <c r="Z59" s="12">
        <f t="shared" si="49"/>
        <v>4.5205550599332014</v>
      </c>
      <c r="AA59" s="12">
        <f t="shared" si="50"/>
        <v>1.794338217901646</v>
      </c>
      <c r="AB59" s="12">
        <f t="shared" si="51"/>
        <v>5.8518612919311673E-2</v>
      </c>
      <c r="AC59" s="1">
        <f t="shared" si="52"/>
        <v>0.13114210839839222</v>
      </c>
      <c r="AD59" s="1">
        <f t="shared" si="53"/>
        <v>7.7831580009876403E-2</v>
      </c>
      <c r="AE59" s="12">
        <f t="shared" si="54"/>
        <v>0.81642397642269393</v>
      </c>
      <c r="AF59" s="5">
        <f t="shared" si="55"/>
        <v>4.911276993656348E-2</v>
      </c>
      <c r="AG59" s="5">
        <f t="shared" si="56"/>
        <v>2.455638496828174E-2</v>
      </c>
      <c r="AH59" s="5">
        <v>7.3203699999999997E-3</v>
      </c>
      <c r="AI59" s="5">
        <f t="shared" si="57"/>
        <v>1.0206997502473348E-2</v>
      </c>
      <c r="AJ59" s="5">
        <f t="shared" si="58"/>
        <v>1.3669620014894916E-2</v>
      </c>
      <c r="AK59" s="5">
        <v>1.0746219999999999E-3</v>
      </c>
      <c r="AL59" s="5">
        <f t="shared" si="59"/>
        <v>2.7753252956893535E-4</v>
      </c>
      <c r="AM59" s="5">
        <f t="shared" si="60"/>
        <v>1.9910957849087306E-4</v>
      </c>
      <c r="AN59" s="13">
        <f t="shared" si="61"/>
        <v>4.0584742956404221E-3</v>
      </c>
      <c r="AO59" s="13">
        <f t="shared" si="62"/>
        <v>2.0292371478202111E-3</v>
      </c>
      <c r="AP59" s="13">
        <f t="shared" si="63"/>
        <v>6.0492481930771982E-4</v>
      </c>
      <c r="AQ59" s="13">
        <f t="shared" si="64"/>
        <v>8.4346366643462528E-4</v>
      </c>
      <c r="AR59" s="13">
        <f t="shared" si="65"/>
        <v>1.1296003368020328E-3</v>
      </c>
      <c r="AS59" s="13">
        <f t="shared" si="66"/>
        <v>8.8802276274846826E-5</v>
      </c>
      <c r="AT59" s="13">
        <f t="shared" si="67"/>
        <v>2.2934129736816939E-5</v>
      </c>
      <c r="AU59" s="14">
        <f t="shared" si="68"/>
        <v>1.6453584421419634E-5</v>
      </c>
    </row>
    <row r="60" spans="1:47" x14ac:dyDescent="0.35">
      <c r="A60" s="5">
        <v>7.4999999999999997E-2</v>
      </c>
      <c r="B60" s="5">
        <v>0.02</v>
      </c>
      <c r="C60" s="5">
        <f t="shared" si="36"/>
        <v>0.15</v>
      </c>
      <c r="D60" s="5">
        <v>9.81</v>
      </c>
      <c r="E60" s="5">
        <v>1000</v>
      </c>
      <c r="F60" s="5">
        <v>2650</v>
      </c>
      <c r="G60" s="5">
        <v>1.65</v>
      </c>
      <c r="H60" s="5">
        <v>9.9999999999999995E-7</v>
      </c>
      <c r="I60" s="12"/>
      <c r="J60" s="12"/>
      <c r="K60" s="12"/>
      <c r="L60" s="12">
        <f t="shared" si="69"/>
        <v>99.208400596733554</v>
      </c>
      <c r="M60" s="5">
        <f t="shared" si="37"/>
        <v>0.50564934045226073</v>
      </c>
      <c r="N60" s="5">
        <f t="shared" si="38"/>
        <v>4.0860552763819051E-2</v>
      </c>
      <c r="O60" s="12">
        <f t="shared" si="39"/>
        <v>8.1721105527638102E-2</v>
      </c>
      <c r="P60" s="5">
        <f t="shared" si="40"/>
        <v>1897.1962050160116</v>
      </c>
      <c r="Q60" s="5">
        <v>4.7E-2</v>
      </c>
      <c r="R60" s="5">
        <f t="shared" si="41"/>
        <v>5.5131715547597548E-2</v>
      </c>
      <c r="S60" s="5">
        <f t="shared" si="42"/>
        <v>5.6000000000000001E-2</v>
      </c>
      <c r="T60" s="5">
        <f t="shared" si="43"/>
        <v>7.977443845417484E-2</v>
      </c>
      <c r="U60" s="5">
        <f t="shared" si="44"/>
        <v>8.7074722341604224E-2</v>
      </c>
      <c r="V60" s="5">
        <f t="shared" si="45"/>
        <v>0.48228845621690852</v>
      </c>
      <c r="W60" s="5">
        <f t="shared" si="46"/>
        <v>0.3895547355705582</v>
      </c>
      <c r="X60" s="5">
        <f t="shared" si="47"/>
        <v>0.34112748995075981</v>
      </c>
      <c r="Y60" s="5">
        <f t="shared" si="48"/>
        <v>5.7865013137177126</v>
      </c>
      <c r="Z60" s="12">
        <f t="shared" si="49"/>
        <v>4.5205550599332014</v>
      </c>
      <c r="AA60" s="12">
        <f t="shared" si="50"/>
        <v>1.8225954432078868</v>
      </c>
      <c r="AB60" s="12">
        <f t="shared" si="51"/>
        <v>5.8518612919311673E-2</v>
      </c>
      <c r="AC60" s="1">
        <f t="shared" si="52"/>
        <v>0.13518154502411536</v>
      </c>
      <c r="AD60" s="1">
        <f t="shared" si="53"/>
        <v>8.0201754030860953E-2</v>
      </c>
      <c r="AE60" s="12">
        <f t="shared" si="54"/>
        <v>0.81642397642269393</v>
      </c>
      <c r="AF60" s="5">
        <f t="shared" si="55"/>
        <v>5.1758335827571451E-2</v>
      </c>
      <c r="AG60" s="5">
        <f t="shared" si="56"/>
        <v>2.5879167913785726E-2</v>
      </c>
      <c r="AH60" s="5">
        <v>8.0114420000000006E-3</v>
      </c>
      <c r="AI60" s="5">
        <f t="shared" si="57"/>
        <v>1.0841797023535856E-2</v>
      </c>
      <c r="AJ60" s="5">
        <f t="shared" si="58"/>
        <v>1.4674128154531592E-2</v>
      </c>
      <c r="AK60" s="5">
        <v>1.18201E-3</v>
      </c>
      <c r="AL60" s="5">
        <f t="shared" si="59"/>
        <v>3.0425865513424662E-4</v>
      </c>
      <c r="AM60" s="5">
        <f t="shared" si="60"/>
        <v>2.1851087761042343E-4</v>
      </c>
      <c r="AN60" s="13">
        <f t="shared" si="61"/>
        <v>4.2770928174616779E-3</v>
      </c>
      <c r="AO60" s="13">
        <f t="shared" si="62"/>
        <v>2.138546408730839E-3</v>
      </c>
      <c r="AP60" s="13">
        <f t="shared" si="63"/>
        <v>6.6203212463909311E-4</v>
      </c>
      <c r="AQ60" s="13">
        <f t="shared" si="64"/>
        <v>8.9592084900536474E-4</v>
      </c>
      <c r="AR60" s="13">
        <f t="shared" si="65"/>
        <v>1.2126086963334295E-3</v>
      </c>
      <c r="AS60" s="13">
        <f t="shared" si="66"/>
        <v>9.7676372324065301E-5</v>
      </c>
      <c r="AT60" s="13">
        <f t="shared" si="67"/>
        <v>2.514266519040622E-5</v>
      </c>
      <c r="AU60" s="14">
        <f t="shared" si="68"/>
        <v>1.8056826793626098E-5</v>
      </c>
    </row>
    <row r="61" spans="1:47" x14ac:dyDescent="0.35">
      <c r="A61" s="5">
        <v>7.4999999999999997E-2</v>
      </c>
      <c r="B61" s="5">
        <v>0.02</v>
      </c>
      <c r="C61" s="5">
        <f t="shared" si="36"/>
        <v>0.15</v>
      </c>
      <c r="D61" s="5">
        <v>9.81</v>
      </c>
      <c r="E61" s="5">
        <v>1000</v>
      </c>
      <c r="F61" s="5">
        <v>2650</v>
      </c>
      <c r="G61" s="5">
        <v>1.65</v>
      </c>
      <c r="H61" s="5">
        <v>9.9999999999999995E-7</v>
      </c>
      <c r="I61" s="12"/>
      <c r="J61" s="12"/>
      <c r="K61" s="12"/>
      <c r="L61" s="12">
        <f t="shared" si="69"/>
        <v>100.65725502512551</v>
      </c>
      <c r="M61" s="5">
        <f t="shared" si="37"/>
        <v>0.51303391959798927</v>
      </c>
      <c r="N61" s="5">
        <f t="shared" si="38"/>
        <v>4.1457286432160755E-2</v>
      </c>
      <c r="O61" s="12">
        <f t="shared" si="39"/>
        <v>8.2914572864321509E-2</v>
      </c>
      <c r="P61" s="5">
        <f t="shared" si="40"/>
        <v>1897.1962050160116</v>
      </c>
      <c r="Q61" s="5">
        <v>4.7E-2</v>
      </c>
      <c r="R61" s="5">
        <f t="shared" si="41"/>
        <v>5.5131715547597548E-2</v>
      </c>
      <c r="S61" s="5">
        <f t="shared" si="42"/>
        <v>5.6000000000000001E-2</v>
      </c>
      <c r="T61" s="5">
        <f t="shared" si="43"/>
        <v>7.977443845417484E-2</v>
      </c>
      <c r="U61" s="5">
        <f t="shared" si="44"/>
        <v>8.7074722341604224E-2</v>
      </c>
      <c r="V61" s="5">
        <f t="shared" si="45"/>
        <v>0.50393602014321215</v>
      </c>
      <c r="W61" s="5">
        <f t="shared" si="46"/>
        <v>0.3895547355705582</v>
      </c>
      <c r="X61" s="5">
        <f t="shared" si="47"/>
        <v>0.34112748995075981</v>
      </c>
      <c r="Y61" s="5">
        <f t="shared" si="48"/>
        <v>5.833423353881229</v>
      </c>
      <c r="Z61" s="12">
        <f t="shared" si="49"/>
        <v>4.5205550599332014</v>
      </c>
      <c r="AA61" s="12">
        <f t="shared" si="50"/>
        <v>1.8507426673580676</v>
      </c>
      <c r="AB61" s="12">
        <f t="shared" si="51"/>
        <v>5.8518612919311673E-2</v>
      </c>
      <c r="AC61" s="1">
        <f t="shared" si="52"/>
        <v>0.13927391945087714</v>
      </c>
      <c r="AD61" s="1">
        <f t="shared" si="53"/>
        <v>8.2557983610005423E-2</v>
      </c>
      <c r="AE61" s="12">
        <f t="shared" si="54"/>
        <v>0.81642397642269393</v>
      </c>
      <c r="AF61" s="5">
        <f t="shared" si="55"/>
        <v>5.4449769489300061E-2</v>
      </c>
      <c r="AG61" s="5">
        <f t="shared" si="56"/>
        <v>2.722488474465003E-2</v>
      </c>
      <c r="AH61" s="5">
        <v>8.7347699999999993E-3</v>
      </c>
      <c r="AI61" s="5">
        <f t="shared" si="57"/>
        <v>1.149817395932673E-2</v>
      </c>
      <c r="AJ61" s="5">
        <f t="shared" si="58"/>
        <v>1.5720328797862497E-2</v>
      </c>
      <c r="AK61" s="5">
        <v>1.2947670000000001E-3</v>
      </c>
      <c r="AL61" s="5">
        <f t="shared" si="59"/>
        <v>3.3304615229292635E-4</v>
      </c>
      <c r="AM61" s="5">
        <f t="shared" si="60"/>
        <v>2.3944380023586687E-4</v>
      </c>
      <c r="AN61" s="13">
        <f t="shared" si="61"/>
        <v>4.4995016603890017E-3</v>
      </c>
      <c r="AO61" s="13">
        <f t="shared" si="62"/>
        <v>2.2497508301945008E-3</v>
      </c>
      <c r="AP61" s="13">
        <f t="shared" si="63"/>
        <v>7.218049311639291E-4</v>
      </c>
      <c r="AQ61" s="13">
        <f t="shared" si="64"/>
        <v>9.5016109905844259E-4</v>
      </c>
      <c r="AR61" s="13">
        <f t="shared" si="65"/>
        <v>1.2990623503326903E-3</v>
      </c>
      <c r="AS61" s="13">
        <f t="shared" si="66"/>
        <v>1.0699414012141443E-4</v>
      </c>
      <c r="AT61" s="13">
        <f t="shared" si="67"/>
        <v>2.7521543787667811E-5</v>
      </c>
      <c r="AU61" s="14">
        <f t="shared" si="68"/>
        <v>1.9786636138888544E-5</v>
      </c>
    </row>
    <row r="62" spans="1:47" x14ac:dyDescent="0.35">
      <c r="A62" s="5">
        <v>7.4999999999999997E-2</v>
      </c>
      <c r="B62" s="5">
        <v>0.02</v>
      </c>
      <c r="C62" s="5">
        <f t="shared" si="36"/>
        <v>0.15</v>
      </c>
      <c r="D62" s="5">
        <v>9.81</v>
      </c>
      <c r="E62" s="5">
        <v>1000</v>
      </c>
      <c r="F62" s="5">
        <v>2650</v>
      </c>
      <c r="G62" s="5">
        <v>1.65</v>
      </c>
      <c r="H62" s="5">
        <v>9.9999999999999995E-7</v>
      </c>
      <c r="I62" s="12"/>
      <c r="J62" s="12"/>
      <c r="K62" s="12"/>
      <c r="L62" s="12">
        <f t="shared" si="69"/>
        <v>102.10610945351746</v>
      </c>
      <c r="M62" s="5">
        <f t="shared" si="37"/>
        <v>0.52041849874371793</v>
      </c>
      <c r="N62" s="5">
        <f t="shared" si="38"/>
        <v>4.2054020100502465E-2</v>
      </c>
      <c r="O62" s="12">
        <f t="shared" si="39"/>
        <v>8.410804020100493E-2</v>
      </c>
      <c r="P62" s="5">
        <f t="shared" si="40"/>
        <v>1897.1962050160116</v>
      </c>
      <c r="Q62" s="5">
        <v>4.7E-2</v>
      </c>
      <c r="R62" s="5">
        <f t="shared" si="41"/>
        <v>5.5131715547597548E-2</v>
      </c>
      <c r="S62" s="5">
        <f t="shared" si="42"/>
        <v>5.6000000000000001E-2</v>
      </c>
      <c r="T62" s="5">
        <f t="shared" si="43"/>
        <v>7.977443845417484E-2</v>
      </c>
      <c r="U62" s="5">
        <f t="shared" si="44"/>
        <v>8.7074722341604224E-2</v>
      </c>
      <c r="V62" s="5">
        <f t="shared" si="45"/>
        <v>0.525583584069516</v>
      </c>
      <c r="W62" s="5">
        <f t="shared" si="46"/>
        <v>0.3895547355705582</v>
      </c>
      <c r="X62" s="5">
        <f t="shared" si="47"/>
        <v>0.34112748995075981</v>
      </c>
      <c r="Y62" s="5">
        <f t="shared" si="48"/>
        <v>5.8796291654000532</v>
      </c>
      <c r="Z62" s="12">
        <f t="shared" si="49"/>
        <v>4.5205550599332014</v>
      </c>
      <c r="AA62" s="12">
        <f t="shared" si="50"/>
        <v>1.8787794438057164</v>
      </c>
      <c r="AB62" s="12">
        <f t="shared" si="51"/>
        <v>5.8518612919311673E-2</v>
      </c>
      <c r="AC62" s="1">
        <f t="shared" si="52"/>
        <v>0.1434188401355678</v>
      </c>
      <c r="AD62" s="1">
        <f t="shared" si="53"/>
        <v>8.4899397852695777E-2</v>
      </c>
      <c r="AE62" s="12">
        <f t="shared" si="54"/>
        <v>0.81642397642269393</v>
      </c>
      <c r="AF62" s="5">
        <f t="shared" si="55"/>
        <v>5.718630215549745E-2</v>
      </c>
      <c r="AG62" s="5">
        <f t="shared" si="56"/>
        <v>2.8593151077748725E-2</v>
      </c>
      <c r="AH62" s="5">
        <v>9.4904350000000002E-3</v>
      </c>
      <c r="AI62" s="5">
        <f t="shared" si="57"/>
        <v>1.2176173168241744E-2</v>
      </c>
      <c r="AJ62" s="5">
        <f t="shared" si="58"/>
        <v>1.6808235905198171E-2</v>
      </c>
      <c r="AK62" s="5">
        <v>1.412916E-3</v>
      </c>
      <c r="AL62" s="5">
        <f t="shared" si="59"/>
        <v>3.6401076476612088E-4</v>
      </c>
      <c r="AM62" s="5">
        <f t="shared" si="60"/>
        <v>2.6199914421423984E-4</v>
      </c>
      <c r="AN62" s="13">
        <f t="shared" si="61"/>
        <v>4.7256372967884085E-3</v>
      </c>
      <c r="AO62" s="13">
        <f t="shared" si="62"/>
        <v>2.3628186483942042E-3</v>
      </c>
      <c r="AP62" s="13">
        <f t="shared" si="63"/>
        <v>7.8424993238410904E-4</v>
      </c>
      <c r="AQ62" s="13">
        <f t="shared" si="64"/>
        <v>1.0061881235044327E-3</v>
      </c>
      <c r="AR62" s="13">
        <f t="shared" si="65"/>
        <v>1.3889624524216033E-3</v>
      </c>
      <c r="AS62" s="13">
        <f t="shared" si="66"/>
        <v>1.1675748029088506E-4</v>
      </c>
      <c r="AT62" s="13">
        <f t="shared" si="67"/>
        <v>3.0080330106567098E-5</v>
      </c>
      <c r="AU62" s="14">
        <f t="shared" si="68"/>
        <v>2.1650515612267723E-5</v>
      </c>
    </row>
    <row r="63" spans="1:47" x14ac:dyDescent="0.35">
      <c r="A63" s="5">
        <v>7.4999999999999997E-2</v>
      </c>
      <c r="B63" s="5">
        <v>0.02</v>
      </c>
      <c r="C63" s="5">
        <f t="shared" si="36"/>
        <v>0.15</v>
      </c>
      <c r="D63" s="5">
        <v>9.81</v>
      </c>
      <c r="E63" s="5">
        <v>1000</v>
      </c>
      <c r="F63" s="5">
        <v>2650</v>
      </c>
      <c r="G63" s="5">
        <v>1.65</v>
      </c>
      <c r="H63" s="5">
        <v>9.9999999999999995E-7</v>
      </c>
      <c r="I63" s="12"/>
      <c r="J63" s="12"/>
      <c r="K63" s="12"/>
      <c r="L63" s="12">
        <f t="shared" si="69"/>
        <v>103.55496388190942</v>
      </c>
      <c r="M63" s="5">
        <f t="shared" si="37"/>
        <v>0.52780307788944647</v>
      </c>
      <c r="N63" s="5">
        <f t="shared" si="38"/>
        <v>4.2650753768844168E-2</v>
      </c>
      <c r="O63" s="12">
        <f t="shared" si="39"/>
        <v>8.5301507537688337E-2</v>
      </c>
      <c r="P63" s="5">
        <f t="shared" si="40"/>
        <v>1897.1962050160116</v>
      </c>
      <c r="Q63" s="5">
        <v>4.7E-2</v>
      </c>
      <c r="R63" s="5">
        <f t="shared" si="41"/>
        <v>5.5131715547597548E-2</v>
      </c>
      <c r="S63" s="5">
        <f t="shared" si="42"/>
        <v>5.6000000000000001E-2</v>
      </c>
      <c r="T63" s="5">
        <f t="shared" si="43"/>
        <v>7.977443845417484E-2</v>
      </c>
      <c r="U63" s="5">
        <f t="shared" si="44"/>
        <v>8.7074722341604224E-2</v>
      </c>
      <c r="V63" s="5">
        <f t="shared" si="45"/>
        <v>0.54723114799581962</v>
      </c>
      <c r="W63" s="5">
        <f t="shared" si="46"/>
        <v>0.3895547355705582</v>
      </c>
      <c r="X63" s="5">
        <f t="shared" si="47"/>
        <v>0.34112748995075981</v>
      </c>
      <c r="Y63" s="5">
        <f t="shared" si="48"/>
        <v>5.9251335389742747</v>
      </c>
      <c r="Z63" s="12">
        <f t="shared" si="49"/>
        <v>4.5205550599332014</v>
      </c>
      <c r="AA63" s="12">
        <f t="shared" si="50"/>
        <v>1.9067054308318998</v>
      </c>
      <c r="AB63" s="12">
        <f t="shared" si="51"/>
        <v>5.8518612919311673E-2</v>
      </c>
      <c r="AC63" s="1">
        <f t="shared" si="52"/>
        <v>0.14761592171598562</v>
      </c>
      <c r="AD63" s="1">
        <f t="shared" si="53"/>
        <v>8.7225217338633837E-2</v>
      </c>
      <c r="AE63" s="12">
        <f t="shared" si="54"/>
        <v>0.81642397642269393</v>
      </c>
      <c r="AF63" s="5">
        <f t="shared" si="55"/>
        <v>5.9967202469089501E-2</v>
      </c>
      <c r="AG63" s="5">
        <f t="shared" si="56"/>
        <v>2.998360123454475E-2</v>
      </c>
      <c r="AH63" s="5">
        <v>1.0278509999999999E-2</v>
      </c>
      <c r="AI63" s="5">
        <f t="shared" si="57"/>
        <v>1.2875830854319604E-2</v>
      </c>
      <c r="AJ63" s="5">
        <f t="shared" si="58"/>
        <v>1.7937811820440273E-2</v>
      </c>
      <c r="AK63" s="5">
        <v>1.5364790000000001E-3</v>
      </c>
      <c r="AL63" s="5">
        <f t="shared" si="59"/>
        <v>3.9727163281619217E-4</v>
      </c>
      <c r="AM63" s="5">
        <f t="shared" si="60"/>
        <v>2.8627095420725258E-4</v>
      </c>
      <c r="AN63" s="13">
        <f t="shared" si="61"/>
        <v>4.9554392903642048E-3</v>
      </c>
      <c r="AO63" s="13">
        <f t="shared" si="62"/>
        <v>2.4777196451821024E-3</v>
      </c>
      <c r="AP63" s="13">
        <f t="shared" si="63"/>
        <v>8.4937316071490802E-4</v>
      </c>
      <c r="AQ63" s="13">
        <f t="shared" si="64"/>
        <v>1.0640049140939667E-3</v>
      </c>
      <c r="AR63" s="13">
        <f t="shared" si="65"/>
        <v>1.4823058908573902E-3</v>
      </c>
      <c r="AS63" s="13">
        <f t="shared" si="66"/>
        <v>1.2696821082064242E-4</v>
      </c>
      <c r="AT63" s="13">
        <f t="shared" si="67"/>
        <v>3.2828869401057309E-5</v>
      </c>
      <c r="AU63" s="14">
        <f t="shared" si="68"/>
        <v>2.3656236672035812E-5</v>
      </c>
    </row>
    <row r="64" spans="1:47" x14ac:dyDescent="0.35">
      <c r="A64" s="5">
        <v>7.4999999999999997E-2</v>
      </c>
      <c r="B64" s="5">
        <v>0.02</v>
      </c>
      <c r="C64" s="5">
        <f t="shared" si="36"/>
        <v>0.15</v>
      </c>
      <c r="D64" s="5">
        <v>9.81</v>
      </c>
      <c r="E64" s="5">
        <v>1000</v>
      </c>
      <c r="F64" s="5">
        <v>2650</v>
      </c>
      <c r="G64" s="5">
        <v>1.65</v>
      </c>
      <c r="H64" s="5">
        <v>9.9999999999999995E-7</v>
      </c>
      <c r="I64" s="12"/>
      <c r="J64" s="12"/>
      <c r="K64" s="12"/>
      <c r="L64" s="12">
        <f t="shared" si="69"/>
        <v>105.00381831030137</v>
      </c>
      <c r="M64" s="5">
        <f t="shared" si="37"/>
        <v>0.53518765703517512</v>
      </c>
      <c r="N64" s="5">
        <f t="shared" si="38"/>
        <v>4.3247487437185872E-2</v>
      </c>
      <c r="O64" s="12">
        <f t="shared" si="39"/>
        <v>8.6494974874371744E-2</v>
      </c>
      <c r="P64" s="5">
        <f t="shared" si="40"/>
        <v>1897.1962050160116</v>
      </c>
      <c r="Q64" s="5">
        <v>4.7E-2</v>
      </c>
      <c r="R64" s="5">
        <f t="shared" si="41"/>
        <v>5.5131715547597548E-2</v>
      </c>
      <c r="S64" s="5">
        <f t="shared" si="42"/>
        <v>5.6000000000000001E-2</v>
      </c>
      <c r="T64" s="5">
        <f t="shared" si="43"/>
        <v>7.977443845417484E-2</v>
      </c>
      <c r="U64" s="5">
        <f t="shared" si="44"/>
        <v>8.7074722341604224E-2</v>
      </c>
      <c r="V64" s="5">
        <f t="shared" si="45"/>
        <v>0.56887871192212347</v>
      </c>
      <c r="W64" s="5">
        <f t="shared" si="46"/>
        <v>0.3895547355705582</v>
      </c>
      <c r="X64" s="5">
        <f t="shared" si="47"/>
        <v>0.34112748995075981</v>
      </c>
      <c r="Y64" s="5">
        <f t="shared" si="48"/>
        <v>5.9699509704715723</v>
      </c>
      <c r="Z64" s="12">
        <f t="shared" si="49"/>
        <v>4.5205550599332014</v>
      </c>
      <c r="AA64" s="12">
        <f t="shared" si="50"/>
        <v>1.9345203844139149</v>
      </c>
      <c r="AB64" s="12">
        <f t="shared" si="51"/>
        <v>5.8518612919311673E-2</v>
      </c>
      <c r="AC64" s="1">
        <f t="shared" si="52"/>
        <v>0.15186478501875031</v>
      </c>
      <c r="AD64" s="1">
        <f t="shared" si="53"/>
        <v>8.9534747306936432E-2</v>
      </c>
      <c r="AE64" s="12">
        <f t="shared" si="54"/>
        <v>0.81642397642269393</v>
      </c>
      <c r="AF64" s="5">
        <f t="shared" si="55"/>
        <v>6.2791773542940979E-2</v>
      </c>
      <c r="AG64" s="5">
        <f t="shared" si="56"/>
        <v>3.139588677147049E-2</v>
      </c>
      <c r="AH64" s="5">
        <v>1.1099059999999999E-2</v>
      </c>
      <c r="AI64" s="5">
        <f t="shared" si="57"/>
        <v>1.3597175151476034E-2</v>
      </c>
      <c r="AJ64" s="5">
        <f t="shared" si="58"/>
        <v>1.9108969749600382E-2</v>
      </c>
      <c r="AK64" s="5">
        <v>1.6654790000000001E-3</v>
      </c>
      <c r="AL64" s="5">
        <f t="shared" si="59"/>
        <v>4.329511945120897E-4</v>
      </c>
      <c r="AM64" s="5">
        <f t="shared" si="60"/>
        <v>3.1235650516625406E-4</v>
      </c>
      <c r="AN64" s="13">
        <f t="shared" si="61"/>
        <v>5.1888500532725574E-3</v>
      </c>
      <c r="AO64" s="13">
        <f t="shared" si="62"/>
        <v>2.5944250266362787E-3</v>
      </c>
      <c r="AP64" s="13">
        <f t="shared" si="63"/>
        <v>9.1717998748499607E-4</v>
      </c>
      <c r="AQ64" s="13">
        <f t="shared" si="64"/>
        <v>1.1236137956964003E-3</v>
      </c>
      <c r="AR64" s="13">
        <f t="shared" si="65"/>
        <v>1.5790854933471524E-3</v>
      </c>
      <c r="AS64" s="13">
        <f t="shared" si="66"/>
        <v>1.3762823233467734E-4</v>
      </c>
      <c r="AT64" s="13">
        <f t="shared" si="67"/>
        <v>3.5777279442061992E-5</v>
      </c>
      <c r="AU64" s="14">
        <f t="shared" si="68"/>
        <v>2.5811837714116514E-5</v>
      </c>
    </row>
    <row r="65" spans="1:47" x14ac:dyDescent="0.35">
      <c r="A65" s="5">
        <v>7.4999999999999997E-2</v>
      </c>
      <c r="B65" s="5">
        <v>0.02</v>
      </c>
      <c r="C65" s="5">
        <f t="shared" si="36"/>
        <v>0.15</v>
      </c>
      <c r="D65" s="5">
        <v>9.81</v>
      </c>
      <c r="E65" s="5">
        <v>1000</v>
      </c>
      <c r="F65" s="5">
        <v>2650</v>
      </c>
      <c r="G65" s="5">
        <v>1.65</v>
      </c>
      <c r="H65" s="5">
        <v>9.9999999999999995E-7</v>
      </c>
      <c r="I65" s="12"/>
      <c r="J65" s="12"/>
      <c r="K65" s="12"/>
      <c r="L65" s="12">
        <f t="shared" si="69"/>
        <v>106.45267273869332</v>
      </c>
      <c r="M65" s="5">
        <f t="shared" si="37"/>
        <v>0.54257223618090378</v>
      </c>
      <c r="N65" s="5">
        <f t="shared" si="38"/>
        <v>4.3844221105527582E-2</v>
      </c>
      <c r="O65" s="12">
        <f t="shared" si="39"/>
        <v>8.7688442211055165E-2</v>
      </c>
      <c r="P65" s="5">
        <f t="shared" si="40"/>
        <v>1897.1962050160116</v>
      </c>
      <c r="Q65" s="5">
        <v>4.7E-2</v>
      </c>
      <c r="R65" s="5">
        <f t="shared" si="41"/>
        <v>5.5131715547597548E-2</v>
      </c>
      <c r="S65" s="5">
        <f t="shared" si="42"/>
        <v>5.6000000000000001E-2</v>
      </c>
      <c r="T65" s="5">
        <f t="shared" si="43"/>
        <v>7.977443845417484E-2</v>
      </c>
      <c r="U65" s="5">
        <f t="shared" si="44"/>
        <v>8.7074722341604224E-2</v>
      </c>
      <c r="V65" s="5">
        <f t="shared" si="45"/>
        <v>0.59052627584842732</v>
      </c>
      <c r="W65" s="5">
        <f t="shared" si="46"/>
        <v>0.3895547355705582</v>
      </c>
      <c r="X65" s="5">
        <f t="shared" si="47"/>
        <v>0.34112748995075981</v>
      </c>
      <c r="Y65" s="5">
        <f t="shared" si="48"/>
        <v>6.0140956624828954</v>
      </c>
      <c r="Z65" s="12">
        <f t="shared" si="49"/>
        <v>4.5205550599332014</v>
      </c>
      <c r="AA65" s="12">
        <f t="shared" si="50"/>
        <v>1.9622241515111558</v>
      </c>
      <c r="AB65" s="12">
        <f t="shared" si="51"/>
        <v>5.8518612919311673E-2</v>
      </c>
      <c r="AC65" s="1">
        <f t="shared" si="52"/>
        <v>0.15616505705406999</v>
      </c>
      <c r="AD65" s="1">
        <f t="shared" si="53"/>
        <v>9.1827371273003694E-2</v>
      </c>
      <c r="AE65" s="12">
        <f t="shared" si="54"/>
        <v>0.81642397642269393</v>
      </c>
      <c r="AF65" s="5">
        <f t="shared" si="55"/>
        <v>6.5659350334135919E-2</v>
      </c>
      <c r="AG65" s="5">
        <f t="shared" si="56"/>
        <v>3.2829675167067959E-2</v>
      </c>
      <c r="AH65" s="5">
        <v>1.195214E-2</v>
      </c>
      <c r="AI65" s="5">
        <f t="shared" si="57"/>
        <v>1.434022667397389E-2</v>
      </c>
      <c r="AJ65" s="5">
        <f t="shared" si="58"/>
        <v>2.0321576248749244E-2</v>
      </c>
      <c r="AK65" s="5">
        <v>1.799936E-3</v>
      </c>
      <c r="AL65" s="5">
        <f t="shared" si="59"/>
        <v>4.711750730148188E-4</v>
      </c>
      <c r="AM65" s="5">
        <f t="shared" si="60"/>
        <v>3.403562765943904E-4</v>
      </c>
      <c r="AN65" s="13">
        <f t="shared" si="61"/>
        <v>5.4258146291429861E-3</v>
      </c>
      <c r="AO65" s="13">
        <f t="shared" si="62"/>
        <v>2.7129073145714931E-3</v>
      </c>
      <c r="AP65" s="13">
        <f t="shared" si="63"/>
        <v>9.8767495766478603E-4</v>
      </c>
      <c r="AQ65" s="13">
        <f t="shared" si="64"/>
        <v>1.1850164717883659E-3</v>
      </c>
      <c r="AR65" s="13">
        <f t="shared" si="65"/>
        <v>1.6792902326416134E-3</v>
      </c>
      <c r="AS65" s="13">
        <f t="shared" si="66"/>
        <v>1.4873919754950364E-4</v>
      </c>
      <c r="AT65" s="13">
        <f t="shared" si="67"/>
        <v>3.8935941203216634E-5</v>
      </c>
      <c r="AU65" s="14">
        <f t="shared" si="68"/>
        <v>2.812562194521724E-5</v>
      </c>
    </row>
    <row r="66" spans="1:47" x14ac:dyDescent="0.35">
      <c r="A66" s="5">
        <v>7.4999999999999997E-2</v>
      </c>
      <c r="B66" s="5">
        <v>0.02</v>
      </c>
      <c r="C66" s="5">
        <f t="shared" ref="C66:C97" si="70">2*A66</f>
        <v>0.15</v>
      </c>
      <c r="D66" s="5">
        <v>9.81</v>
      </c>
      <c r="E66" s="5">
        <v>1000</v>
      </c>
      <c r="F66" s="5">
        <v>2650</v>
      </c>
      <c r="G66" s="5">
        <v>1.65</v>
      </c>
      <c r="H66" s="5">
        <v>9.9999999999999995E-7</v>
      </c>
      <c r="I66" s="12"/>
      <c r="J66" s="12"/>
      <c r="K66" s="12"/>
      <c r="L66" s="12">
        <f t="shared" si="69"/>
        <v>107.90152716708528</v>
      </c>
      <c r="M66" s="5">
        <f t="shared" ref="M66:M97" si="71">L66/ (E66*D66*B66)</f>
        <v>0.54995681532663232</v>
      </c>
      <c r="N66" s="5">
        <f t="shared" ref="N66:N97" si="72">L66/ (D66* E66 * G66 * C66)</f>
        <v>4.4440954773869286E-2</v>
      </c>
      <c r="O66" s="12">
        <f t="shared" ref="O66:O97" si="73">L66/ (D66* E66 * G66 * A66)</f>
        <v>8.8881909547738572E-2</v>
      </c>
      <c r="P66" s="5">
        <f t="shared" ref="P66:P97" si="74">A66 * (G66 * D66 / H66^2)^(1/3)</f>
        <v>1897.1962050160116</v>
      </c>
      <c r="Q66" s="5">
        <v>4.7E-2</v>
      </c>
      <c r="R66" s="5">
        <f t="shared" ref="R66:R97" si="75">0.3 / (1 + 1.2 * P66) + 0.055 * (1 - EXP(-0.02 * P66))</f>
        <v>5.5131715547597548E-2</v>
      </c>
      <c r="S66" s="5">
        <f t="shared" ref="S66:S97" si="76">IF(P66 &lt;= 4, 0.24 / P66, IF(P66 &lt;= 10, 0.14 * P66^(-0.64), IF(P66 &lt;= 20, 0.04 * P66^(-0.1), IF(P66 &lt;= 150, 0.013 * P66^(0.29), 0.056))))</f>
        <v>5.6000000000000001E-2</v>
      </c>
      <c r="T66" s="5">
        <f t="shared" ref="T66:T97" si="77">1.5*B66^0.75</f>
        <v>7.977443845417484E-2</v>
      </c>
      <c r="U66" s="5">
        <f t="shared" ref="U66:U97" si="78" xml:space="preserve"> (5 * B66 + 0.06) * (C66/A66)^(4.4 * SQRT(B66) - 1.5)</f>
        <v>8.7074722341604224E-2</v>
      </c>
      <c r="V66" s="5">
        <f t="shared" ref="V66:V97" si="79">O66/R66-1</f>
        <v>0.61217383977473094</v>
      </c>
      <c r="W66" s="5">
        <f t="shared" ref="W66:W97" si="80">2.45 * SQRT(R66) / (G66 + 1)^0.4</f>
        <v>0.3895547355705582</v>
      </c>
      <c r="X66" s="5">
        <f t="shared" ref="X66:X97" si="81" xml:space="preserve"> R66 * G66 * A66 / B66</f>
        <v>0.34112748995075981</v>
      </c>
      <c r="Y66" s="5">
        <f t="shared" ref="Y66:Y97" si="82" xml:space="preserve"> 6.5 * 2.5 * (M66 / C66) / SQRT(6.5^2 + 2.5^2 * (M66 / C66)^(5/3))</f>
        <v>6.0575815263281898</v>
      </c>
      <c r="Z66" s="12">
        <f t="shared" ref="Z66:Z97" si="83" xml:space="preserve"> 6.5 * 2.5 * (X66 / C66) / SQRT(6.5^2 + 2.5^2 * (X66 / C66)^(5/3))</f>
        <v>4.5205550599332014</v>
      </c>
      <c r="AA66" s="12">
        <f t="shared" ref="AA66:AA97" si="84">Y66 *SQRT(D66 * M66* B66)</f>
        <v>1.9898166637455019</v>
      </c>
      <c r="AB66" s="12">
        <f t="shared" ref="AB66:AB97" si="85" xml:space="preserve"> Z66 * R66^(3/2)</f>
        <v>5.8518612919311673E-2</v>
      </c>
      <c r="AC66" s="1">
        <f t="shared" ref="AC66:AC97" si="86">L66*AA66 / (E66 * (D66 * G66* A66)^(3/2))</f>
        <v>0.16051637099869806</v>
      </c>
      <c r="AD66" s="1">
        <f t="shared" ref="AD66:AD97" si="87">(0.92 - 0.25 * SQRT(AB66 / AC66))^9</f>
        <v>9.4102545059389725E-2</v>
      </c>
      <c r="AE66" s="12">
        <f t="shared" ref="AE66:AE97" si="88">SQRT(2/3 + 36 / P66^3) - SQRT(36 / P66^3)</f>
        <v>0.81642397642269393</v>
      </c>
      <c r="AF66" s="5">
        <f t="shared" ref="AF66:AF97" si="89">IF(O66 &gt; Q66, 8 * (O66 - Q66)^(3/2), 0)</f>
        <v>6.8569297290044226E-2</v>
      </c>
      <c r="AG66" s="5">
        <f t="shared" ref="AG66:AG97" si="90">IF(O66 &gt; Q66, 4 * (O66 - Q66)^(3/2), 0)</f>
        <v>3.4284648645022113E-2</v>
      </c>
      <c r="AH66" s="5">
        <v>1.283781E-2</v>
      </c>
      <c r="AI66" s="5">
        <f t="shared" ref="AI66:AI97" si="91" xml:space="preserve"> IF(AD66 * AC66 &lt; 0.00001, 0, AD66 * AC66)</f>
        <v>1.5104999034674702E-2</v>
      </c>
      <c r="AJ66" s="5">
        <f t="shared" ref="AJ66:AJ97" si="92" xml:space="preserve"> IF(O66&gt;= 0.19, 40 * AE66* O66^3, (AE66 * EXP(-0.391 / O66)) / 0.465)</f>
        <v>2.1575453706393504E-2</v>
      </c>
      <c r="AK66" s="5">
        <v>1.9398709999999999E-3</v>
      </c>
      <c r="AL66" s="5">
        <f t="shared" ref="AL66:AL97" si="93" xml:space="preserve"> 14 * N66^2.5 / (1 + (T66 / N66)^4)</f>
        <v>5.1207194989048453E-4</v>
      </c>
      <c r="AM66" s="5">
        <f t="shared" ref="AM66:AM97" si="94" xml:space="preserve"> 14 * N66^2.5 / (1 + (U66 / N66)^4)</f>
        <v>3.7037391732097272E-4</v>
      </c>
      <c r="AN66" s="13">
        <f t="shared" ref="AN66:AN97" si="95" xml:space="preserve"> AF66 * SQRT(G66 * D66 * A66^3)</f>
        <v>5.6662804985591342E-3</v>
      </c>
      <c r="AO66" s="13">
        <f t="shared" ref="AO66:AO97" si="96" xml:space="preserve"> AG66 * SQRT(G66 * D66 * A66^3)</f>
        <v>2.8331402492795671E-3</v>
      </c>
      <c r="AP66" s="13">
        <f t="shared" ref="AP66:AP97" si="97">AH66 * SQRT(G66 * D66 * A66^3)</f>
        <v>1.0608630294038197E-3</v>
      </c>
      <c r="AQ66" s="13">
        <f t="shared" ref="AQ66:AQ97" si="98" xml:space="preserve"> AI66 * SQRT(G66 * D66 * A66^3)</f>
        <v>1.2482140672799157E-3</v>
      </c>
      <c r="AR66" s="13">
        <f t="shared" ref="AR66:AR97" si="99" xml:space="preserve"> AJ66 * SQRT(G66 * D66 * A66^3)</f>
        <v>1.7829054316683671E-3</v>
      </c>
      <c r="AS66" s="13">
        <f t="shared" ref="AS66:AS97" si="100" xml:space="preserve"> AK66 * SQRT(G66 * D66 * A66^3)</f>
        <v>1.6030284181746082E-4</v>
      </c>
      <c r="AT66" s="13">
        <f t="shared" ref="AT66:AT97" si="101" xml:space="preserve"> AL66* SQRT(G66 * D66 * A66^3)</f>
        <v>4.231548839198744E-5</v>
      </c>
      <c r="AU66" s="14">
        <f t="shared" ref="AU66:AU97" si="102" xml:space="preserve"> AM66* SQRT(G66 * D66 * A66^3)</f>
        <v>3.0606154471929942E-5</v>
      </c>
    </row>
    <row r="67" spans="1:47" x14ac:dyDescent="0.35">
      <c r="A67" s="5">
        <v>7.4999999999999997E-2</v>
      </c>
      <c r="B67" s="5">
        <v>0.02</v>
      </c>
      <c r="C67" s="5">
        <f t="shared" si="70"/>
        <v>0.15</v>
      </c>
      <c r="D67" s="5">
        <v>9.81</v>
      </c>
      <c r="E67" s="5">
        <v>1000</v>
      </c>
      <c r="F67" s="5">
        <v>2650</v>
      </c>
      <c r="G67" s="5">
        <v>1.65</v>
      </c>
      <c r="H67" s="5">
        <v>9.9999999999999995E-7</v>
      </c>
      <c r="I67" s="12"/>
      <c r="J67" s="12"/>
      <c r="K67" s="12"/>
      <c r="L67" s="12">
        <f t="shared" ref="L67:L98" si="103">L66 + ($K$2 - $J$2) / 199</f>
        <v>109.35038159547723</v>
      </c>
      <c r="M67" s="5">
        <f t="shared" si="71"/>
        <v>0.55734139447236097</v>
      </c>
      <c r="N67" s="5">
        <f t="shared" si="72"/>
        <v>4.5037688442210989E-2</v>
      </c>
      <c r="O67" s="12">
        <f t="shared" si="73"/>
        <v>9.0075376884421979E-2</v>
      </c>
      <c r="P67" s="5">
        <f t="shared" si="74"/>
        <v>1897.1962050160116</v>
      </c>
      <c r="Q67" s="5">
        <v>4.7E-2</v>
      </c>
      <c r="R67" s="5">
        <f t="shared" si="75"/>
        <v>5.5131715547597548E-2</v>
      </c>
      <c r="S67" s="5">
        <f t="shared" si="76"/>
        <v>5.6000000000000001E-2</v>
      </c>
      <c r="T67" s="5">
        <f t="shared" si="77"/>
        <v>7.977443845417484E-2</v>
      </c>
      <c r="U67" s="5">
        <f t="shared" si="78"/>
        <v>8.7074722341604224E-2</v>
      </c>
      <c r="V67" s="5">
        <f t="shared" si="79"/>
        <v>0.63382140370103457</v>
      </c>
      <c r="W67" s="5">
        <f t="shared" si="80"/>
        <v>0.3895547355705582</v>
      </c>
      <c r="X67" s="5">
        <f t="shared" si="81"/>
        <v>0.34112748995075981</v>
      </c>
      <c r="Y67" s="5">
        <f t="shared" si="82"/>
        <v>6.1004221844637465</v>
      </c>
      <c r="Z67" s="12">
        <f t="shared" si="83"/>
        <v>4.5205550599332014</v>
      </c>
      <c r="AA67" s="12">
        <f t="shared" si="84"/>
        <v>2.0172979314546735</v>
      </c>
      <c r="AB67" s="12">
        <f t="shared" si="85"/>
        <v>5.8518612919311673E-2</v>
      </c>
      <c r="AC67" s="1">
        <f t="shared" si="86"/>
        <v>0.16491836616830904</v>
      </c>
      <c r="AD67" s="1">
        <f t="shared" si="87"/>
        <v>9.6359791221751048E-2</v>
      </c>
      <c r="AE67" s="12">
        <f t="shared" si="88"/>
        <v>0.81642397642269393</v>
      </c>
      <c r="AF67" s="5">
        <f t="shared" si="89"/>
        <v>7.1521006231039103E-2</v>
      </c>
      <c r="AG67" s="5">
        <f t="shared" si="90"/>
        <v>3.5760503115519551E-2</v>
      </c>
      <c r="AH67" s="5">
        <v>1.375612E-2</v>
      </c>
      <c r="AI67" s="5">
        <f t="shared" si="91"/>
        <v>1.589149933261055E-2</v>
      </c>
      <c r="AJ67" s="5">
        <f t="shared" si="92"/>
        <v>2.2870382807170474E-2</v>
      </c>
      <c r="AK67" s="5">
        <v>2.0853019999999998E-3</v>
      </c>
      <c r="AL67" s="5">
        <f t="shared" si="93"/>
        <v>5.5577342454352096E-4</v>
      </c>
      <c r="AM67" s="5">
        <f t="shared" si="94"/>
        <v>4.0251620054799082E-4</v>
      </c>
      <c r="AN67" s="13">
        <f t="shared" si="95"/>
        <v>5.9101974040953716E-3</v>
      </c>
      <c r="AO67" s="13">
        <f t="shared" si="96"/>
        <v>2.9550987020476858E-3</v>
      </c>
      <c r="AP67" s="13">
        <f t="shared" si="97"/>
        <v>1.1367483344933808E-3</v>
      </c>
      <c r="AQ67" s="13">
        <f t="shared" si="98"/>
        <v>1.3132071688054276E-3</v>
      </c>
      <c r="AR67" s="13">
        <f t="shared" si="99"/>
        <v>1.8899129671213315E-3</v>
      </c>
      <c r="AS67" s="13">
        <f t="shared" si="100"/>
        <v>1.723206525834113E-4</v>
      </c>
      <c r="AT67" s="13">
        <f t="shared" si="101"/>
        <v>4.5926795833820157E-5</v>
      </c>
      <c r="AU67" s="14">
        <f t="shared" si="102"/>
        <v>3.3262258585962628E-5</v>
      </c>
    </row>
    <row r="68" spans="1:47" x14ac:dyDescent="0.35">
      <c r="A68" s="5">
        <v>7.4999999999999997E-2</v>
      </c>
      <c r="B68" s="5">
        <v>0.02</v>
      </c>
      <c r="C68" s="5">
        <f t="shared" si="70"/>
        <v>0.15</v>
      </c>
      <c r="D68" s="5">
        <v>9.81</v>
      </c>
      <c r="E68" s="5">
        <v>1000</v>
      </c>
      <c r="F68" s="5">
        <v>2650</v>
      </c>
      <c r="G68" s="5">
        <v>1.65</v>
      </c>
      <c r="H68" s="5">
        <v>9.9999999999999995E-7</v>
      </c>
      <c r="I68" s="12"/>
      <c r="J68" s="12"/>
      <c r="K68" s="12"/>
      <c r="L68" s="12">
        <f t="shared" si="103"/>
        <v>110.79923602386918</v>
      </c>
      <c r="M68" s="5">
        <f t="shared" si="71"/>
        <v>0.56472597361808963</v>
      </c>
      <c r="N68" s="5">
        <f t="shared" si="72"/>
        <v>4.56344221105527E-2</v>
      </c>
      <c r="O68" s="12">
        <f t="shared" si="73"/>
        <v>9.12688442211054E-2</v>
      </c>
      <c r="P68" s="5">
        <f t="shared" si="74"/>
        <v>1897.1962050160116</v>
      </c>
      <c r="Q68" s="5">
        <v>4.7E-2</v>
      </c>
      <c r="R68" s="5">
        <f t="shared" si="75"/>
        <v>5.5131715547597548E-2</v>
      </c>
      <c r="S68" s="5">
        <f t="shared" si="76"/>
        <v>5.6000000000000001E-2</v>
      </c>
      <c r="T68" s="5">
        <f t="shared" si="77"/>
        <v>7.977443845417484E-2</v>
      </c>
      <c r="U68" s="5">
        <f t="shared" si="78"/>
        <v>8.7074722341604224E-2</v>
      </c>
      <c r="V68" s="5">
        <f t="shared" si="79"/>
        <v>0.65546896762733842</v>
      </c>
      <c r="W68" s="5">
        <f t="shared" si="80"/>
        <v>0.3895547355705582</v>
      </c>
      <c r="X68" s="5">
        <f t="shared" si="81"/>
        <v>0.34112748995075981</v>
      </c>
      <c r="Y68" s="5">
        <f t="shared" si="82"/>
        <v>6.142630973246507</v>
      </c>
      <c r="Z68" s="12">
        <f t="shared" si="83"/>
        <v>4.5205550599332014</v>
      </c>
      <c r="AA68" s="12">
        <f t="shared" si="84"/>
        <v>2.0446680380980573</v>
      </c>
      <c r="AB68" s="12">
        <f t="shared" si="85"/>
        <v>5.8518612919311673E-2</v>
      </c>
      <c r="AC68" s="1">
        <f t="shared" si="86"/>
        <v>0.16937068798042326</v>
      </c>
      <c r="AD68" s="1">
        <f t="shared" si="87"/>
        <v>9.8598693850290631E-2</v>
      </c>
      <c r="AE68" s="12">
        <f t="shared" si="88"/>
        <v>0.81642397642269393</v>
      </c>
      <c r="AF68" s="5">
        <f t="shared" si="89"/>
        <v>7.451389444012213E-2</v>
      </c>
      <c r="AG68" s="5">
        <f t="shared" si="90"/>
        <v>3.7256947220061065E-2</v>
      </c>
      <c r="AH68" s="5">
        <v>1.4707110000000001E-2</v>
      </c>
      <c r="AI68" s="5">
        <f t="shared" si="91"/>
        <v>1.6699728611394852E-2</v>
      </c>
      <c r="AJ68" s="5">
        <f t="shared" si="92"/>
        <v>2.4206104965497802E-2</v>
      </c>
      <c r="AK68" s="5">
        <v>2.236249E-3</v>
      </c>
      <c r="AL68" s="5">
        <f t="shared" si="93"/>
        <v>6.0241385995082441E-4</v>
      </c>
      <c r="AM68" s="5">
        <f t="shared" si="94"/>
        <v>4.3689296896681876E-4</v>
      </c>
      <c r="AN68" s="13">
        <f t="shared" si="95"/>
        <v>6.1575171924513911E-3</v>
      </c>
      <c r="AO68" s="13">
        <f t="shared" si="96"/>
        <v>3.0787585962256956E-3</v>
      </c>
      <c r="AP68" s="13">
        <f t="shared" si="97"/>
        <v>1.2153341783664978E-3</v>
      </c>
      <c r="AQ68" s="13">
        <f t="shared" si="98"/>
        <v>1.3799958626047576E-3</v>
      </c>
      <c r="AR68" s="13">
        <f t="shared" si="99"/>
        <v>2.0002914705673971E-3</v>
      </c>
      <c r="AS68" s="13">
        <f t="shared" si="100"/>
        <v>1.8479428256386893E-4</v>
      </c>
      <c r="AT68" s="13">
        <f t="shared" si="101"/>
        <v>4.9780966724252801E-5</v>
      </c>
      <c r="AU68" s="14">
        <f t="shared" si="102"/>
        <v>3.6103011228813035E-5</v>
      </c>
    </row>
    <row r="69" spans="1:47" x14ac:dyDescent="0.35">
      <c r="A69" s="5">
        <v>7.4999999999999997E-2</v>
      </c>
      <c r="B69" s="5">
        <v>0.02</v>
      </c>
      <c r="C69" s="5">
        <f t="shared" si="70"/>
        <v>0.15</v>
      </c>
      <c r="D69" s="5">
        <v>9.81</v>
      </c>
      <c r="E69" s="5">
        <v>1000</v>
      </c>
      <c r="F69" s="5">
        <v>2650</v>
      </c>
      <c r="G69" s="5">
        <v>1.65</v>
      </c>
      <c r="H69" s="5">
        <v>9.9999999999999995E-7</v>
      </c>
      <c r="I69" s="12"/>
      <c r="J69" s="12"/>
      <c r="K69" s="12"/>
      <c r="L69" s="12">
        <f t="shared" si="103"/>
        <v>112.24809045226114</v>
      </c>
      <c r="M69" s="5">
        <f t="shared" si="71"/>
        <v>0.57211055276381817</v>
      </c>
      <c r="N69" s="5">
        <f t="shared" si="72"/>
        <v>4.6231155778894403E-2</v>
      </c>
      <c r="O69" s="12">
        <f t="shared" si="73"/>
        <v>9.2462311557788807E-2</v>
      </c>
      <c r="P69" s="5">
        <f t="shared" si="74"/>
        <v>1897.1962050160116</v>
      </c>
      <c r="Q69" s="5">
        <v>4.7E-2</v>
      </c>
      <c r="R69" s="5">
        <f t="shared" si="75"/>
        <v>5.5131715547597548E-2</v>
      </c>
      <c r="S69" s="5">
        <f t="shared" si="76"/>
        <v>5.6000000000000001E-2</v>
      </c>
      <c r="T69" s="5">
        <f t="shared" si="77"/>
        <v>7.977443845417484E-2</v>
      </c>
      <c r="U69" s="5">
        <f t="shared" si="78"/>
        <v>8.7074722341604224E-2</v>
      </c>
      <c r="V69" s="5">
        <f t="shared" si="79"/>
        <v>0.67711653155364204</v>
      </c>
      <c r="W69" s="5">
        <f t="shared" si="80"/>
        <v>0.3895547355705582</v>
      </c>
      <c r="X69" s="5">
        <f t="shared" si="81"/>
        <v>0.34112748995075981</v>
      </c>
      <c r="Y69" s="5">
        <f t="shared" si="82"/>
        <v>6.1842209460141691</v>
      </c>
      <c r="Z69" s="12">
        <f t="shared" si="83"/>
        <v>4.5205550599332014</v>
      </c>
      <c r="AA69" s="12">
        <f t="shared" si="84"/>
        <v>2.0719271349955504</v>
      </c>
      <c r="AB69" s="12">
        <f t="shared" si="85"/>
        <v>5.8518612919311673E-2</v>
      </c>
      <c r="AC69" s="1">
        <f t="shared" si="86"/>
        <v>0.17387298790892081</v>
      </c>
      <c r="AD69" s="1">
        <f t="shared" si="87"/>
        <v>0.10081889372685854</v>
      </c>
      <c r="AE69" s="12">
        <f t="shared" si="88"/>
        <v>0.81642397642269393</v>
      </c>
      <c r="AF69" s="5">
        <f t="shared" si="89"/>
        <v>7.7547402934165219E-2</v>
      </c>
      <c r="AG69" s="5">
        <f t="shared" si="90"/>
        <v>3.8773701467082609E-2</v>
      </c>
      <c r="AH69" s="5">
        <v>1.5690809999999999E-2</v>
      </c>
      <c r="AI69" s="5">
        <f t="shared" si="91"/>
        <v>1.7529682289960845E-2</v>
      </c>
      <c r="AJ69" s="5">
        <f t="shared" si="92"/>
        <v>2.5582324719417671E-2</v>
      </c>
      <c r="AK69" s="5">
        <v>2.39273E-3</v>
      </c>
      <c r="AL69" s="5">
        <f t="shared" si="93"/>
        <v>6.5213021496789408E-4</v>
      </c>
      <c r="AM69" s="5">
        <f t="shared" si="94"/>
        <v>4.736170697844025E-4</v>
      </c>
      <c r="AN69" s="13">
        <f t="shared" si="95"/>
        <v>6.4081936715948565E-3</v>
      </c>
      <c r="AO69" s="13">
        <f t="shared" si="96"/>
        <v>3.2040968357974283E-3</v>
      </c>
      <c r="AP69" s="13">
        <f t="shared" si="97"/>
        <v>1.2966230400979408E-3</v>
      </c>
      <c r="AQ69" s="13">
        <f t="shared" si="98"/>
        <v>1.4485797701176716E-3</v>
      </c>
      <c r="AR69" s="13">
        <f t="shared" si="99"/>
        <v>2.1140165262637203E-3</v>
      </c>
      <c r="AS69" s="13">
        <f t="shared" si="100"/>
        <v>1.9772521920369604E-4</v>
      </c>
      <c r="AT69" s="13">
        <f t="shared" si="101"/>
        <v>5.3889318771395136E-5</v>
      </c>
      <c r="AU69" s="14">
        <f t="shared" si="102"/>
        <v>3.9137737622603969E-5</v>
      </c>
    </row>
    <row r="70" spans="1:47" x14ac:dyDescent="0.35">
      <c r="A70" s="5">
        <v>7.4999999999999997E-2</v>
      </c>
      <c r="B70" s="5">
        <v>0.02</v>
      </c>
      <c r="C70" s="5">
        <f t="shared" si="70"/>
        <v>0.15</v>
      </c>
      <c r="D70" s="5">
        <v>9.81</v>
      </c>
      <c r="E70" s="5">
        <v>1000</v>
      </c>
      <c r="F70" s="5">
        <v>2650</v>
      </c>
      <c r="G70" s="5">
        <v>1.65</v>
      </c>
      <c r="H70" s="5">
        <v>9.9999999999999995E-7</v>
      </c>
      <c r="I70" s="12"/>
      <c r="J70" s="12"/>
      <c r="K70" s="12"/>
      <c r="L70" s="12">
        <f t="shared" si="103"/>
        <v>113.69694488065309</v>
      </c>
      <c r="M70" s="5">
        <f t="shared" si="71"/>
        <v>0.57949513190954682</v>
      </c>
      <c r="N70" s="5">
        <f t="shared" si="72"/>
        <v>4.6827889447236114E-2</v>
      </c>
      <c r="O70" s="12">
        <f t="shared" si="73"/>
        <v>9.3655778894472227E-2</v>
      </c>
      <c r="P70" s="5">
        <f t="shared" si="74"/>
        <v>1897.1962050160116</v>
      </c>
      <c r="Q70" s="5">
        <v>4.7E-2</v>
      </c>
      <c r="R70" s="5">
        <f t="shared" si="75"/>
        <v>5.5131715547597548E-2</v>
      </c>
      <c r="S70" s="5">
        <f t="shared" si="76"/>
        <v>5.6000000000000001E-2</v>
      </c>
      <c r="T70" s="5">
        <f t="shared" si="77"/>
        <v>7.977443845417484E-2</v>
      </c>
      <c r="U70" s="5">
        <f t="shared" si="78"/>
        <v>8.7074722341604224E-2</v>
      </c>
      <c r="V70" s="5">
        <f t="shared" si="79"/>
        <v>0.69876409547994611</v>
      </c>
      <c r="W70" s="5">
        <f t="shared" si="80"/>
        <v>0.3895547355705582</v>
      </c>
      <c r="X70" s="5">
        <f t="shared" si="81"/>
        <v>0.34112748995075981</v>
      </c>
      <c r="Y70" s="5">
        <f t="shared" si="82"/>
        <v>6.2252048764431729</v>
      </c>
      <c r="Z70" s="12">
        <f t="shared" si="83"/>
        <v>4.5205550599332014</v>
      </c>
      <c r="AA70" s="12">
        <f t="shared" si="84"/>
        <v>2.0990754363809239</v>
      </c>
      <c r="AB70" s="12">
        <f t="shared" si="85"/>
        <v>5.8518612919311673E-2</v>
      </c>
      <c r="AC70" s="1">
        <f t="shared" si="86"/>
        <v>0.17842492343109723</v>
      </c>
      <c r="AD70" s="1">
        <f t="shared" si="87"/>
        <v>0.10302008381791772</v>
      </c>
      <c r="AE70" s="12">
        <f t="shared" si="88"/>
        <v>0.81642397642269393</v>
      </c>
      <c r="AF70" s="5">
        <f t="shared" si="89"/>
        <v>8.0620994895151024E-2</v>
      </c>
      <c r="AG70" s="5">
        <f t="shared" si="90"/>
        <v>4.0310497447575512E-2</v>
      </c>
      <c r="AH70" s="5">
        <v>1.670727E-2</v>
      </c>
      <c r="AI70" s="5">
        <f t="shared" si="91"/>
        <v>1.8381350567077188E-2</v>
      </c>
      <c r="AJ70" s="5">
        <f t="shared" si="92"/>
        <v>2.6998712076337614E-2</v>
      </c>
      <c r="AK70" s="5">
        <v>2.5547640000000002E-3</v>
      </c>
      <c r="AL70" s="5">
        <f t="shared" si="93"/>
        <v>7.050618635699227E-4</v>
      </c>
      <c r="AM70" s="5">
        <f t="shared" si="94"/>
        <v>5.1280427954236468E-4</v>
      </c>
      <c r="AN70" s="13">
        <f t="shared" si="95"/>
        <v>6.6621824811256584E-3</v>
      </c>
      <c r="AO70" s="13">
        <f t="shared" si="96"/>
        <v>3.3310912405628292E-3</v>
      </c>
      <c r="AP70" s="13">
        <f t="shared" si="97"/>
        <v>1.3806190514789947E-3</v>
      </c>
      <c r="AQ70" s="13">
        <f t="shared" si="98"/>
        <v>1.5189580814113251E-3</v>
      </c>
      <c r="AR70" s="13">
        <f t="shared" si="99"/>
        <v>2.2310608649999501E-3</v>
      </c>
      <c r="AS70" s="13">
        <f t="shared" si="100"/>
        <v>2.1111503258358083E-4</v>
      </c>
      <c r="AT70" s="13">
        <f t="shared" si="101"/>
        <v>5.8263369258766936E-5</v>
      </c>
      <c r="AU70" s="14">
        <f t="shared" si="102"/>
        <v>4.2376005057447973E-5</v>
      </c>
    </row>
    <row r="71" spans="1:47" x14ac:dyDescent="0.35">
      <c r="A71" s="5">
        <v>7.4999999999999997E-2</v>
      </c>
      <c r="B71" s="5">
        <v>0.02</v>
      </c>
      <c r="C71" s="5">
        <f t="shared" si="70"/>
        <v>0.15</v>
      </c>
      <c r="D71" s="5">
        <v>9.81</v>
      </c>
      <c r="E71" s="5">
        <v>1000</v>
      </c>
      <c r="F71" s="5">
        <v>2650</v>
      </c>
      <c r="G71" s="5">
        <v>1.65</v>
      </c>
      <c r="H71" s="5">
        <v>9.9999999999999995E-7</v>
      </c>
      <c r="I71" s="12"/>
      <c r="J71" s="12"/>
      <c r="K71" s="12"/>
      <c r="L71" s="12">
        <f t="shared" si="103"/>
        <v>115.14579930904505</v>
      </c>
      <c r="M71" s="5">
        <f t="shared" si="71"/>
        <v>0.58687971105527537</v>
      </c>
      <c r="N71" s="5">
        <f t="shared" si="72"/>
        <v>4.7424623115577817E-2</v>
      </c>
      <c r="O71" s="12">
        <f t="shared" si="73"/>
        <v>9.4849246231155634E-2</v>
      </c>
      <c r="P71" s="5">
        <f t="shared" si="74"/>
        <v>1897.1962050160116</v>
      </c>
      <c r="Q71" s="5">
        <v>4.7E-2</v>
      </c>
      <c r="R71" s="5">
        <f t="shared" si="75"/>
        <v>5.5131715547597548E-2</v>
      </c>
      <c r="S71" s="5">
        <f t="shared" si="76"/>
        <v>5.6000000000000001E-2</v>
      </c>
      <c r="T71" s="5">
        <f t="shared" si="77"/>
        <v>7.977443845417484E-2</v>
      </c>
      <c r="U71" s="5">
        <f t="shared" si="78"/>
        <v>8.7074722341604224E-2</v>
      </c>
      <c r="V71" s="5">
        <f t="shared" si="79"/>
        <v>0.72041165940624974</v>
      </c>
      <c r="W71" s="5">
        <f t="shared" si="80"/>
        <v>0.3895547355705582</v>
      </c>
      <c r="X71" s="5">
        <f t="shared" si="81"/>
        <v>0.34112748995075981</v>
      </c>
      <c r="Y71" s="5">
        <f t="shared" si="82"/>
        <v>6.2655952621497795</v>
      </c>
      <c r="Z71" s="12">
        <f t="shared" si="83"/>
        <v>4.5205550599332014</v>
      </c>
      <c r="AA71" s="12">
        <f t="shared" si="84"/>
        <v>2.1261132147521677</v>
      </c>
      <c r="AB71" s="12">
        <f t="shared" si="85"/>
        <v>5.8518612919311673E-2</v>
      </c>
      <c r="AC71" s="1">
        <f t="shared" si="86"/>
        <v>0.18302615796813618</v>
      </c>
      <c r="AD71" s="1">
        <f t="shared" si="87"/>
        <v>0.10520200508387891</v>
      </c>
      <c r="AE71" s="12">
        <f t="shared" si="88"/>
        <v>0.81642397642269393</v>
      </c>
      <c r="AF71" s="5">
        <f t="shared" si="89"/>
        <v>8.3734154242862652E-2</v>
      </c>
      <c r="AG71" s="5">
        <f t="shared" si="90"/>
        <v>4.1867077121431326E-2</v>
      </c>
      <c r="AH71" s="5">
        <v>1.775651E-2</v>
      </c>
      <c r="AI71" s="5">
        <f t="shared" si="91"/>
        <v>1.9254718801046684E-2</v>
      </c>
      <c r="AJ71" s="5">
        <f t="shared" si="92"/>
        <v>2.8454904803699343E-2</v>
      </c>
      <c r="AK71" s="5">
        <v>2.7223669999999998E-3</v>
      </c>
      <c r="AL71" s="5">
        <f t="shared" si="93"/>
        <v>7.6135040148324383E-4</v>
      </c>
      <c r="AM71" s="5">
        <f t="shared" si="94"/>
        <v>5.5457321865931173E-4</v>
      </c>
      <c r="AN71" s="13">
        <f t="shared" si="95"/>
        <v>6.9194409743289524E-3</v>
      </c>
      <c r="AO71" s="13">
        <f t="shared" si="96"/>
        <v>3.4597204871644762E-3</v>
      </c>
      <c r="AP71" s="13">
        <f t="shared" si="97"/>
        <v>1.467323865226173E-3</v>
      </c>
      <c r="AQ71" s="13">
        <f t="shared" si="98"/>
        <v>1.5911295865569802E-3</v>
      </c>
      <c r="AR71" s="13">
        <f t="shared" si="99"/>
        <v>2.3513945533895409E-3</v>
      </c>
      <c r="AS71" s="13">
        <f t="shared" si="100"/>
        <v>2.2496504487673426E-4</v>
      </c>
      <c r="AT71" s="13">
        <f t="shared" si="101"/>
        <v>6.2914819066127979E-5</v>
      </c>
      <c r="AU71" s="14">
        <f t="shared" si="102"/>
        <v>4.5827615829580303E-5</v>
      </c>
    </row>
    <row r="72" spans="1:47" x14ac:dyDescent="0.35">
      <c r="A72" s="5">
        <v>7.4999999999999997E-2</v>
      </c>
      <c r="B72" s="5">
        <v>0.02</v>
      </c>
      <c r="C72" s="5">
        <f t="shared" si="70"/>
        <v>0.15</v>
      </c>
      <c r="D72" s="5">
        <v>9.81</v>
      </c>
      <c r="E72" s="5">
        <v>1000</v>
      </c>
      <c r="F72" s="5">
        <v>2650</v>
      </c>
      <c r="G72" s="5">
        <v>1.65</v>
      </c>
      <c r="H72" s="5">
        <v>9.9999999999999995E-7</v>
      </c>
      <c r="I72" s="12"/>
      <c r="J72" s="12"/>
      <c r="K72" s="12"/>
      <c r="L72" s="12">
        <f t="shared" si="103"/>
        <v>116.594653737437</v>
      </c>
      <c r="M72" s="5">
        <f t="shared" si="71"/>
        <v>0.59426429020100402</v>
      </c>
      <c r="N72" s="5">
        <f t="shared" si="72"/>
        <v>4.8021356783919521E-2</v>
      </c>
      <c r="O72" s="12">
        <f t="shared" si="73"/>
        <v>9.6042713567839041E-2</v>
      </c>
      <c r="P72" s="5">
        <f t="shared" si="74"/>
        <v>1897.1962050160116</v>
      </c>
      <c r="Q72" s="5">
        <v>4.7E-2</v>
      </c>
      <c r="R72" s="5">
        <f t="shared" si="75"/>
        <v>5.5131715547597548E-2</v>
      </c>
      <c r="S72" s="5">
        <f t="shared" si="76"/>
        <v>5.6000000000000001E-2</v>
      </c>
      <c r="T72" s="5">
        <f t="shared" si="77"/>
        <v>7.977443845417484E-2</v>
      </c>
      <c r="U72" s="5">
        <f t="shared" si="78"/>
        <v>8.7074722341604224E-2</v>
      </c>
      <c r="V72" s="5">
        <f t="shared" si="79"/>
        <v>0.74205922333255336</v>
      </c>
      <c r="W72" s="5">
        <f t="shared" si="80"/>
        <v>0.3895547355705582</v>
      </c>
      <c r="X72" s="5">
        <f t="shared" si="81"/>
        <v>0.34112748995075981</v>
      </c>
      <c r="Y72" s="5">
        <f t="shared" si="82"/>
        <v>6.3054043285022132</v>
      </c>
      <c r="Z72" s="12">
        <f t="shared" si="83"/>
        <v>4.5205550599332014</v>
      </c>
      <c r="AA72" s="12">
        <f t="shared" si="84"/>
        <v>2.1530407965021787</v>
      </c>
      <c r="AB72" s="12">
        <f t="shared" si="85"/>
        <v>5.8518612919311673E-2</v>
      </c>
      <c r="AC72" s="1">
        <f t="shared" si="86"/>
        <v>0.18767636081980013</v>
      </c>
      <c r="AD72" s="1">
        <f t="shared" si="87"/>
        <v>0.10736444258577253</v>
      </c>
      <c r="AE72" s="12">
        <f t="shared" si="88"/>
        <v>0.81642397642269393</v>
      </c>
      <c r="AF72" s="5">
        <f t="shared" si="89"/>
        <v>8.6886384333034195E-2</v>
      </c>
      <c r="AG72" s="5">
        <f t="shared" si="90"/>
        <v>4.3443192166517097E-2</v>
      </c>
      <c r="AH72" s="5">
        <v>1.8838549999999999E-2</v>
      </c>
      <c r="AI72" s="5">
        <f t="shared" si="91"/>
        <v>2.0149767865944159E-2</v>
      </c>
      <c r="AJ72" s="5">
        <f t="shared" si="92"/>
        <v>2.9950510658810197E-2</v>
      </c>
      <c r="AK72" s="5">
        <v>2.895557E-3</v>
      </c>
      <c r="AL72" s="5">
        <f t="shared" si="93"/>
        <v>8.2113944075486894E-4</v>
      </c>
      <c r="AM72" s="5">
        <f t="shared" si="94"/>
        <v>5.9904525567604206E-4</v>
      </c>
      <c r="AN72" s="13">
        <f t="shared" si="95"/>
        <v>7.1799281105957499E-3</v>
      </c>
      <c r="AO72" s="13">
        <f t="shared" si="96"/>
        <v>3.589964055297875E-3</v>
      </c>
      <c r="AP72" s="13">
        <f t="shared" si="97"/>
        <v>1.5567391340559895E-3</v>
      </c>
      <c r="AQ72" s="13">
        <f t="shared" si="98"/>
        <v>1.6650927050680185E-3</v>
      </c>
      <c r="AR72" s="13">
        <f t="shared" si="99"/>
        <v>2.4749851781337138E-3</v>
      </c>
      <c r="AS72" s="13">
        <f t="shared" si="100"/>
        <v>2.3927674352801885E-4</v>
      </c>
      <c r="AT72" s="13">
        <f t="shared" si="101"/>
        <v>6.7855535693562107E-5</v>
      </c>
      <c r="AU72" s="14">
        <f t="shared" si="102"/>
        <v>4.9502599328582647E-5</v>
      </c>
    </row>
    <row r="73" spans="1:47" x14ac:dyDescent="0.35">
      <c r="A73" s="5">
        <v>7.4999999999999997E-2</v>
      </c>
      <c r="B73" s="5">
        <v>0.02</v>
      </c>
      <c r="C73" s="5">
        <f t="shared" si="70"/>
        <v>0.15</v>
      </c>
      <c r="D73" s="5">
        <v>9.81</v>
      </c>
      <c r="E73" s="5">
        <v>1000</v>
      </c>
      <c r="F73" s="5">
        <v>2650</v>
      </c>
      <c r="G73" s="5">
        <v>1.65</v>
      </c>
      <c r="H73" s="5">
        <v>9.9999999999999995E-7</v>
      </c>
      <c r="I73" s="12"/>
      <c r="J73" s="12"/>
      <c r="K73" s="12"/>
      <c r="L73" s="12">
        <f t="shared" si="103"/>
        <v>118.04350816582895</v>
      </c>
      <c r="M73" s="5">
        <f t="shared" si="71"/>
        <v>0.60164886934673267</v>
      </c>
      <c r="N73" s="5">
        <f t="shared" si="72"/>
        <v>4.8618090452261231E-2</v>
      </c>
      <c r="O73" s="12">
        <f t="shared" si="73"/>
        <v>9.7236180904522462E-2</v>
      </c>
      <c r="P73" s="5">
        <f t="shared" si="74"/>
        <v>1897.1962050160116</v>
      </c>
      <c r="Q73" s="5">
        <v>4.7E-2</v>
      </c>
      <c r="R73" s="5">
        <f t="shared" si="75"/>
        <v>5.5131715547597548E-2</v>
      </c>
      <c r="S73" s="5">
        <f t="shared" si="76"/>
        <v>5.6000000000000001E-2</v>
      </c>
      <c r="T73" s="5">
        <f t="shared" si="77"/>
        <v>7.977443845417484E-2</v>
      </c>
      <c r="U73" s="5">
        <f t="shared" si="78"/>
        <v>8.7074722341604224E-2</v>
      </c>
      <c r="V73" s="5">
        <f t="shared" si="79"/>
        <v>0.76370678725885721</v>
      </c>
      <c r="W73" s="5">
        <f t="shared" si="80"/>
        <v>0.3895547355705582</v>
      </c>
      <c r="X73" s="5">
        <f t="shared" si="81"/>
        <v>0.34112748995075981</v>
      </c>
      <c r="Y73" s="5">
        <f t="shared" si="82"/>
        <v>6.3446440326145952</v>
      </c>
      <c r="Z73" s="12">
        <f t="shared" si="83"/>
        <v>4.5205550599332014</v>
      </c>
      <c r="AA73" s="12">
        <f t="shared" si="84"/>
        <v>2.1798585578140059</v>
      </c>
      <c r="AB73" s="12">
        <f t="shared" si="85"/>
        <v>5.8518612919311673E-2</v>
      </c>
      <c r="AC73" s="1">
        <f t="shared" si="86"/>
        <v>0.19237520709407205</v>
      </c>
      <c r="AD73" s="1">
        <f t="shared" si="87"/>
        <v>0.10950722187083511</v>
      </c>
      <c r="AE73" s="12">
        <f t="shared" si="88"/>
        <v>0.81642397642269393</v>
      </c>
      <c r="AF73" s="5">
        <f t="shared" si="89"/>
        <v>9.0077206767127965E-2</v>
      </c>
      <c r="AG73" s="5">
        <f t="shared" si="90"/>
        <v>4.5038603383563983E-2</v>
      </c>
      <c r="AH73" s="5">
        <v>1.9953410000000001E-2</v>
      </c>
      <c r="AI73" s="5">
        <f t="shared" si="91"/>
        <v>2.10664744856984E-2</v>
      </c>
      <c r="AJ73" s="5">
        <f t="shared" si="92"/>
        <v>3.1485109553153527E-2</v>
      </c>
      <c r="AK73" s="5">
        <v>3.0743490000000001E-3</v>
      </c>
      <c r="AL73" s="5">
        <f t="shared" si="93"/>
        <v>8.8457439289882053E-4</v>
      </c>
      <c r="AM73" s="5">
        <f t="shared" si="94"/>
        <v>6.4634440123483797E-4</v>
      </c>
      <c r="AN73" s="13">
        <f t="shared" si="95"/>
        <v>7.4436043570678808E-3</v>
      </c>
      <c r="AO73" s="13">
        <f t="shared" si="96"/>
        <v>3.7218021785339404E-3</v>
      </c>
      <c r="AP73" s="13">
        <f t="shared" si="97"/>
        <v>1.6488665106849586E-3</v>
      </c>
      <c r="AQ73" s="13">
        <f t="shared" si="98"/>
        <v>1.740845513507076E-3</v>
      </c>
      <c r="AR73" s="13">
        <f t="shared" si="99"/>
        <v>2.6017980248710325E-3</v>
      </c>
      <c r="AS73" s="13">
        <f t="shared" si="100"/>
        <v>2.540513680748199E-4</v>
      </c>
      <c r="AT73" s="13">
        <f t="shared" si="101"/>
        <v>7.309753534159543E-5</v>
      </c>
      <c r="AU73" s="14">
        <f t="shared" si="102"/>
        <v>5.3411203276274388E-5</v>
      </c>
    </row>
    <row r="74" spans="1:47" x14ac:dyDescent="0.35">
      <c r="A74" s="5">
        <v>7.4999999999999997E-2</v>
      </c>
      <c r="B74" s="5">
        <v>0.02</v>
      </c>
      <c r="C74" s="5">
        <f t="shared" si="70"/>
        <v>0.15</v>
      </c>
      <c r="D74" s="5">
        <v>9.81</v>
      </c>
      <c r="E74" s="5">
        <v>1000</v>
      </c>
      <c r="F74" s="5">
        <v>2650</v>
      </c>
      <c r="G74" s="5">
        <v>1.65</v>
      </c>
      <c r="H74" s="5">
        <v>9.9999999999999995E-7</v>
      </c>
      <c r="I74" s="12"/>
      <c r="J74" s="12"/>
      <c r="K74" s="12"/>
      <c r="L74" s="12">
        <f t="shared" si="103"/>
        <v>119.49236259422091</v>
      </c>
      <c r="M74" s="5">
        <f t="shared" si="71"/>
        <v>0.60903344849246122</v>
      </c>
      <c r="N74" s="5">
        <f t="shared" si="72"/>
        <v>4.9214824120602935E-2</v>
      </c>
      <c r="O74" s="12">
        <f t="shared" si="73"/>
        <v>9.8429648241205869E-2</v>
      </c>
      <c r="P74" s="5">
        <f t="shared" si="74"/>
        <v>1897.1962050160116</v>
      </c>
      <c r="Q74" s="5">
        <v>4.7E-2</v>
      </c>
      <c r="R74" s="5">
        <f t="shared" si="75"/>
        <v>5.5131715547597548E-2</v>
      </c>
      <c r="S74" s="5">
        <f t="shared" si="76"/>
        <v>5.6000000000000001E-2</v>
      </c>
      <c r="T74" s="5">
        <f t="shared" si="77"/>
        <v>7.977443845417484E-2</v>
      </c>
      <c r="U74" s="5">
        <f t="shared" si="78"/>
        <v>8.7074722341604224E-2</v>
      </c>
      <c r="V74" s="5">
        <f t="shared" si="79"/>
        <v>0.78535435118516084</v>
      </c>
      <c r="W74" s="5">
        <f t="shared" si="80"/>
        <v>0.3895547355705582</v>
      </c>
      <c r="X74" s="5">
        <f t="shared" si="81"/>
        <v>0.34112748995075981</v>
      </c>
      <c r="Y74" s="5">
        <f t="shared" si="82"/>
        <v>6.3833260674957764</v>
      </c>
      <c r="Z74" s="12">
        <f t="shared" si="83"/>
        <v>4.5205550599332014</v>
      </c>
      <c r="AA74" s="12">
        <f t="shared" si="84"/>
        <v>2.2065669208057153</v>
      </c>
      <c r="AB74" s="12">
        <f t="shared" si="85"/>
        <v>5.8518612919311673E-2</v>
      </c>
      <c r="AC74" s="1">
        <f t="shared" si="86"/>
        <v>0.19712237763241938</v>
      </c>
      <c r="AD74" s="1">
        <f t="shared" si="87"/>
        <v>0.11163020561928456</v>
      </c>
      <c r="AE74" s="12">
        <f t="shared" si="88"/>
        <v>0.81642397642269393</v>
      </c>
      <c r="AF74" s="5">
        <f t="shared" si="89"/>
        <v>9.3306160301725893E-2</v>
      </c>
      <c r="AG74" s="5">
        <f t="shared" si="90"/>
        <v>4.6653080150862947E-2</v>
      </c>
      <c r="AH74" s="5">
        <v>2.1101120000000001E-2</v>
      </c>
      <c r="AI74" s="5">
        <f t="shared" si="91"/>
        <v>2.2004811547269236E-2</v>
      </c>
      <c r="AJ74" s="5">
        <f t="shared" si="92"/>
        <v>3.3058255647466631E-2</v>
      </c>
      <c r="AK74" s="5">
        <v>3.2587599999999999E-3</v>
      </c>
      <c r="AL74" s="5">
        <f t="shared" si="93"/>
        <v>9.5180224134705841E-4</v>
      </c>
      <c r="AM74" s="5">
        <f t="shared" si="94"/>
        <v>6.9659719187753412E-4</v>
      </c>
      <c r="AN74" s="13">
        <f t="shared" si="95"/>
        <v>7.7104315985146487E-3</v>
      </c>
      <c r="AO74" s="13">
        <f t="shared" si="96"/>
        <v>3.8552157992573243E-3</v>
      </c>
      <c r="AP74" s="13">
        <f t="shared" si="97"/>
        <v>1.7437084741878503E-3</v>
      </c>
      <c r="AQ74" s="13">
        <f t="shared" si="98"/>
        <v>1.8183857713656919E-3</v>
      </c>
      <c r="AR74" s="13">
        <f t="shared" si="99"/>
        <v>2.7317962513058983E-3</v>
      </c>
      <c r="AS74" s="13">
        <f t="shared" si="100"/>
        <v>2.6929032332617409E-4</v>
      </c>
      <c r="AT74" s="13">
        <f t="shared" si="101"/>
        <v>7.8652964107490746E-5</v>
      </c>
      <c r="AU74" s="14">
        <f t="shared" si="102"/>
        <v>5.7563884124270002E-5</v>
      </c>
    </row>
    <row r="75" spans="1:47" x14ac:dyDescent="0.35">
      <c r="A75" s="5">
        <v>7.4999999999999997E-2</v>
      </c>
      <c r="B75" s="5">
        <v>0.02</v>
      </c>
      <c r="C75" s="5">
        <f t="shared" si="70"/>
        <v>0.15</v>
      </c>
      <c r="D75" s="5">
        <v>9.81</v>
      </c>
      <c r="E75" s="5">
        <v>1000</v>
      </c>
      <c r="F75" s="5">
        <v>2650</v>
      </c>
      <c r="G75" s="5">
        <v>1.65</v>
      </c>
      <c r="H75" s="5">
        <v>9.9999999999999995E-7</v>
      </c>
      <c r="I75" s="12"/>
      <c r="J75" s="12"/>
      <c r="K75" s="12"/>
      <c r="L75" s="12">
        <f t="shared" si="103"/>
        <v>120.94121702261286</v>
      </c>
      <c r="M75" s="5">
        <f t="shared" si="71"/>
        <v>0.61641802763818987</v>
      </c>
      <c r="N75" s="5">
        <f t="shared" si="72"/>
        <v>4.9811557788944638E-2</v>
      </c>
      <c r="O75" s="12">
        <f t="shared" si="73"/>
        <v>9.9623115577889276E-2</v>
      </c>
      <c r="P75" s="5">
        <f t="shared" si="74"/>
        <v>1897.1962050160116</v>
      </c>
      <c r="Q75" s="5">
        <v>4.7E-2</v>
      </c>
      <c r="R75" s="5">
        <f t="shared" si="75"/>
        <v>5.5131715547597548E-2</v>
      </c>
      <c r="S75" s="5">
        <f t="shared" si="76"/>
        <v>5.6000000000000001E-2</v>
      </c>
      <c r="T75" s="5">
        <f t="shared" si="77"/>
        <v>7.977443845417484E-2</v>
      </c>
      <c r="U75" s="5">
        <f t="shared" si="78"/>
        <v>8.7074722341604224E-2</v>
      </c>
      <c r="V75" s="5">
        <f t="shared" si="79"/>
        <v>0.80700191511146446</v>
      </c>
      <c r="W75" s="5">
        <f t="shared" si="80"/>
        <v>0.3895547355705582</v>
      </c>
      <c r="X75" s="5">
        <f t="shared" si="81"/>
        <v>0.34112748995075981</v>
      </c>
      <c r="Y75" s="5">
        <f t="shared" si="82"/>
        <v>6.4214618663285634</v>
      </c>
      <c r="Z75" s="12">
        <f t="shared" si="83"/>
        <v>4.5205550599332014</v>
      </c>
      <c r="AA75" s="12">
        <f t="shared" si="84"/>
        <v>2.2331663499106997</v>
      </c>
      <c r="AB75" s="12">
        <f t="shared" si="85"/>
        <v>5.8518612919311673E-2</v>
      </c>
      <c r="AC75" s="1">
        <f t="shared" si="86"/>
        <v>0.20191755893129137</v>
      </c>
      <c r="AD75" s="1">
        <f t="shared" si="87"/>
        <v>0.11373329053532223</v>
      </c>
      <c r="AE75" s="12">
        <f t="shared" si="88"/>
        <v>0.81642397642269393</v>
      </c>
      <c r="AF75" s="5">
        <f t="shared" si="89"/>
        <v>9.6572799847065433E-2</v>
      </c>
      <c r="AG75" s="5">
        <f t="shared" si="90"/>
        <v>4.8286399923532716E-2</v>
      </c>
      <c r="AH75" s="5">
        <v>2.2281680000000002E-2</v>
      </c>
      <c r="AI75" s="5">
        <f t="shared" si="91"/>
        <v>2.2964748394115612E-2</v>
      </c>
      <c r="AJ75" s="5">
        <f t="shared" si="92"/>
        <v>3.4669479374740811E-2</v>
      </c>
      <c r="AK75" s="5">
        <v>3.4488050000000001E-3</v>
      </c>
      <c r="AL75" s="5">
        <f t="shared" si="93"/>
        <v>1.0229713040186491E-3</v>
      </c>
      <c r="AM75" s="5">
        <f t="shared" si="94"/>
        <v>7.4993256380200901E-4</v>
      </c>
      <c r="AN75" s="13">
        <f t="shared" si="95"/>
        <v>7.980373054576018E-3</v>
      </c>
      <c r="AO75" s="13">
        <f t="shared" si="96"/>
        <v>3.990186527288009E-3</v>
      </c>
      <c r="AP75" s="13">
        <f t="shared" si="97"/>
        <v>1.8412650245646649E-3</v>
      </c>
      <c r="AQ75" s="13">
        <f t="shared" si="98"/>
        <v>1.8977109453152826E-3</v>
      </c>
      <c r="AR75" s="13">
        <f t="shared" si="99"/>
        <v>2.8649410543808312E-3</v>
      </c>
      <c r="AS75" s="13">
        <f t="shared" si="100"/>
        <v>2.8499484881946687E-4</v>
      </c>
      <c r="AT75" s="13">
        <f t="shared" si="101"/>
        <v>8.4534078364954758E-5</v>
      </c>
      <c r="AU75" s="14">
        <f t="shared" si="102"/>
        <v>6.1971296621742529E-5</v>
      </c>
    </row>
    <row r="76" spans="1:47" x14ac:dyDescent="0.35">
      <c r="A76" s="5">
        <v>7.4999999999999997E-2</v>
      </c>
      <c r="B76" s="5">
        <v>0.02</v>
      </c>
      <c r="C76" s="5">
        <f t="shared" si="70"/>
        <v>0.15</v>
      </c>
      <c r="D76" s="5">
        <v>9.81</v>
      </c>
      <c r="E76" s="5">
        <v>1000</v>
      </c>
      <c r="F76" s="5">
        <v>2650</v>
      </c>
      <c r="G76" s="5">
        <v>1.65</v>
      </c>
      <c r="H76" s="5">
        <v>9.9999999999999995E-7</v>
      </c>
      <c r="I76" s="12"/>
      <c r="J76" s="12"/>
      <c r="K76" s="12"/>
      <c r="L76" s="12">
        <f t="shared" si="103"/>
        <v>122.39007145100481</v>
      </c>
      <c r="M76" s="5">
        <f t="shared" si="71"/>
        <v>0.62380260678391852</v>
      </c>
      <c r="N76" s="5">
        <f t="shared" si="72"/>
        <v>5.0408291457286349E-2</v>
      </c>
      <c r="O76" s="12">
        <f t="shared" si="73"/>
        <v>0.1008165829145727</v>
      </c>
      <c r="P76" s="5">
        <f t="shared" si="74"/>
        <v>1897.1962050160116</v>
      </c>
      <c r="Q76" s="5">
        <v>4.7E-2</v>
      </c>
      <c r="R76" s="5">
        <f t="shared" si="75"/>
        <v>5.5131715547597548E-2</v>
      </c>
      <c r="S76" s="5">
        <f t="shared" si="76"/>
        <v>5.6000000000000001E-2</v>
      </c>
      <c r="T76" s="5">
        <f t="shared" si="77"/>
        <v>7.977443845417484E-2</v>
      </c>
      <c r="U76" s="5">
        <f t="shared" si="78"/>
        <v>8.7074722341604224E-2</v>
      </c>
      <c r="V76" s="5">
        <f t="shared" si="79"/>
        <v>0.82864947903776853</v>
      </c>
      <c r="W76" s="5">
        <f t="shared" si="80"/>
        <v>0.3895547355705582</v>
      </c>
      <c r="X76" s="5">
        <f t="shared" si="81"/>
        <v>0.34112748995075981</v>
      </c>
      <c r="Y76" s="5">
        <f t="shared" si="82"/>
        <v>6.4590626068568664</v>
      </c>
      <c r="Z76" s="12">
        <f t="shared" si="83"/>
        <v>4.5205550599332014</v>
      </c>
      <c r="AA76" s="12">
        <f t="shared" si="84"/>
        <v>2.2596573484800251</v>
      </c>
      <c r="AB76" s="12">
        <f t="shared" si="85"/>
        <v>5.8518612919311673E-2</v>
      </c>
      <c r="AC76" s="1">
        <f t="shared" si="86"/>
        <v>0.20676044306040803</v>
      </c>
      <c r="AD76" s="1">
        <f t="shared" si="87"/>
        <v>0.11581640446620291</v>
      </c>
      <c r="AE76" s="12">
        <f t="shared" si="88"/>
        <v>0.81642397642269393</v>
      </c>
      <c r="AF76" s="5">
        <f t="shared" si="89"/>
        <v>9.9876695545563776E-2</v>
      </c>
      <c r="AG76" s="5">
        <f t="shared" si="90"/>
        <v>4.9938347772781888E-2</v>
      </c>
      <c r="AH76" s="5">
        <v>2.3495100000000001E-2</v>
      </c>
      <c r="AI76" s="5">
        <f t="shared" si="91"/>
        <v>2.3946251101095533E-2</v>
      </c>
      <c r="AJ76" s="5">
        <f t="shared" si="92"/>
        <v>3.6318289389068024E-2</v>
      </c>
      <c r="AK76" s="5">
        <v>3.6445010000000001E-3</v>
      </c>
      <c r="AL76" s="5">
        <f t="shared" si="93"/>
        <v>1.0982309869027331E-3</v>
      </c>
      <c r="AM76" s="5">
        <f t="shared" si="94"/>
        <v>8.0648171677286465E-4</v>
      </c>
      <c r="AN76" s="13">
        <f t="shared" si="95"/>
        <v>8.2533932036157071E-3</v>
      </c>
      <c r="AO76" s="13">
        <f t="shared" si="96"/>
        <v>4.1266966018078536E-3</v>
      </c>
      <c r="AP76" s="13">
        <f t="shared" si="97"/>
        <v>1.9415369881736592E-3</v>
      </c>
      <c r="AQ76" s="13">
        <f t="shared" si="98"/>
        <v>1.9788182319237283E-3</v>
      </c>
      <c r="AR76" s="13">
        <f t="shared" si="99"/>
        <v>3.0011918313210197E-3</v>
      </c>
      <c r="AS76" s="13">
        <f t="shared" si="100"/>
        <v>3.0116634936373495E-4</v>
      </c>
      <c r="AT76" s="13">
        <f t="shared" si="101"/>
        <v>9.0753224401263146E-5</v>
      </c>
      <c r="AU76" s="14">
        <f t="shared" si="102"/>
        <v>6.6644282569570235E-5</v>
      </c>
    </row>
    <row r="77" spans="1:47" x14ac:dyDescent="0.35">
      <c r="A77" s="5">
        <v>7.4999999999999997E-2</v>
      </c>
      <c r="B77" s="5">
        <v>0.02</v>
      </c>
      <c r="C77" s="5">
        <f t="shared" si="70"/>
        <v>0.15</v>
      </c>
      <c r="D77" s="5">
        <v>9.81</v>
      </c>
      <c r="E77" s="5">
        <v>1000</v>
      </c>
      <c r="F77" s="5">
        <v>2650</v>
      </c>
      <c r="G77" s="5">
        <v>1.65</v>
      </c>
      <c r="H77" s="5">
        <v>9.9999999999999995E-7</v>
      </c>
      <c r="I77" s="12"/>
      <c r="J77" s="12"/>
      <c r="K77" s="12"/>
      <c r="L77" s="12">
        <f t="shared" si="103"/>
        <v>123.83892587939677</v>
      </c>
      <c r="M77" s="5">
        <f t="shared" si="71"/>
        <v>0.63118718592964707</v>
      </c>
      <c r="N77" s="5">
        <f t="shared" si="72"/>
        <v>5.1005025125628052E-2</v>
      </c>
      <c r="O77" s="12">
        <f t="shared" si="73"/>
        <v>0.1020100502512561</v>
      </c>
      <c r="P77" s="5">
        <f t="shared" si="74"/>
        <v>1897.1962050160116</v>
      </c>
      <c r="Q77" s="5">
        <v>4.7E-2</v>
      </c>
      <c r="R77" s="5">
        <f t="shared" si="75"/>
        <v>5.5131715547597548E-2</v>
      </c>
      <c r="S77" s="5">
        <f t="shared" si="76"/>
        <v>5.6000000000000001E-2</v>
      </c>
      <c r="T77" s="5">
        <f t="shared" si="77"/>
        <v>7.977443845417484E-2</v>
      </c>
      <c r="U77" s="5">
        <f t="shared" si="78"/>
        <v>8.7074722341604224E-2</v>
      </c>
      <c r="V77" s="5">
        <f t="shared" si="79"/>
        <v>0.85029704296407216</v>
      </c>
      <c r="W77" s="5">
        <f t="shared" si="80"/>
        <v>0.3895547355705582</v>
      </c>
      <c r="X77" s="5">
        <f t="shared" si="81"/>
        <v>0.34112748995075981</v>
      </c>
      <c r="Y77" s="5">
        <f t="shared" si="82"/>
        <v>6.4961392158604037</v>
      </c>
      <c r="Z77" s="12">
        <f t="shared" si="83"/>
        <v>4.5205550599332014</v>
      </c>
      <c r="AA77" s="12">
        <f t="shared" si="84"/>
        <v>2.2860404555941298</v>
      </c>
      <c r="AB77" s="12">
        <f t="shared" si="85"/>
        <v>5.8518612919311673E-2</v>
      </c>
      <c r="AC77" s="1">
        <f t="shared" si="86"/>
        <v>0.21165072757835024</v>
      </c>
      <c r="AD77" s="1">
        <f t="shared" si="87"/>
        <v>0.11787950373404119</v>
      </c>
      <c r="AE77" s="12">
        <f t="shared" si="88"/>
        <v>0.81642397642269393</v>
      </c>
      <c r="AF77" s="5">
        <f t="shared" si="89"/>
        <v>0.10321743192229807</v>
      </c>
      <c r="AG77" s="5">
        <f t="shared" si="90"/>
        <v>5.1608715961149035E-2</v>
      </c>
      <c r="AH77" s="5">
        <v>2.4741389999999999E-2</v>
      </c>
      <c r="AI77" s="5">
        <f t="shared" si="91"/>
        <v>2.4949282731884671E-2</v>
      </c>
      <c r="AJ77" s="5">
        <f t="shared" si="92"/>
        <v>3.8004174438939803E-2</v>
      </c>
      <c r="AK77" s="5">
        <v>3.84586E-3</v>
      </c>
      <c r="AL77" s="5">
        <f t="shared" si="93"/>
        <v>1.1777315296278201E-3</v>
      </c>
      <c r="AM77" s="5">
        <f t="shared" si="94"/>
        <v>8.6637796843897581E-4</v>
      </c>
      <c r="AN77" s="13">
        <f t="shared" si="95"/>
        <v>8.5294577125204097E-3</v>
      </c>
      <c r="AO77" s="13">
        <f t="shared" si="96"/>
        <v>4.2647288562602048E-3</v>
      </c>
      <c r="AP77" s="13">
        <f t="shared" si="97"/>
        <v>2.0445251913730898E-3</v>
      </c>
      <c r="AQ77" s="13">
        <f t="shared" si="98"/>
        <v>2.0617045789273697E-3</v>
      </c>
      <c r="AR77" s="13">
        <f t="shared" si="99"/>
        <v>3.1405063344359268E-3</v>
      </c>
      <c r="AS77" s="13">
        <f t="shared" si="100"/>
        <v>3.1780581658888657E-4</v>
      </c>
      <c r="AT77" s="13">
        <f t="shared" si="101"/>
        <v>9.7322817392169183E-5</v>
      </c>
      <c r="AU77" s="14">
        <f t="shared" si="102"/>
        <v>7.1593858781746945E-5</v>
      </c>
    </row>
    <row r="78" spans="1:47" x14ac:dyDescent="0.35">
      <c r="A78" s="5">
        <v>7.4999999999999997E-2</v>
      </c>
      <c r="B78" s="5">
        <v>0.02</v>
      </c>
      <c r="C78" s="5">
        <f t="shared" si="70"/>
        <v>0.15</v>
      </c>
      <c r="D78" s="5">
        <v>9.81</v>
      </c>
      <c r="E78" s="5">
        <v>1000</v>
      </c>
      <c r="F78" s="5">
        <v>2650</v>
      </c>
      <c r="G78" s="5">
        <v>1.65</v>
      </c>
      <c r="H78" s="5">
        <v>9.9999999999999995E-7</v>
      </c>
      <c r="I78" s="12"/>
      <c r="J78" s="12"/>
      <c r="K78" s="12"/>
      <c r="L78" s="12">
        <f t="shared" si="103"/>
        <v>125.28778030778872</v>
      </c>
      <c r="M78" s="5">
        <f t="shared" si="71"/>
        <v>0.63857176507537572</v>
      </c>
      <c r="N78" s="5">
        <f t="shared" si="72"/>
        <v>5.1601758793969763E-2</v>
      </c>
      <c r="O78" s="12">
        <f t="shared" si="73"/>
        <v>0.10320351758793953</v>
      </c>
      <c r="P78" s="5">
        <f t="shared" si="74"/>
        <v>1897.1962050160116</v>
      </c>
      <c r="Q78" s="5">
        <v>4.7E-2</v>
      </c>
      <c r="R78" s="5">
        <f t="shared" si="75"/>
        <v>5.5131715547597548E-2</v>
      </c>
      <c r="S78" s="5">
        <f t="shared" si="76"/>
        <v>5.6000000000000001E-2</v>
      </c>
      <c r="T78" s="5">
        <f t="shared" si="77"/>
        <v>7.977443845417484E-2</v>
      </c>
      <c r="U78" s="5">
        <f t="shared" si="78"/>
        <v>8.7074722341604224E-2</v>
      </c>
      <c r="V78" s="5">
        <f t="shared" si="79"/>
        <v>0.87194460689037601</v>
      </c>
      <c r="W78" s="5">
        <f t="shared" si="80"/>
        <v>0.3895547355705582</v>
      </c>
      <c r="X78" s="5">
        <f t="shared" si="81"/>
        <v>0.34112748995075981</v>
      </c>
      <c r="Y78" s="5">
        <f t="shared" si="82"/>
        <v>6.5327023736982923</v>
      </c>
      <c r="Z78" s="12">
        <f t="shared" si="83"/>
        <v>4.5205550599332014</v>
      </c>
      <c r="AA78" s="12">
        <f t="shared" si="84"/>
        <v>2.3123162430718587</v>
      </c>
      <c r="AB78" s="12">
        <f t="shared" si="85"/>
        <v>5.8518612919311673E-2</v>
      </c>
      <c r="AC78" s="1">
        <f t="shared" si="86"/>
        <v>0.21658811544591239</v>
      </c>
      <c r="AD78" s="1">
        <f t="shared" si="87"/>
        <v>0.11992257066584733</v>
      </c>
      <c r="AE78" s="12">
        <f t="shared" si="88"/>
        <v>0.81642397642269393</v>
      </c>
      <c r="AF78" s="5">
        <f t="shared" si="89"/>
        <v>0.10659460710037688</v>
      </c>
      <c r="AG78" s="5">
        <f t="shared" si="90"/>
        <v>5.3297303550188441E-2</v>
      </c>
      <c r="AH78" s="5">
        <v>2.6020560000000002E-2</v>
      </c>
      <c r="AI78" s="5">
        <f t="shared" si="91"/>
        <v>2.5973803579945127E-2</v>
      </c>
      <c r="AJ78" s="5">
        <f t="shared" si="92"/>
        <v>3.9726605164203087E-2</v>
      </c>
      <c r="AK78" s="5">
        <v>4.0528990000000004E-3</v>
      </c>
      <c r="AL78" s="5">
        <f t="shared" si="93"/>
        <v>1.2616237440609603E-3</v>
      </c>
      <c r="AM78" s="5">
        <f t="shared" si="94"/>
        <v>9.2975659936773145E-4</v>
      </c>
      <c r="AN78" s="13">
        <f t="shared" si="95"/>
        <v>8.8085333718613771E-3</v>
      </c>
      <c r="AO78" s="13">
        <f t="shared" si="96"/>
        <v>4.4042666859306885E-3</v>
      </c>
      <c r="AP78" s="13">
        <f t="shared" si="97"/>
        <v>2.1502304605212144E-3</v>
      </c>
      <c r="AQ78" s="13">
        <f t="shared" si="98"/>
        <v>2.1463667051436625E-3</v>
      </c>
      <c r="AR78" s="13">
        <f t="shared" si="99"/>
        <v>3.2828408196122166E-3</v>
      </c>
      <c r="AS78" s="13">
        <f t="shared" si="100"/>
        <v>3.3491465530395852E-4</v>
      </c>
      <c r="AT78" s="13">
        <f t="shared" si="101"/>
        <v>1.0425531980083048E-4</v>
      </c>
      <c r="AU78" s="14">
        <f t="shared" si="102"/>
        <v>7.6831204279658683E-5</v>
      </c>
    </row>
    <row r="79" spans="1:47" x14ac:dyDescent="0.35">
      <c r="A79" s="5">
        <v>7.4999999999999997E-2</v>
      </c>
      <c r="B79" s="5">
        <v>0.02</v>
      </c>
      <c r="C79" s="5">
        <f t="shared" si="70"/>
        <v>0.15</v>
      </c>
      <c r="D79" s="5">
        <v>9.81</v>
      </c>
      <c r="E79" s="5">
        <v>1000</v>
      </c>
      <c r="F79" s="5">
        <v>2650</v>
      </c>
      <c r="G79" s="5">
        <v>1.65</v>
      </c>
      <c r="H79" s="5">
        <v>9.9999999999999995E-7</v>
      </c>
      <c r="I79" s="12"/>
      <c r="J79" s="12"/>
      <c r="K79" s="12"/>
      <c r="L79" s="12">
        <f t="shared" si="103"/>
        <v>126.73663473618068</v>
      </c>
      <c r="M79" s="5">
        <f t="shared" si="71"/>
        <v>0.64595634422110426</v>
      </c>
      <c r="N79" s="5">
        <f t="shared" si="72"/>
        <v>5.2198492462311466E-2</v>
      </c>
      <c r="O79" s="12">
        <f t="shared" si="73"/>
        <v>0.10439698492462293</v>
      </c>
      <c r="P79" s="5">
        <f t="shared" si="74"/>
        <v>1897.1962050160116</v>
      </c>
      <c r="Q79" s="5">
        <v>4.7E-2</v>
      </c>
      <c r="R79" s="5">
        <f t="shared" si="75"/>
        <v>5.5131715547597548E-2</v>
      </c>
      <c r="S79" s="5">
        <f t="shared" si="76"/>
        <v>5.6000000000000001E-2</v>
      </c>
      <c r="T79" s="5">
        <f t="shared" si="77"/>
        <v>7.977443845417484E-2</v>
      </c>
      <c r="U79" s="5">
        <f t="shared" si="78"/>
        <v>8.7074722341604224E-2</v>
      </c>
      <c r="V79" s="5">
        <f t="shared" si="79"/>
        <v>0.89359217081667963</v>
      </c>
      <c r="W79" s="5">
        <f t="shared" si="80"/>
        <v>0.3895547355705582</v>
      </c>
      <c r="X79" s="5">
        <f t="shared" si="81"/>
        <v>0.34112748995075981</v>
      </c>
      <c r="Y79" s="5">
        <f t="shared" si="82"/>
        <v>6.5687625189046894</v>
      </c>
      <c r="Z79" s="12">
        <f t="shared" si="83"/>
        <v>4.5205550599332014</v>
      </c>
      <c r="AA79" s="12">
        <f t="shared" si="84"/>
        <v>2.3384853126654801</v>
      </c>
      <c r="AB79" s="12">
        <f t="shared" si="85"/>
        <v>5.8518612919311673E-2</v>
      </c>
      <c r="AC79" s="1">
        <f t="shared" si="86"/>
        <v>0.22157231493763829</v>
      </c>
      <c r="AD79" s="1">
        <f t="shared" si="87"/>
        <v>0.12194561130811393</v>
      </c>
      <c r="AE79" s="12">
        <f t="shared" si="88"/>
        <v>0.81642397642269393</v>
      </c>
      <c r="AF79" s="5">
        <f t="shared" si="89"/>
        <v>0.11000783207496144</v>
      </c>
      <c r="AG79" s="5">
        <f t="shared" si="90"/>
        <v>5.500391603748072E-2</v>
      </c>
      <c r="AH79" s="5">
        <v>2.733259E-2</v>
      </c>
      <c r="AI79" s="5">
        <f t="shared" si="91"/>
        <v>2.7019771394024245E-2</v>
      </c>
      <c r="AJ79" s="5">
        <f t="shared" si="92"/>
        <v>4.1485035816400812E-2</v>
      </c>
      <c r="AK79" s="5">
        <v>4.2656309999999998E-3</v>
      </c>
      <c r="AL79" s="5">
        <f t="shared" si="93"/>
        <v>1.350058747044686E-3</v>
      </c>
      <c r="AM79" s="5">
        <f t="shared" si="94"/>
        <v>9.9675468916282759E-4</v>
      </c>
      <c r="AN79" s="13">
        <f t="shared" si="95"/>
        <v>9.0905880359025623E-3</v>
      </c>
      <c r="AO79" s="13">
        <f t="shared" si="96"/>
        <v>4.5452940179512812E-3</v>
      </c>
      <c r="AP79" s="13">
        <f t="shared" si="97"/>
        <v>2.2586511429015187E-3</v>
      </c>
      <c r="AQ79" s="13">
        <f t="shared" si="98"/>
        <v>2.2328011191054568E-3</v>
      </c>
      <c r="AR79" s="13">
        <f t="shared" si="99"/>
        <v>3.4281501884755204E-3</v>
      </c>
      <c r="AS79" s="13">
        <f t="shared" si="100"/>
        <v>3.5249393977468461E-4</v>
      </c>
      <c r="AT79" s="13">
        <f t="shared" si="101"/>
        <v>1.1156321929230535E-4</v>
      </c>
      <c r="AU79" s="14">
        <f t="shared" si="102"/>
        <v>8.2367646749542152E-5</v>
      </c>
    </row>
    <row r="80" spans="1:47" x14ac:dyDescent="0.35">
      <c r="A80" s="5">
        <v>7.4999999999999997E-2</v>
      </c>
      <c r="B80" s="5">
        <v>0.02</v>
      </c>
      <c r="C80" s="5">
        <f t="shared" si="70"/>
        <v>0.15</v>
      </c>
      <c r="D80" s="5">
        <v>9.81</v>
      </c>
      <c r="E80" s="5">
        <v>1000</v>
      </c>
      <c r="F80" s="5">
        <v>2650</v>
      </c>
      <c r="G80" s="5">
        <v>1.65</v>
      </c>
      <c r="H80" s="5">
        <v>9.9999999999999995E-7</v>
      </c>
      <c r="I80" s="12"/>
      <c r="J80" s="12"/>
      <c r="K80" s="12"/>
      <c r="L80" s="12">
        <f t="shared" si="103"/>
        <v>128.18548916457263</v>
      </c>
      <c r="M80" s="5">
        <f t="shared" si="71"/>
        <v>0.65334092336683292</v>
      </c>
      <c r="N80" s="5">
        <f t="shared" si="72"/>
        <v>5.2795226130653169E-2</v>
      </c>
      <c r="O80" s="12">
        <f t="shared" si="73"/>
        <v>0.10559045226130634</v>
      </c>
      <c r="P80" s="5">
        <f t="shared" si="74"/>
        <v>1897.1962050160116</v>
      </c>
      <c r="Q80" s="5">
        <v>4.7E-2</v>
      </c>
      <c r="R80" s="5">
        <f t="shared" si="75"/>
        <v>5.5131715547597548E-2</v>
      </c>
      <c r="S80" s="5">
        <f t="shared" si="76"/>
        <v>5.6000000000000001E-2</v>
      </c>
      <c r="T80" s="5">
        <f t="shared" si="77"/>
        <v>7.977443845417484E-2</v>
      </c>
      <c r="U80" s="5">
        <f t="shared" si="78"/>
        <v>8.7074722341604224E-2</v>
      </c>
      <c r="V80" s="5">
        <f t="shared" si="79"/>
        <v>0.91523973474298326</v>
      </c>
      <c r="W80" s="5">
        <f t="shared" si="80"/>
        <v>0.3895547355705582</v>
      </c>
      <c r="X80" s="5">
        <f t="shared" si="81"/>
        <v>0.34112748995075981</v>
      </c>
      <c r="Y80" s="5">
        <f t="shared" si="82"/>
        <v>6.6043298528211132</v>
      </c>
      <c r="Z80" s="12">
        <f t="shared" si="83"/>
        <v>4.5205550599332014</v>
      </c>
      <c r="AA80" s="12">
        <f t="shared" si="84"/>
        <v>2.3645482934309472</v>
      </c>
      <c r="AB80" s="12">
        <f t="shared" si="85"/>
        <v>5.8518612919311673E-2</v>
      </c>
      <c r="AC80" s="1">
        <f t="shared" si="86"/>
        <v>0.2266030395519214</v>
      </c>
      <c r="AD80" s="1">
        <f t="shared" si="87"/>
        <v>0.12394865331308018</v>
      </c>
      <c r="AE80" s="12">
        <f t="shared" si="88"/>
        <v>0.81642397642269393</v>
      </c>
      <c r="AF80" s="5">
        <f t="shared" si="89"/>
        <v>0.11345673004042198</v>
      </c>
      <c r="AG80" s="5">
        <f t="shared" si="90"/>
        <v>5.6728365020210988E-2</v>
      </c>
      <c r="AH80" s="5">
        <v>2.8677480000000002E-2</v>
      </c>
      <c r="AI80" s="5">
        <f t="shared" si="91"/>
        <v>2.8087141589111301E-2</v>
      </c>
      <c r="AJ80" s="5">
        <f t="shared" si="92"/>
        <v>4.3278905902681991E-2</v>
      </c>
      <c r="AK80" s="5">
        <v>4.4840699999999997E-3</v>
      </c>
      <c r="AL80" s="5">
        <f t="shared" si="93"/>
        <v>1.4431876884364086E-3</v>
      </c>
      <c r="AM80" s="5">
        <f t="shared" si="94"/>
        <v>1.0675109440888685E-3</v>
      </c>
      <c r="AN80" s="13">
        <f t="shared" si="95"/>
        <v>9.3755905669996205E-3</v>
      </c>
      <c r="AO80" s="13">
        <f t="shared" si="96"/>
        <v>4.6877952834998102E-3</v>
      </c>
      <c r="AP80" s="13">
        <f t="shared" si="97"/>
        <v>2.3697872385140028E-3</v>
      </c>
      <c r="AQ80" s="13">
        <f t="shared" si="98"/>
        <v>2.3210041364935784E-3</v>
      </c>
      <c r="AR80" s="13">
        <f t="shared" si="99"/>
        <v>3.5763881242363042E-3</v>
      </c>
      <c r="AS80" s="13">
        <f t="shared" si="100"/>
        <v>3.7054482690262476E-4</v>
      </c>
      <c r="AT80" s="13">
        <f t="shared" si="101"/>
        <v>1.1925900625986397E-4</v>
      </c>
      <c r="AU80" s="14">
        <f t="shared" si="102"/>
        <v>8.8214648298101352E-5</v>
      </c>
    </row>
    <row r="81" spans="1:47" x14ac:dyDescent="0.35">
      <c r="A81" s="5">
        <v>7.4999999999999997E-2</v>
      </c>
      <c r="B81" s="5">
        <v>0.02</v>
      </c>
      <c r="C81" s="5">
        <f t="shared" si="70"/>
        <v>0.15</v>
      </c>
      <c r="D81" s="5">
        <v>9.81</v>
      </c>
      <c r="E81" s="5">
        <v>1000</v>
      </c>
      <c r="F81" s="5">
        <v>2650</v>
      </c>
      <c r="G81" s="5">
        <v>1.65</v>
      </c>
      <c r="H81" s="5">
        <v>9.9999999999999995E-7</v>
      </c>
      <c r="I81" s="12"/>
      <c r="J81" s="12"/>
      <c r="K81" s="12"/>
      <c r="L81" s="12">
        <f t="shared" si="103"/>
        <v>129.6343435929646</v>
      </c>
      <c r="M81" s="5">
        <f t="shared" si="71"/>
        <v>0.66072550251256157</v>
      </c>
      <c r="N81" s="5">
        <f t="shared" si="72"/>
        <v>5.3391959798994887E-2</v>
      </c>
      <c r="O81" s="12">
        <f t="shared" si="73"/>
        <v>0.10678391959798977</v>
      </c>
      <c r="P81" s="5">
        <f t="shared" si="74"/>
        <v>1897.1962050160116</v>
      </c>
      <c r="Q81" s="5">
        <v>4.7E-2</v>
      </c>
      <c r="R81" s="5">
        <f t="shared" si="75"/>
        <v>5.5131715547597548E-2</v>
      </c>
      <c r="S81" s="5">
        <f t="shared" si="76"/>
        <v>5.6000000000000001E-2</v>
      </c>
      <c r="T81" s="5">
        <f t="shared" si="77"/>
        <v>7.977443845417484E-2</v>
      </c>
      <c r="U81" s="5">
        <f t="shared" si="78"/>
        <v>8.7074722341604224E-2</v>
      </c>
      <c r="V81" s="5">
        <f t="shared" si="79"/>
        <v>0.93688729866928755</v>
      </c>
      <c r="W81" s="5">
        <f t="shared" si="80"/>
        <v>0.3895547355705582</v>
      </c>
      <c r="X81" s="5">
        <f t="shared" si="81"/>
        <v>0.34112748995075981</v>
      </c>
      <c r="Y81" s="5">
        <f t="shared" si="82"/>
        <v>6.6394143442515965</v>
      </c>
      <c r="Z81" s="12">
        <f t="shared" si="83"/>
        <v>4.5205550599332014</v>
      </c>
      <c r="AA81" s="12">
        <f t="shared" si="84"/>
        <v>2.3905058392632532</v>
      </c>
      <c r="AB81" s="12">
        <f t="shared" si="85"/>
        <v>5.8518612919311673E-2</v>
      </c>
      <c r="AC81" s="1">
        <f t="shared" si="86"/>
        <v>0.23168000792001475</v>
      </c>
      <c r="AD81" s="1">
        <f t="shared" si="87"/>
        <v>0.12593174398458357</v>
      </c>
      <c r="AE81" s="12">
        <f t="shared" si="88"/>
        <v>0.81642397642269393</v>
      </c>
      <c r="AF81" s="5">
        <f t="shared" si="89"/>
        <v>0.11694093576572666</v>
      </c>
      <c r="AG81" s="5">
        <f t="shared" si="90"/>
        <v>5.8470467882863329E-2</v>
      </c>
      <c r="AH81" s="5">
        <v>3.005524E-2</v>
      </c>
      <c r="AI81" s="5">
        <f t="shared" si="91"/>
        <v>2.9175867443729592E-2</v>
      </c>
      <c r="AJ81" s="5">
        <f t="shared" si="92"/>
        <v>4.5107641753858688E-2</v>
      </c>
      <c r="AK81" s="5">
        <v>4.7082299999999999E-3</v>
      </c>
      <c r="AL81" s="5">
        <f t="shared" si="93"/>
        <v>1.5411614756633792E-3</v>
      </c>
      <c r="AM81" s="5">
        <f t="shared" si="94"/>
        <v>1.1421655166812465E-3</v>
      </c>
      <c r="AN81" s="13">
        <f t="shared" si="95"/>
        <v>9.6635107839846707E-3</v>
      </c>
      <c r="AO81" s="13">
        <f t="shared" si="96"/>
        <v>4.8317553919923354E-3</v>
      </c>
      <c r="AP81" s="13">
        <f t="shared" si="97"/>
        <v>2.4836395737169231E-3</v>
      </c>
      <c r="AQ81" s="13">
        <f t="shared" si="98"/>
        <v>2.410971896440222E-3</v>
      </c>
      <c r="AR81" s="13">
        <f t="shared" si="99"/>
        <v>3.7275072212675487E-3</v>
      </c>
      <c r="AS81" s="13">
        <f t="shared" si="100"/>
        <v>3.8906847358933849E-4</v>
      </c>
      <c r="AT81" s="13">
        <f t="shared" si="101"/>
        <v>1.2735515106335998E-4</v>
      </c>
      <c r="AU81" s="14">
        <f t="shared" si="102"/>
        <v>9.4383790545820979E-5</v>
      </c>
    </row>
    <row r="82" spans="1:47" x14ac:dyDescent="0.35">
      <c r="A82" s="5">
        <v>7.4999999999999997E-2</v>
      </c>
      <c r="B82" s="5">
        <v>0.02</v>
      </c>
      <c r="C82" s="5">
        <f t="shared" si="70"/>
        <v>0.15</v>
      </c>
      <c r="D82" s="5">
        <v>9.81</v>
      </c>
      <c r="E82" s="5">
        <v>1000</v>
      </c>
      <c r="F82" s="5">
        <v>2650</v>
      </c>
      <c r="G82" s="5">
        <v>1.65</v>
      </c>
      <c r="H82" s="5">
        <v>9.9999999999999995E-7</v>
      </c>
      <c r="I82" s="12"/>
      <c r="J82" s="12"/>
      <c r="K82" s="12"/>
      <c r="L82" s="12">
        <f t="shared" si="103"/>
        <v>131.08319802135657</v>
      </c>
      <c r="M82" s="5">
        <f t="shared" si="71"/>
        <v>0.66811008165829033</v>
      </c>
      <c r="N82" s="5">
        <f t="shared" si="72"/>
        <v>5.3988693467336597E-2</v>
      </c>
      <c r="O82" s="12">
        <f t="shared" si="73"/>
        <v>0.10797738693467319</v>
      </c>
      <c r="P82" s="5">
        <f t="shared" si="74"/>
        <v>1897.1962050160116</v>
      </c>
      <c r="Q82" s="5">
        <v>4.7E-2</v>
      </c>
      <c r="R82" s="5">
        <f t="shared" si="75"/>
        <v>5.5131715547597548E-2</v>
      </c>
      <c r="S82" s="5">
        <f t="shared" si="76"/>
        <v>5.6000000000000001E-2</v>
      </c>
      <c r="T82" s="5">
        <f t="shared" si="77"/>
        <v>7.977443845417484E-2</v>
      </c>
      <c r="U82" s="5">
        <f t="shared" si="78"/>
        <v>8.7074722341604224E-2</v>
      </c>
      <c r="V82" s="5">
        <f t="shared" si="79"/>
        <v>0.9585348625955914</v>
      </c>
      <c r="W82" s="5">
        <f t="shared" si="80"/>
        <v>0.3895547355705582</v>
      </c>
      <c r="X82" s="5">
        <f t="shared" si="81"/>
        <v>0.34112748995075981</v>
      </c>
      <c r="Y82" s="5">
        <f t="shared" si="82"/>
        <v>6.6740257341281461</v>
      </c>
      <c r="Z82" s="12">
        <f t="shared" si="83"/>
        <v>4.5205550599332014</v>
      </c>
      <c r="AA82" s="12">
        <f t="shared" si="84"/>
        <v>2.4163586265872956</v>
      </c>
      <c r="AB82" s="12">
        <f t="shared" si="85"/>
        <v>5.8518612919311673E-2</v>
      </c>
      <c r="AC82" s="1">
        <f t="shared" si="86"/>
        <v>0.23680294371426203</v>
      </c>
      <c r="AD82" s="1">
        <f t="shared" si="87"/>
        <v>0.12789494847217364</v>
      </c>
      <c r="AE82" s="12">
        <f t="shared" si="88"/>
        <v>0.81642397642269393</v>
      </c>
      <c r="AF82" s="5">
        <f t="shared" si="89"/>
        <v>0.12046009501371009</v>
      </c>
      <c r="AG82" s="5">
        <f t="shared" si="90"/>
        <v>6.0230047506855046E-2</v>
      </c>
      <c r="AH82" s="5">
        <v>3.1465849999999997E-2</v>
      </c>
      <c r="AI82" s="5">
        <f t="shared" si="91"/>
        <v>3.0285900284394578E-2</v>
      </c>
      <c r="AJ82" s="5">
        <f t="shared" si="92"/>
        <v>4.6970658017525112E-2</v>
      </c>
      <c r="AK82" s="5">
        <v>4.9381240000000003E-3</v>
      </c>
      <c r="AL82" s="5">
        <f t="shared" si="93"/>
        <v>1.644130496045936E-3</v>
      </c>
      <c r="AM82" s="5">
        <f t="shared" si="94"/>
        <v>1.2208598178734811E-3</v>
      </c>
      <c r="AN82" s="13">
        <f t="shared" si="95"/>
        <v>9.9543194141770621E-3</v>
      </c>
      <c r="AO82" s="13">
        <f t="shared" si="96"/>
        <v>4.9771597070885311E-3</v>
      </c>
      <c r="AP82" s="13">
        <f t="shared" si="97"/>
        <v>2.6002064957937666E-3</v>
      </c>
      <c r="AQ82" s="13">
        <f t="shared" si="98"/>
        <v>2.5027003767718039E-3</v>
      </c>
      <c r="AR82" s="13">
        <f t="shared" si="99"/>
        <v>3.8814591084898823E-3</v>
      </c>
      <c r="AS82" s="13">
        <f t="shared" si="100"/>
        <v>4.0806595410055978E-4</v>
      </c>
      <c r="AT82" s="13">
        <f t="shared" si="101"/>
        <v>1.3586408108318289E-4</v>
      </c>
      <c r="AU82" s="14">
        <f t="shared" si="102"/>
        <v>1.0088675910195403E-4</v>
      </c>
    </row>
    <row r="83" spans="1:47" x14ac:dyDescent="0.35">
      <c r="A83" s="5">
        <v>7.4999999999999997E-2</v>
      </c>
      <c r="B83" s="5">
        <v>0.02</v>
      </c>
      <c r="C83" s="5">
        <f t="shared" si="70"/>
        <v>0.15</v>
      </c>
      <c r="D83" s="5">
        <v>9.81</v>
      </c>
      <c r="E83" s="5">
        <v>1000</v>
      </c>
      <c r="F83" s="5">
        <v>2650</v>
      </c>
      <c r="G83" s="5">
        <v>1.65</v>
      </c>
      <c r="H83" s="5">
        <v>9.9999999999999995E-7</v>
      </c>
      <c r="I83" s="12"/>
      <c r="J83" s="12"/>
      <c r="K83" s="12"/>
      <c r="L83" s="12">
        <f t="shared" si="103"/>
        <v>132.53205244974853</v>
      </c>
      <c r="M83" s="5">
        <f t="shared" si="71"/>
        <v>0.67549466080401899</v>
      </c>
      <c r="N83" s="5">
        <f t="shared" si="72"/>
        <v>5.4585427135678308E-2</v>
      </c>
      <c r="O83" s="12">
        <f t="shared" si="73"/>
        <v>0.10917085427135662</v>
      </c>
      <c r="P83" s="5">
        <f t="shared" si="74"/>
        <v>1897.1962050160116</v>
      </c>
      <c r="Q83" s="5">
        <v>4.7E-2</v>
      </c>
      <c r="R83" s="5">
        <f t="shared" si="75"/>
        <v>5.5131715547597548E-2</v>
      </c>
      <c r="S83" s="5">
        <f t="shared" si="76"/>
        <v>5.6000000000000001E-2</v>
      </c>
      <c r="T83" s="5">
        <f t="shared" si="77"/>
        <v>7.977443845417484E-2</v>
      </c>
      <c r="U83" s="5">
        <f t="shared" si="78"/>
        <v>8.7074722341604224E-2</v>
      </c>
      <c r="V83" s="5">
        <f t="shared" si="79"/>
        <v>0.98018242652189524</v>
      </c>
      <c r="W83" s="5">
        <f t="shared" si="80"/>
        <v>0.3895547355705582</v>
      </c>
      <c r="X83" s="5">
        <f t="shared" si="81"/>
        <v>0.34112748995075981</v>
      </c>
      <c r="Y83" s="5">
        <f t="shared" si="82"/>
        <v>6.7081735401751947</v>
      </c>
      <c r="Z83" s="12">
        <f t="shared" si="83"/>
        <v>4.5205550599332014</v>
      </c>
      <c r="AA83" s="12">
        <f t="shared" si="84"/>
        <v>2.4421073521951828</v>
      </c>
      <c r="AB83" s="12">
        <f t="shared" si="85"/>
        <v>5.8518612919311673E-2</v>
      </c>
      <c r="AC83" s="1">
        <f t="shared" si="86"/>
        <v>0.24197157555583221</v>
      </c>
      <c r="AD83" s="1">
        <f t="shared" si="87"/>
        <v>0.12983834810288236</v>
      </c>
      <c r="AE83" s="12">
        <f t="shared" si="88"/>
        <v>0.81642397642269393</v>
      </c>
      <c r="AF83" s="5">
        <f t="shared" si="89"/>
        <v>0.12401386400033364</v>
      </c>
      <c r="AG83" s="5">
        <f t="shared" si="90"/>
        <v>6.2006932000166819E-2</v>
      </c>
      <c r="AH83" s="5">
        <v>3.2909290000000001E-2</v>
      </c>
      <c r="AI83" s="5">
        <f t="shared" si="91"/>
        <v>3.1417189658021046E-2</v>
      </c>
      <c r="AJ83" s="5">
        <f t="shared" si="92"/>
        <v>4.8867359077441816E-2</v>
      </c>
      <c r="AK83" s="5">
        <v>5.1737650000000003E-3</v>
      </c>
      <c r="AL83" s="5">
        <f t="shared" si="93"/>
        <v>1.7522443381717523E-3</v>
      </c>
      <c r="AM83" s="5">
        <f t="shared" si="94"/>
        <v>1.3037363222256678E-3</v>
      </c>
      <c r="AN83" s="13">
        <f t="shared" si="95"/>
        <v>1.02479880486989E-2</v>
      </c>
      <c r="AO83" s="13">
        <f t="shared" si="96"/>
        <v>5.1239940243494502E-3</v>
      </c>
      <c r="AP83" s="13">
        <f t="shared" si="97"/>
        <v>2.7194863520280193E-3</v>
      </c>
      <c r="AQ83" s="13">
        <f t="shared" si="98"/>
        <v>2.5961854082559685E-3</v>
      </c>
      <c r="AR83" s="13">
        <f t="shared" si="99"/>
        <v>4.0381945666635635E-3</v>
      </c>
      <c r="AS83" s="13">
        <f t="shared" si="100"/>
        <v>4.2753834270202261E-4</v>
      </c>
      <c r="AT83" s="13">
        <f t="shared" si="101"/>
        <v>1.4479815769578893E-4</v>
      </c>
      <c r="AU83" s="14">
        <f t="shared" si="102"/>
        <v>1.0773532746941389E-4</v>
      </c>
    </row>
    <row r="84" spans="1:47" x14ac:dyDescent="0.35">
      <c r="A84" s="5">
        <v>7.4999999999999997E-2</v>
      </c>
      <c r="B84" s="5">
        <v>0.02</v>
      </c>
      <c r="C84" s="5">
        <f t="shared" si="70"/>
        <v>0.15</v>
      </c>
      <c r="D84" s="5">
        <v>9.81</v>
      </c>
      <c r="E84" s="5">
        <v>1000</v>
      </c>
      <c r="F84" s="5">
        <v>2650</v>
      </c>
      <c r="G84" s="5">
        <v>1.65</v>
      </c>
      <c r="H84" s="5">
        <v>9.9999999999999995E-7</v>
      </c>
      <c r="I84" s="12"/>
      <c r="J84" s="12"/>
      <c r="K84" s="12"/>
      <c r="L84" s="12">
        <f t="shared" si="103"/>
        <v>133.9809068781405</v>
      </c>
      <c r="M84" s="5">
        <f t="shared" si="71"/>
        <v>0.68287923994974764</v>
      </c>
      <c r="N84" s="5">
        <f t="shared" si="72"/>
        <v>5.5182160804020018E-2</v>
      </c>
      <c r="O84" s="12">
        <f t="shared" si="73"/>
        <v>0.11036432160804004</v>
      </c>
      <c r="P84" s="5">
        <f t="shared" si="74"/>
        <v>1897.1962050160116</v>
      </c>
      <c r="Q84" s="5">
        <v>4.7E-2</v>
      </c>
      <c r="R84" s="5">
        <f t="shared" si="75"/>
        <v>5.5131715547597548E-2</v>
      </c>
      <c r="S84" s="5">
        <f t="shared" si="76"/>
        <v>5.6000000000000001E-2</v>
      </c>
      <c r="T84" s="5">
        <f t="shared" si="77"/>
        <v>7.977443845417484E-2</v>
      </c>
      <c r="U84" s="5">
        <f t="shared" si="78"/>
        <v>8.7074722341604224E-2</v>
      </c>
      <c r="V84" s="5">
        <f t="shared" si="79"/>
        <v>1.0018299904481993</v>
      </c>
      <c r="W84" s="5">
        <f t="shared" si="80"/>
        <v>0.3895547355705582</v>
      </c>
      <c r="X84" s="5">
        <f t="shared" si="81"/>
        <v>0.34112748995075981</v>
      </c>
      <c r="Y84" s="5">
        <f t="shared" si="82"/>
        <v>6.7418670615629326</v>
      </c>
      <c r="Z84" s="12">
        <f t="shared" si="83"/>
        <v>4.5205550599332014</v>
      </c>
      <c r="AA84" s="12">
        <f t="shared" si="84"/>
        <v>2.4677527312214336</v>
      </c>
      <c r="AB84" s="12">
        <f t="shared" si="85"/>
        <v>5.8518612919311673E-2</v>
      </c>
      <c r="AC84" s="1">
        <f t="shared" si="86"/>
        <v>0.24718563692220977</v>
      </c>
      <c r="AD84" s="1">
        <f t="shared" si="87"/>
        <v>0.13176203884074766</v>
      </c>
      <c r="AE84" s="12">
        <f t="shared" si="88"/>
        <v>0.81642397642269393</v>
      </c>
      <c r="AF84" s="5">
        <f t="shared" si="89"/>
        <v>0.1276019088904656</v>
      </c>
      <c r="AG84" s="5">
        <f t="shared" si="90"/>
        <v>6.3800954445232802E-2</v>
      </c>
      <c r="AH84" s="5">
        <v>3.4385560000000003E-2</v>
      </c>
      <c r="AI84" s="5">
        <f t="shared" si="91"/>
        <v>3.2569683493019155E-2</v>
      </c>
      <c r="AJ84" s="5">
        <f t="shared" si="92"/>
        <v>5.0797140400628028E-2</v>
      </c>
      <c r="AK84" s="5">
        <v>5.4151659999999999E-3</v>
      </c>
      <c r="AL84" s="5">
        <f t="shared" si="93"/>
        <v>1.8656515136238686E-3</v>
      </c>
      <c r="AM84" s="5">
        <f t="shared" si="94"/>
        <v>1.3909383668865981E-3</v>
      </c>
      <c r="AN84" s="13">
        <f t="shared" si="95"/>
        <v>1.0544489100808433E-2</v>
      </c>
      <c r="AO84" s="13">
        <f t="shared" si="96"/>
        <v>5.2722445504042167E-3</v>
      </c>
      <c r="AP84" s="13">
        <f t="shared" si="97"/>
        <v>2.8414791424196811E-3</v>
      </c>
      <c r="AQ84" s="13">
        <f t="shared" si="98"/>
        <v>2.6914226879138949E-3</v>
      </c>
      <c r="AR84" s="13">
        <f t="shared" si="99"/>
        <v>4.1976636397065697E-3</v>
      </c>
      <c r="AS84" s="13">
        <f t="shared" si="100"/>
        <v>4.4748671365946093E-4</v>
      </c>
      <c r="AT84" s="13">
        <f t="shared" si="101"/>
        <v>1.5416965327846716E-4</v>
      </c>
      <c r="AU84" s="14">
        <f t="shared" si="102"/>
        <v>1.1494134043184296E-4</v>
      </c>
    </row>
    <row r="85" spans="1:47" x14ac:dyDescent="0.35">
      <c r="A85" s="5">
        <v>7.4999999999999997E-2</v>
      </c>
      <c r="B85" s="5">
        <v>0.02</v>
      </c>
      <c r="C85" s="5">
        <f t="shared" si="70"/>
        <v>0.15</v>
      </c>
      <c r="D85" s="5">
        <v>9.81</v>
      </c>
      <c r="E85" s="5">
        <v>1000</v>
      </c>
      <c r="F85" s="5">
        <v>2650</v>
      </c>
      <c r="G85" s="5">
        <v>1.65</v>
      </c>
      <c r="H85" s="5">
        <v>9.9999999999999995E-7</v>
      </c>
      <c r="I85" s="12"/>
      <c r="J85" s="12"/>
      <c r="K85" s="12"/>
      <c r="L85" s="12">
        <f t="shared" si="103"/>
        <v>135.42976130653247</v>
      </c>
      <c r="M85" s="5">
        <f t="shared" si="71"/>
        <v>0.69026381909547629</v>
      </c>
      <c r="N85" s="5">
        <f t="shared" si="72"/>
        <v>5.5778894472361729E-2</v>
      </c>
      <c r="O85" s="12">
        <f t="shared" si="73"/>
        <v>0.11155778894472346</v>
      </c>
      <c r="P85" s="5">
        <f t="shared" si="74"/>
        <v>1897.1962050160116</v>
      </c>
      <c r="Q85" s="5">
        <v>4.7E-2</v>
      </c>
      <c r="R85" s="5">
        <f t="shared" si="75"/>
        <v>5.5131715547597548E-2</v>
      </c>
      <c r="S85" s="5">
        <f t="shared" si="76"/>
        <v>5.6000000000000001E-2</v>
      </c>
      <c r="T85" s="5">
        <f t="shared" si="77"/>
        <v>7.977443845417484E-2</v>
      </c>
      <c r="U85" s="5">
        <f t="shared" si="78"/>
        <v>8.7074722341604224E-2</v>
      </c>
      <c r="V85" s="5">
        <f t="shared" si="79"/>
        <v>1.0234775543745029</v>
      </c>
      <c r="W85" s="5">
        <f t="shared" si="80"/>
        <v>0.3895547355705582</v>
      </c>
      <c r="X85" s="5">
        <f t="shared" si="81"/>
        <v>0.34112748995075981</v>
      </c>
      <c r="Y85" s="5">
        <f t="shared" si="82"/>
        <v>6.7751153835403883</v>
      </c>
      <c r="Z85" s="12">
        <f t="shared" si="83"/>
        <v>4.5205550599332014</v>
      </c>
      <c r="AA85" s="12">
        <f t="shared" si="84"/>
        <v>2.4932954952479962</v>
      </c>
      <c r="AB85" s="12">
        <f t="shared" si="85"/>
        <v>5.8518612919311673E-2</v>
      </c>
      <c r="AC85" s="1">
        <f t="shared" si="86"/>
        <v>0.25244486605467054</v>
      </c>
      <c r="AD85" s="1">
        <f t="shared" si="87"/>
        <v>0.13366612986484147</v>
      </c>
      <c r="AE85" s="12">
        <f t="shared" si="88"/>
        <v>0.81642397642269393</v>
      </c>
      <c r="AF85" s="5">
        <f t="shared" si="89"/>
        <v>0.13122390532706932</v>
      </c>
      <c r="AG85" s="5">
        <f t="shared" si="90"/>
        <v>6.5611952663534659E-2</v>
      </c>
      <c r="AH85" s="5">
        <v>3.5894639999999998E-2</v>
      </c>
      <c r="AI85" s="5">
        <f t="shared" si="91"/>
        <v>3.3743328249776106E-2</v>
      </c>
      <c r="AJ85" s="5">
        <f t="shared" si="92"/>
        <v>5.2759389813807157E-2</v>
      </c>
      <c r="AK85" s="5">
        <v>5.6623389999999997E-3</v>
      </c>
      <c r="AL85" s="5">
        <f t="shared" si="93"/>
        <v>1.9844991803751508E-3</v>
      </c>
      <c r="AM85" s="5">
        <f t="shared" si="94"/>
        <v>1.4826099449679819E-3</v>
      </c>
      <c r="AN85" s="13">
        <f t="shared" si="95"/>
        <v>1.0843795766994119E-2</v>
      </c>
      <c r="AO85" s="13">
        <f t="shared" si="96"/>
        <v>5.4218978834970595E-3</v>
      </c>
      <c r="AP85" s="13">
        <f t="shared" si="97"/>
        <v>2.9661832142522373E-3</v>
      </c>
      <c r="AQ85" s="13">
        <f t="shared" si="98"/>
        <v>2.7884077914554712E-3</v>
      </c>
      <c r="AR85" s="13">
        <f t="shared" si="99"/>
        <v>4.3598157401747249E-3</v>
      </c>
      <c r="AS85" s="13">
        <f t="shared" si="100"/>
        <v>4.6791205860278301E-4</v>
      </c>
      <c r="AT85" s="13">
        <f t="shared" si="101"/>
        <v>1.639907283518123E-4</v>
      </c>
      <c r="AU85" s="14">
        <f t="shared" si="102"/>
        <v>1.2251669697892114E-4</v>
      </c>
    </row>
    <row r="86" spans="1:47" x14ac:dyDescent="0.35">
      <c r="A86" s="5">
        <v>7.4999999999999997E-2</v>
      </c>
      <c r="B86" s="5">
        <v>0.02</v>
      </c>
      <c r="C86" s="5">
        <f t="shared" si="70"/>
        <v>0.15</v>
      </c>
      <c r="D86" s="5">
        <v>9.81</v>
      </c>
      <c r="E86" s="5">
        <v>1000</v>
      </c>
      <c r="F86" s="5">
        <v>2650</v>
      </c>
      <c r="G86" s="5">
        <v>1.65</v>
      </c>
      <c r="H86" s="5">
        <v>9.9999999999999995E-7</v>
      </c>
      <c r="I86" s="12"/>
      <c r="J86" s="12"/>
      <c r="K86" s="12"/>
      <c r="L86" s="12">
        <f t="shared" si="103"/>
        <v>136.87861573492444</v>
      </c>
      <c r="M86" s="5">
        <f t="shared" si="71"/>
        <v>0.69764839824120506</v>
      </c>
      <c r="N86" s="5">
        <f t="shared" si="72"/>
        <v>5.6375628140703446E-2</v>
      </c>
      <c r="O86" s="12">
        <f t="shared" si="73"/>
        <v>0.11275125628140689</v>
      </c>
      <c r="P86" s="5">
        <f t="shared" si="74"/>
        <v>1897.1962050160116</v>
      </c>
      <c r="Q86" s="5">
        <v>4.7E-2</v>
      </c>
      <c r="R86" s="5">
        <f t="shared" si="75"/>
        <v>5.5131715547597548E-2</v>
      </c>
      <c r="S86" s="5">
        <f t="shared" si="76"/>
        <v>5.6000000000000001E-2</v>
      </c>
      <c r="T86" s="5">
        <f t="shared" si="77"/>
        <v>7.977443845417484E-2</v>
      </c>
      <c r="U86" s="5">
        <f t="shared" si="78"/>
        <v>8.7074722341604224E-2</v>
      </c>
      <c r="V86" s="5">
        <f t="shared" si="79"/>
        <v>1.0451251183008075</v>
      </c>
      <c r="W86" s="5">
        <f t="shared" si="80"/>
        <v>0.3895547355705582</v>
      </c>
      <c r="X86" s="5">
        <f t="shared" si="81"/>
        <v>0.34112748995075981</v>
      </c>
      <c r="Y86" s="5">
        <f t="shared" si="82"/>
        <v>6.8079273820401749</v>
      </c>
      <c r="Z86" s="12">
        <f t="shared" si="83"/>
        <v>4.5205550599332014</v>
      </c>
      <c r="AA86" s="12">
        <f t="shared" si="84"/>
        <v>2.5187363905314548</v>
      </c>
      <c r="AB86" s="12">
        <f t="shared" si="85"/>
        <v>5.8518612919311673E-2</v>
      </c>
      <c r="AC86" s="1">
        <f t="shared" si="86"/>
        <v>0.25774900586594518</v>
      </c>
      <c r="AD86" s="1">
        <f t="shared" si="87"/>
        <v>0.13555074225718469</v>
      </c>
      <c r="AE86" s="12">
        <f t="shared" si="88"/>
        <v>0.81642397642269393</v>
      </c>
      <c r="AF86" s="5">
        <f t="shared" si="89"/>
        <v>0.1348795379910068</v>
      </c>
      <c r="AG86" s="5">
        <f t="shared" si="90"/>
        <v>6.7439768995503399E-2</v>
      </c>
      <c r="AH86" s="5">
        <v>3.7436499999999998E-2</v>
      </c>
      <c r="AI86" s="5">
        <f t="shared" si="91"/>
        <v>3.493806906118032E-2</v>
      </c>
      <c r="AJ86" s="5">
        <f t="shared" si="92"/>
        <v>5.4753488711013827E-2</v>
      </c>
      <c r="AK86" s="5">
        <v>5.9152969999999999E-3</v>
      </c>
      <c r="AL86" s="5">
        <f t="shared" si="93"/>
        <v>2.1089328691610469E-3</v>
      </c>
      <c r="AM86" s="5">
        <f t="shared" si="94"/>
        <v>1.5788954940514099E-3</v>
      </c>
      <c r="AN86" s="13">
        <f t="shared" si="95"/>
        <v>1.1145881990598634E-2</v>
      </c>
      <c r="AO86" s="13">
        <f t="shared" si="96"/>
        <v>5.5729409952993171E-3</v>
      </c>
      <c r="AP86" s="13">
        <f t="shared" si="97"/>
        <v>3.0935960884509186E-3</v>
      </c>
      <c r="AQ86" s="13">
        <f t="shared" si="98"/>
        <v>2.88713618489163E-3</v>
      </c>
      <c r="AR86" s="13">
        <f t="shared" si="99"/>
        <v>4.5245997490533018E-3</v>
      </c>
      <c r="AS86" s="13">
        <f t="shared" si="100"/>
        <v>4.8881545179772291E-4</v>
      </c>
      <c r="AT86" s="13">
        <f t="shared" si="101"/>
        <v>1.7427340896831135E-4</v>
      </c>
      <c r="AU86" s="14">
        <f t="shared" si="102"/>
        <v>1.3047333282946384E-4</v>
      </c>
    </row>
    <row r="87" spans="1:47" x14ac:dyDescent="0.35">
      <c r="A87" s="5">
        <v>7.4999999999999997E-2</v>
      </c>
      <c r="B87" s="5">
        <v>0.02</v>
      </c>
      <c r="C87" s="5">
        <f t="shared" si="70"/>
        <v>0.15</v>
      </c>
      <c r="D87" s="5">
        <v>9.81</v>
      </c>
      <c r="E87" s="5">
        <v>1000</v>
      </c>
      <c r="F87" s="5">
        <v>2650</v>
      </c>
      <c r="G87" s="5">
        <v>1.65</v>
      </c>
      <c r="H87" s="5">
        <v>9.9999999999999995E-7</v>
      </c>
      <c r="I87" s="12"/>
      <c r="J87" s="12"/>
      <c r="K87" s="12"/>
      <c r="L87" s="12">
        <f t="shared" si="103"/>
        <v>138.32747016331641</v>
      </c>
      <c r="M87" s="5">
        <f t="shared" si="71"/>
        <v>0.70503297738693371</v>
      </c>
      <c r="N87" s="5">
        <f t="shared" si="72"/>
        <v>5.6972361809045156E-2</v>
      </c>
      <c r="O87" s="12">
        <f t="shared" si="73"/>
        <v>0.11394472361809031</v>
      </c>
      <c r="P87" s="5">
        <f t="shared" si="74"/>
        <v>1897.1962050160116</v>
      </c>
      <c r="Q87" s="5">
        <v>4.7E-2</v>
      </c>
      <c r="R87" s="5">
        <f t="shared" si="75"/>
        <v>5.5131715547597548E-2</v>
      </c>
      <c r="S87" s="5">
        <f t="shared" si="76"/>
        <v>5.6000000000000001E-2</v>
      </c>
      <c r="T87" s="5">
        <f t="shared" si="77"/>
        <v>7.977443845417484E-2</v>
      </c>
      <c r="U87" s="5">
        <f t="shared" si="78"/>
        <v>8.7074722341604224E-2</v>
      </c>
      <c r="V87" s="5">
        <f t="shared" si="79"/>
        <v>1.0667726822271111</v>
      </c>
      <c r="W87" s="5">
        <f t="shared" si="80"/>
        <v>0.3895547355705582</v>
      </c>
      <c r="X87" s="5">
        <f t="shared" si="81"/>
        <v>0.34112748995075981</v>
      </c>
      <c r="Y87" s="5">
        <f t="shared" si="82"/>
        <v>6.8403117282476202</v>
      </c>
      <c r="Z87" s="12">
        <f t="shared" si="83"/>
        <v>4.5205550599332014</v>
      </c>
      <c r="AA87" s="12">
        <f t="shared" si="84"/>
        <v>2.5440761763452375</v>
      </c>
      <c r="AB87" s="12">
        <f t="shared" si="85"/>
        <v>5.8518612919311673E-2</v>
      </c>
      <c r="AC87" s="1">
        <f t="shared" si="86"/>
        <v>0.26309780384825393</v>
      </c>
      <c r="AD87" s="1">
        <f t="shared" si="87"/>
        <v>0.13741600779251673</v>
      </c>
      <c r="AE87" s="12">
        <f t="shared" si="88"/>
        <v>0.81642397642269393</v>
      </c>
      <c r="AF87" s="5">
        <f t="shared" si="89"/>
        <v>0.13856850018894401</v>
      </c>
      <c r="AG87" s="5">
        <f t="shared" si="90"/>
        <v>6.9284250094472005E-2</v>
      </c>
      <c r="AH87" s="5">
        <v>3.901114E-2</v>
      </c>
      <c r="AI87" s="5">
        <f t="shared" si="91"/>
        <v>3.6153849863805702E-2</v>
      </c>
      <c r="AJ87" s="5">
        <f t="shared" si="92"/>
        <v>5.6778813194303807E-2</v>
      </c>
      <c r="AK87" s="5">
        <v>6.1740509999999998E-3</v>
      </c>
      <c r="AL87" s="5">
        <f t="shared" si="93"/>
        <v>2.2390962141312261E-3</v>
      </c>
      <c r="AM87" s="5">
        <f t="shared" si="94"/>
        <v>1.6799396805870024E-3</v>
      </c>
      <c r="AN87" s="13">
        <f t="shared" si="95"/>
        <v>1.1450722427765085E-2</v>
      </c>
      <c r="AO87" s="13">
        <f t="shared" si="96"/>
        <v>5.7253612138825427E-3</v>
      </c>
      <c r="AP87" s="13">
        <f t="shared" si="97"/>
        <v>3.2237177650157249E-3</v>
      </c>
      <c r="AQ87" s="13">
        <f t="shared" si="98"/>
        <v>2.9876032353748643E-3</v>
      </c>
      <c r="AR87" s="13">
        <f t="shared" si="99"/>
        <v>4.6919641100205333E-3</v>
      </c>
      <c r="AS87" s="13">
        <f t="shared" si="100"/>
        <v>5.1019780223836319E-4</v>
      </c>
      <c r="AT87" s="13">
        <f t="shared" si="101"/>
        <v>1.8502956445451958E-4</v>
      </c>
      <c r="AU87" s="14">
        <f t="shared" si="102"/>
        <v>1.3882320261502642E-4</v>
      </c>
    </row>
    <row r="88" spans="1:47" x14ac:dyDescent="0.35">
      <c r="A88" s="5">
        <v>7.4999999999999997E-2</v>
      </c>
      <c r="B88" s="5">
        <v>0.02</v>
      </c>
      <c r="C88" s="5">
        <f t="shared" si="70"/>
        <v>0.15</v>
      </c>
      <c r="D88" s="5">
        <v>9.81</v>
      </c>
      <c r="E88" s="5">
        <v>1000</v>
      </c>
      <c r="F88" s="5">
        <v>2650</v>
      </c>
      <c r="G88" s="5">
        <v>1.65</v>
      </c>
      <c r="H88" s="5">
        <v>9.9999999999999995E-7</v>
      </c>
      <c r="I88" s="12"/>
      <c r="J88" s="12"/>
      <c r="K88" s="12"/>
      <c r="L88" s="12">
        <f t="shared" si="103"/>
        <v>139.77632459170837</v>
      </c>
      <c r="M88" s="5">
        <f t="shared" si="71"/>
        <v>0.71241755653266237</v>
      </c>
      <c r="N88" s="5">
        <f t="shared" si="72"/>
        <v>5.7569095477386867E-2</v>
      </c>
      <c r="O88" s="12">
        <f t="shared" si="73"/>
        <v>0.11513819095477373</v>
      </c>
      <c r="P88" s="5">
        <f t="shared" si="74"/>
        <v>1897.1962050160116</v>
      </c>
      <c r="Q88" s="5">
        <v>4.7E-2</v>
      </c>
      <c r="R88" s="5">
        <f t="shared" si="75"/>
        <v>5.5131715547597548E-2</v>
      </c>
      <c r="S88" s="5">
        <f t="shared" si="76"/>
        <v>5.6000000000000001E-2</v>
      </c>
      <c r="T88" s="5">
        <f t="shared" si="77"/>
        <v>7.977443845417484E-2</v>
      </c>
      <c r="U88" s="5">
        <f t="shared" si="78"/>
        <v>8.7074722341604224E-2</v>
      </c>
      <c r="V88" s="5">
        <f t="shared" si="79"/>
        <v>1.0884202461534151</v>
      </c>
      <c r="W88" s="5">
        <f t="shared" si="80"/>
        <v>0.3895547355705582</v>
      </c>
      <c r="X88" s="5">
        <f t="shared" si="81"/>
        <v>0.34112748995075981</v>
      </c>
      <c r="Y88" s="5">
        <f t="shared" si="82"/>
        <v>6.8722768931278901</v>
      </c>
      <c r="Z88" s="12">
        <f t="shared" si="83"/>
        <v>4.5205550599332014</v>
      </c>
      <c r="AA88" s="12">
        <f t="shared" si="84"/>
        <v>2.5693156234300307</v>
      </c>
      <c r="AB88" s="12">
        <f t="shared" si="85"/>
        <v>5.8518612919311673E-2</v>
      </c>
      <c r="AC88" s="1">
        <f t="shared" si="86"/>
        <v>0.26849101198187475</v>
      </c>
      <c r="AD88" s="1">
        <f t="shared" si="87"/>
        <v>0.13926206782245285</v>
      </c>
      <c r="AE88" s="12">
        <f t="shared" si="88"/>
        <v>0.81642397642269393</v>
      </c>
      <c r="AF88" s="5">
        <f t="shared" si="89"/>
        <v>0.14229049346709269</v>
      </c>
      <c r="AG88" s="5">
        <f t="shared" si="90"/>
        <v>7.1145246733546344E-2</v>
      </c>
      <c r="AH88" s="5">
        <v>4.0618519999999998E-2</v>
      </c>
      <c r="AI88" s="5">
        <f t="shared" si="91"/>
        <v>3.7390613520338838E-2</v>
      </c>
      <c r="AJ88" s="5">
        <f t="shared" si="92"/>
        <v>5.8834735149610171E-2</v>
      </c>
      <c r="AK88" s="5">
        <v>6.4386139999999996E-3</v>
      </c>
      <c r="AL88" s="5">
        <f t="shared" si="93"/>
        <v>2.3751306890588916E-3</v>
      </c>
      <c r="AM88" s="5">
        <f t="shared" si="94"/>
        <v>1.7858871809765745E-3</v>
      </c>
      <c r="AN88" s="13">
        <f t="shared" si="95"/>
        <v>1.175829241551825E-2</v>
      </c>
      <c r="AO88" s="13">
        <f t="shared" si="96"/>
        <v>5.879146207759125E-3</v>
      </c>
      <c r="AP88" s="13">
        <f t="shared" si="97"/>
        <v>3.3565449385136274E-3</v>
      </c>
      <c r="AQ88" s="13">
        <f t="shared" si="98"/>
        <v>3.0898042213161024E-3</v>
      </c>
      <c r="AR88" s="13">
        <f t="shared" si="99"/>
        <v>4.8618569183518706E-3</v>
      </c>
      <c r="AS88" s="13">
        <f t="shared" si="100"/>
        <v>5.3206018419043775E-4</v>
      </c>
      <c r="AT88" s="13">
        <f t="shared" si="101"/>
        <v>1.962708856124991E-4</v>
      </c>
      <c r="AU88" s="14">
        <f t="shared" si="102"/>
        <v>1.475782617895308E-4</v>
      </c>
    </row>
    <row r="89" spans="1:47" x14ac:dyDescent="0.35">
      <c r="A89" s="5">
        <v>7.4999999999999997E-2</v>
      </c>
      <c r="B89" s="5">
        <v>0.02</v>
      </c>
      <c r="C89" s="5">
        <f t="shared" si="70"/>
        <v>0.15</v>
      </c>
      <c r="D89" s="5">
        <v>9.81</v>
      </c>
      <c r="E89" s="5">
        <v>1000</v>
      </c>
      <c r="F89" s="5">
        <v>2650</v>
      </c>
      <c r="G89" s="5">
        <v>1.65</v>
      </c>
      <c r="H89" s="5">
        <v>9.9999999999999995E-7</v>
      </c>
      <c r="I89" s="12"/>
      <c r="J89" s="12"/>
      <c r="K89" s="12"/>
      <c r="L89" s="12">
        <f t="shared" si="103"/>
        <v>141.22517902010034</v>
      </c>
      <c r="M89" s="5">
        <f t="shared" si="71"/>
        <v>0.71980213567839113</v>
      </c>
      <c r="N89" s="5">
        <f t="shared" si="72"/>
        <v>5.8165829145728577E-2</v>
      </c>
      <c r="O89" s="12">
        <f t="shared" si="73"/>
        <v>0.11633165829145715</v>
      </c>
      <c r="P89" s="5">
        <f t="shared" si="74"/>
        <v>1897.1962050160116</v>
      </c>
      <c r="Q89" s="5">
        <v>4.7E-2</v>
      </c>
      <c r="R89" s="5">
        <f t="shared" si="75"/>
        <v>5.5131715547597548E-2</v>
      </c>
      <c r="S89" s="5">
        <f t="shared" si="76"/>
        <v>5.6000000000000001E-2</v>
      </c>
      <c r="T89" s="5">
        <f t="shared" si="77"/>
        <v>7.977443845417484E-2</v>
      </c>
      <c r="U89" s="5">
        <f t="shared" si="78"/>
        <v>8.7074722341604224E-2</v>
      </c>
      <c r="V89" s="5">
        <f t="shared" si="79"/>
        <v>1.1100678100797188</v>
      </c>
      <c r="W89" s="5">
        <f t="shared" si="80"/>
        <v>0.3895547355705582</v>
      </c>
      <c r="X89" s="5">
        <f t="shared" si="81"/>
        <v>0.34112748995075981</v>
      </c>
      <c r="Y89" s="5">
        <f t="shared" si="82"/>
        <v>6.9038311519054423</v>
      </c>
      <c r="Z89" s="12">
        <f t="shared" si="83"/>
        <v>4.5205550599332014</v>
      </c>
      <c r="AA89" s="12">
        <f t="shared" si="84"/>
        <v>2.5944555125460056</v>
      </c>
      <c r="AB89" s="12">
        <f t="shared" si="85"/>
        <v>5.8518612919311673E-2</v>
      </c>
      <c r="AC89" s="1">
        <f t="shared" si="86"/>
        <v>0.2739283866443904</v>
      </c>
      <c r="AD89" s="1">
        <f t="shared" si="87"/>
        <v>0.14108907224707332</v>
      </c>
      <c r="AE89" s="12">
        <f t="shared" si="88"/>
        <v>0.81642397642269393</v>
      </c>
      <c r="AF89" s="5">
        <f t="shared" si="89"/>
        <v>0.14604522724874242</v>
      </c>
      <c r="AG89" s="5">
        <f t="shared" si="90"/>
        <v>7.3022613624371208E-2</v>
      </c>
      <c r="AH89" s="5">
        <v>4.2258619999999997E-2</v>
      </c>
      <c r="AI89" s="5">
        <f t="shared" si="91"/>
        <v>3.8648301933794628E-2</v>
      </c>
      <c r="AJ89" s="5">
        <f t="shared" si="92"/>
        <v>6.0920623259868162E-2</v>
      </c>
      <c r="AK89" s="5">
        <v>6.7089970000000004E-3</v>
      </c>
      <c r="AL89" s="5">
        <f t="shared" si="93"/>
        <v>2.5171753503542647E-3</v>
      </c>
      <c r="AM89" s="5">
        <f t="shared" si="94"/>
        <v>1.8968824601632136E-3</v>
      </c>
      <c r="AN89" s="13">
        <f t="shared" si="95"/>
        <v>1.2068567941811737E-2</v>
      </c>
      <c r="AO89" s="13">
        <f t="shared" si="96"/>
        <v>6.0342839709058684E-3</v>
      </c>
      <c r="AP89" s="13">
        <f t="shared" si="97"/>
        <v>3.4920759562281131E-3</v>
      </c>
      <c r="AQ89" s="13">
        <f t="shared" si="98"/>
        <v>3.193734341823011E-3</v>
      </c>
      <c r="AR89" s="13">
        <f t="shared" si="99"/>
        <v>5.0342260046403967E-3</v>
      </c>
      <c r="AS89" s="13">
        <f t="shared" si="100"/>
        <v>5.5440350664802938E-4</v>
      </c>
      <c r="AT89" s="13">
        <f t="shared" si="101"/>
        <v>2.0800886348352609E-4</v>
      </c>
      <c r="AU89" s="14">
        <f t="shared" si="102"/>
        <v>1.5675044833283222E-4</v>
      </c>
    </row>
    <row r="90" spans="1:47" x14ac:dyDescent="0.35">
      <c r="A90" s="5">
        <v>7.4999999999999997E-2</v>
      </c>
      <c r="B90" s="5">
        <v>0.02</v>
      </c>
      <c r="C90" s="5">
        <f t="shared" si="70"/>
        <v>0.15</v>
      </c>
      <c r="D90" s="5">
        <v>9.81</v>
      </c>
      <c r="E90" s="5">
        <v>1000</v>
      </c>
      <c r="F90" s="5">
        <v>2650</v>
      </c>
      <c r="G90" s="5">
        <v>1.65</v>
      </c>
      <c r="H90" s="5">
        <v>9.9999999999999995E-7</v>
      </c>
      <c r="I90" s="12"/>
      <c r="J90" s="12"/>
      <c r="K90" s="12"/>
      <c r="L90" s="12">
        <f t="shared" si="103"/>
        <v>142.67403344849231</v>
      </c>
      <c r="M90" s="5">
        <f t="shared" si="71"/>
        <v>0.72718671482411978</v>
      </c>
      <c r="N90" s="5">
        <f t="shared" si="72"/>
        <v>5.8762562814070288E-2</v>
      </c>
      <c r="O90" s="12">
        <f t="shared" si="73"/>
        <v>0.11752512562814058</v>
      </c>
      <c r="P90" s="5">
        <f t="shared" si="74"/>
        <v>1897.1962050160116</v>
      </c>
      <c r="Q90" s="5">
        <v>4.7E-2</v>
      </c>
      <c r="R90" s="5">
        <f t="shared" si="75"/>
        <v>5.5131715547597548E-2</v>
      </c>
      <c r="S90" s="5">
        <f t="shared" si="76"/>
        <v>5.6000000000000001E-2</v>
      </c>
      <c r="T90" s="5">
        <f t="shared" si="77"/>
        <v>7.977443845417484E-2</v>
      </c>
      <c r="U90" s="5">
        <f t="shared" si="78"/>
        <v>8.7074722341604224E-2</v>
      </c>
      <c r="V90" s="5">
        <f t="shared" si="79"/>
        <v>1.1317153740060228</v>
      </c>
      <c r="W90" s="5">
        <f t="shared" si="80"/>
        <v>0.3895547355705582</v>
      </c>
      <c r="X90" s="5">
        <f t="shared" si="81"/>
        <v>0.34112748995075981</v>
      </c>
      <c r="Y90" s="5">
        <f t="shared" si="82"/>
        <v>6.9349825884907927</v>
      </c>
      <c r="Z90" s="12">
        <f t="shared" si="83"/>
        <v>4.5205550599332014</v>
      </c>
      <c r="AA90" s="12">
        <f t="shared" si="84"/>
        <v>2.6194966331208067</v>
      </c>
      <c r="AB90" s="12">
        <f t="shared" si="85"/>
        <v>5.8518612919311673E-2</v>
      </c>
      <c r="AC90" s="1">
        <f t="shared" si="86"/>
        <v>0.27940968852074011</v>
      </c>
      <c r="AD90" s="1">
        <f t="shared" si="87"/>
        <v>0.14289717856749529</v>
      </c>
      <c r="AE90" s="12">
        <f t="shared" si="88"/>
        <v>0.81642397642269393</v>
      </c>
      <c r="AF90" s="5">
        <f t="shared" si="89"/>
        <v>0.14983241849373224</v>
      </c>
      <c r="AG90" s="5">
        <f t="shared" si="90"/>
        <v>7.4916209246866122E-2</v>
      </c>
      <c r="AH90" s="5">
        <v>4.3931409999999997E-2</v>
      </c>
      <c r="AI90" s="5">
        <f t="shared" si="91"/>
        <v>3.992685615403644E-2</v>
      </c>
      <c r="AJ90" s="5">
        <f t="shared" si="92"/>
        <v>6.3035843957585699E-2</v>
      </c>
      <c r="AK90" s="5">
        <v>6.9852120000000002E-3</v>
      </c>
      <c r="AL90" s="5">
        <f t="shared" si="93"/>
        <v>2.665366588086456E-3</v>
      </c>
      <c r="AM90" s="5">
        <f t="shared" si="94"/>
        <v>2.0130695485731588E-3</v>
      </c>
      <c r="AN90" s="13">
        <f t="shared" si="95"/>
        <v>1.2381525617388143E-2</v>
      </c>
      <c r="AO90" s="13">
        <f t="shared" si="96"/>
        <v>6.1907628086940716E-3</v>
      </c>
      <c r="AP90" s="13">
        <f t="shared" si="97"/>
        <v>3.6303083390844117E-3</v>
      </c>
      <c r="AQ90" s="13">
        <f t="shared" si="98"/>
        <v>3.2993887255023742E-3</v>
      </c>
      <c r="AR90" s="13">
        <f t="shared" si="99"/>
        <v>5.2090190135132717E-3</v>
      </c>
      <c r="AS90" s="13">
        <f t="shared" si="100"/>
        <v>5.7722876124104605E-4</v>
      </c>
      <c r="AT90" s="13">
        <f t="shared" si="101"/>
        <v>2.2025476877357745E-4</v>
      </c>
      <c r="AU90" s="14">
        <f t="shared" si="102"/>
        <v>1.6635166431812752E-4</v>
      </c>
    </row>
    <row r="91" spans="1:47" x14ac:dyDescent="0.35">
      <c r="A91" s="5">
        <v>7.4999999999999997E-2</v>
      </c>
      <c r="B91" s="5">
        <v>0.02</v>
      </c>
      <c r="C91" s="5">
        <f t="shared" si="70"/>
        <v>0.15</v>
      </c>
      <c r="D91" s="5">
        <v>9.81</v>
      </c>
      <c r="E91" s="5">
        <v>1000</v>
      </c>
      <c r="F91" s="5">
        <v>2650</v>
      </c>
      <c r="G91" s="5">
        <v>1.65</v>
      </c>
      <c r="H91" s="5">
        <v>9.9999999999999995E-7</v>
      </c>
      <c r="I91" s="12"/>
      <c r="J91" s="12"/>
      <c r="K91" s="12"/>
      <c r="L91" s="12">
        <f t="shared" si="103"/>
        <v>144.12288787688428</v>
      </c>
      <c r="M91" s="5">
        <f t="shared" si="71"/>
        <v>0.73457129396984844</v>
      </c>
      <c r="N91" s="5">
        <f t="shared" si="72"/>
        <v>5.9359296482412005E-2</v>
      </c>
      <c r="O91" s="12">
        <f t="shared" si="73"/>
        <v>0.11871859296482401</v>
      </c>
      <c r="P91" s="5">
        <f t="shared" si="74"/>
        <v>1897.1962050160116</v>
      </c>
      <c r="Q91" s="5">
        <v>4.7E-2</v>
      </c>
      <c r="R91" s="5">
        <f t="shared" si="75"/>
        <v>5.5131715547597548E-2</v>
      </c>
      <c r="S91" s="5">
        <f t="shared" si="76"/>
        <v>5.6000000000000001E-2</v>
      </c>
      <c r="T91" s="5">
        <f t="shared" si="77"/>
        <v>7.977443845417484E-2</v>
      </c>
      <c r="U91" s="5">
        <f t="shared" si="78"/>
        <v>8.7074722341604224E-2</v>
      </c>
      <c r="V91" s="5">
        <f t="shared" si="79"/>
        <v>1.1533629379323269</v>
      </c>
      <c r="W91" s="5">
        <f t="shared" si="80"/>
        <v>0.3895547355705582</v>
      </c>
      <c r="X91" s="5">
        <f t="shared" si="81"/>
        <v>0.34112748995075981</v>
      </c>
      <c r="Y91" s="5">
        <f t="shared" si="82"/>
        <v>6.9657390998502944</v>
      </c>
      <c r="Z91" s="12">
        <f t="shared" si="83"/>
        <v>4.5205550599332014</v>
      </c>
      <c r="AA91" s="12">
        <f t="shared" si="84"/>
        <v>2.6444397819876189</v>
      </c>
      <c r="AB91" s="12">
        <f t="shared" si="85"/>
        <v>5.8518612919311673E-2</v>
      </c>
      <c r="AC91" s="1">
        <f t="shared" si="86"/>
        <v>0.28493468251419068</v>
      </c>
      <c r="AD91" s="1">
        <f t="shared" si="87"/>
        <v>0.14468655101342079</v>
      </c>
      <c r="AE91" s="12">
        <f t="shared" si="88"/>
        <v>0.81642397642269393</v>
      </c>
      <c r="AF91" s="5">
        <f t="shared" si="89"/>
        <v>0.15365179137818194</v>
      </c>
      <c r="AG91" s="5">
        <f t="shared" si="90"/>
        <v>7.682589568909097E-2</v>
      </c>
      <c r="AH91" s="5">
        <v>4.5636879999999998E-2</v>
      </c>
      <c r="AI91" s="5">
        <f t="shared" si="91"/>
        <v>4.1226216477082307E-2</v>
      </c>
      <c r="AJ91" s="5">
        <f t="shared" si="92"/>
        <v>6.5179762319073367E-2</v>
      </c>
      <c r="AK91" s="5">
        <v>7.2672689999999998E-3</v>
      </c>
      <c r="AL91" s="5">
        <f t="shared" si="93"/>
        <v>2.8198378861660598E-3</v>
      </c>
      <c r="AM91" s="5">
        <f t="shared" si="94"/>
        <v>2.1345918182745184E-3</v>
      </c>
      <c r="AN91" s="13">
        <f t="shared" si="95"/>
        <v>1.2697142649313379E-2</v>
      </c>
      <c r="AO91" s="13">
        <f t="shared" si="96"/>
        <v>6.3485713246566895E-3</v>
      </c>
      <c r="AP91" s="13">
        <f t="shared" si="97"/>
        <v>3.7712412607242654E-3</v>
      </c>
      <c r="AQ91" s="13">
        <f t="shared" si="98"/>
        <v>3.4067624386663457E-3</v>
      </c>
      <c r="AR91" s="13">
        <f t="shared" si="99"/>
        <v>5.3861834775271716E-3</v>
      </c>
      <c r="AS91" s="13">
        <f t="shared" si="100"/>
        <v>6.0053677432774487E-4</v>
      </c>
      <c r="AT91" s="13">
        <f t="shared" si="101"/>
        <v>2.3301963203582147E-4</v>
      </c>
      <c r="AU91" s="14">
        <f t="shared" si="102"/>
        <v>1.7639375741464574E-4</v>
      </c>
    </row>
    <row r="92" spans="1:47" x14ac:dyDescent="0.35">
      <c r="A92" s="5">
        <v>7.4999999999999997E-2</v>
      </c>
      <c r="B92" s="5">
        <v>0.02</v>
      </c>
      <c r="C92" s="5">
        <f t="shared" si="70"/>
        <v>0.15</v>
      </c>
      <c r="D92" s="5">
        <v>9.81</v>
      </c>
      <c r="E92" s="5">
        <v>1000</v>
      </c>
      <c r="F92" s="5">
        <v>2650</v>
      </c>
      <c r="G92" s="5">
        <v>1.65</v>
      </c>
      <c r="H92" s="5">
        <v>9.9999999999999995E-7</v>
      </c>
      <c r="I92" s="12"/>
      <c r="J92" s="12"/>
      <c r="K92" s="12"/>
      <c r="L92" s="12">
        <f t="shared" si="103"/>
        <v>145.57174230527625</v>
      </c>
      <c r="M92" s="5">
        <f t="shared" si="71"/>
        <v>0.74195587311557709</v>
      </c>
      <c r="N92" s="5">
        <f t="shared" si="72"/>
        <v>5.9956030150753716E-2</v>
      </c>
      <c r="O92" s="12">
        <f t="shared" si="73"/>
        <v>0.11991206030150743</v>
      </c>
      <c r="P92" s="5">
        <f t="shared" si="74"/>
        <v>1897.1962050160116</v>
      </c>
      <c r="Q92" s="5">
        <v>4.7E-2</v>
      </c>
      <c r="R92" s="5">
        <f t="shared" si="75"/>
        <v>5.5131715547597548E-2</v>
      </c>
      <c r="S92" s="5">
        <f t="shared" si="76"/>
        <v>5.6000000000000001E-2</v>
      </c>
      <c r="T92" s="5">
        <f t="shared" si="77"/>
        <v>7.977443845417484E-2</v>
      </c>
      <c r="U92" s="5">
        <f t="shared" si="78"/>
        <v>8.7074722341604224E-2</v>
      </c>
      <c r="V92" s="5">
        <f t="shared" si="79"/>
        <v>1.175010501858631</v>
      </c>
      <c r="W92" s="5">
        <f t="shared" si="80"/>
        <v>0.3895547355705582</v>
      </c>
      <c r="X92" s="5">
        <f t="shared" si="81"/>
        <v>0.34112748995075981</v>
      </c>
      <c r="Y92" s="5">
        <f t="shared" si="82"/>
        <v>6.9961084003151113</v>
      </c>
      <c r="Z92" s="12">
        <f t="shared" si="83"/>
        <v>4.5205550599332014</v>
      </c>
      <c r="AA92" s="12">
        <f t="shared" si="84"/>
        <v>2.6692857622079385</v>
      </c>
      <c r="AB92" s="12">
        <f t="shared" si="85"/>
        <v>5.8518612919311673E-2</v>
      </c>
      <c r="AC92" s="1">
        <f t="shared" si="86"/>
        <v>0.29050313765832458</v>
      </c>
      <c r="AD92" s="1">
        <f t="shared" si="87"/>
        <v>0.14645735974009805</v>
      </c>
      <c r="AE92" s="12">
        <f t="shared" si="88"/>
        <v>0.81642397642269393</v>
      </c>
      <c r="AF92" s="5">
        <f t="shared" si="89"/>
        <v>0.15750307699296032</v>
      </c>
      <c r="AG92" s="5">
        <f t="shared" si="90"/>
        <v>7.8751538496480158E-2</v>
      </c>
      <c r="AH92" s="5">
        <v>4.7374970000000002E-2</v>
      </c>
      <c r="AI92" s="5">
        <f t="shared" si="91"/>
        <v>4.2546322537652469E-2</v>
      </c>
      <c r="AJ92" s="5">
        <f t="shared" si="92"/>
        <v>6.7351742902566042E-2</v>
      </c>
      <c r="AK92" s="5">
        <v>7.5551810000000002E-3</v>
      </c>
      <c r="AL92" s="5">
        <f t="shared" si="93"/>
        <v>2.9807195927795912E-3</v>
      </c>
      <c r="AM92" s="5">
        <f t="shared" si="94"/>
        <v>2.2615917592302484E-3</v>
      </c>
      <c r="AN92" s="13">
        <f t="shared" si="95"/>
        <v>1.3015396816059352E-2</v>
      </c>
      <c r="AO92" s="13">
        <f t="shared" si="96"/>
        <v>6.5076984080296761E-3</v>
      </c>
      <c r="AP92" s="13">
        <f t="shared" si="97"/>
        <v>3.9148697629981339E-3</v>
      </c>
      <c r="AQ92" s="13">
        <f t="shared" si="98"/>
        <v>3.5158504929801893E-3</v>
      </c>
      <c r="AR92" s="13">
        <f t="shared" si="99"/>
        <v>5.5656668864271569E-3</v>
      </c>
      <c r="AS92" s="13">
        <f t="shared" si="100"/>
        <v>6.2432862017385981E-4</v>
      </c>
      <c r="AT92" s="13">
        <f t="shared" si="101"/>
        <v>2.4631422470027805E-4</v>
      </c>
      <c r="AU92" s="14">
        <f t="shared" si="102"/>
        <v>1.8688850239812827E-4</v>
      </c>
    </row>
    <row r="93" spans="1:47" x14ac:dyDescent="0.35">
      <c r="A93" s="5">
        <v>7.4999999999999997E-2</v>
      </c>
      <c r="B93" s="5">
        <v>0.02</v>
      </c>
      <c r="C93" s="5">
        <f t="shared" si="70"/>
        <v>0.15</v>
      </c>
      <c r="D93" s="5">
        <v>9.81</v>
      </c>
      <c r="E93" s="5">
        <v>1000</v>
      </c>
      <c r="F93" s="5">
        <v>2650</v>
      </c>
      <c r="G93" s="5">
        <v>1.65</v>
      </c>
      <c r="H93" s="5">
        <v>9.9999999999999995E-7</v>
      </c>
      <c r="I93" s="12"/>
      <c r="J93" s="12"/>
      <c r="K93" s="12"/>
      <c r="L93" s="12">
        <f t="shared" si="103"/>
        <v>147.02059673366821</v>
      </c>
      <c r="M93" s="5">
        <f t="shared" si="71"/>
        <v>0.74934045226130586</v>
      </c>
      <c r="N93" s="5">
        <f t="shared" si="72"/>
        <v>6.0552763819095426E-2</v>
      </c>
      <c r="O93" s="12">
        <f t="shared" si="73"/>
        <v>0.12110552763819085</v>
      </c>
      <c r="P93" s="5">
        <f t="shared" si="74"/>
        <v>1897.1962050160116</v>
      </c>
      <c r="Q93" s="5">
        <v>4.7E-2</v>
      </c>
      <c r="R93" s="5">
        <f t="shared" si="75"/>
        <v>5.5131715547597548E-2</v>
      </c>
      <c r="S93" s="5">
        <f t="shared" si="76"/>
        <v>5.6000000000000001E-2</v>
      </c>
      <c r="T93" s="5">
        <f t="shared" si="77"/>
        <v>7.977443845417484E-2</v>
      </c>
      <c r="U93" s="5">
        <f t="shared" si="78"/>
        <v>8.7074722341604224E-2</v>
      </c>
      <c r="V93" s="5">
        <f t="shared" si="79"/>
        <v>1.1966580657849351</v>
      </c>
      <c r="W93" s="5">
        <f t="shared" si="80"/>
        <v>0.3895547355705582</v>
      </c>
      <c r="X93" s="5">
        <f t="shared" si="81"/>
        <v>0.34112748995075981</v>
      </c>
      <c r="Y93" s="5">
        <f t="shared" si="82"/>
        <v>7.0260980258261618</v>
      </c>
      <c r="Z93" s="12">
        <f t="shared" si="83"/>
        <v>4.5205550599332014</v>
      </c>
      <c r="AA93" s="12">
        <f t="shared" si="84"/>
        <v>2.6940353819739875</v>
      </c>
      <c r="AB93" s="12">
        <f t="shared" si="85"/>
        <v>5.8518612919311673E-2</v>
      </c>
      <c r="AC93" s="1">
        <f t="shared" si="86"/>
        <v>0.29611482703013092</v>
      </c>
      <c r="AD93" s="1">
        <f t="shared" si="87"/>
        <v>0.14820978008952626</v>
      </c>
      <c r="AE93" s="12">
        <f t="shared" si="88"/>
        <v>0.81642397642269393</v>
      </c>
      <c r="AF93" s="5">
        <f t="shared" si="89"/>
        <v>0.16138601305950384</v>
      </c>
      <c r="AG93" s="5">
        <f t="shared" si="90"/>
        <v>8.0693006529751921E-2</v>
      </c>
      <c r="AH93" s="5">
        <v>4.9145679999999997E-2</v>
      </c>
      <c r="AI93" s="5">
        <f t="shared" si="91"/>
        <v>4.3887113395383807E-2</v>
      </c>
      <c r="AJ93" s="5">
        <f t="shared" si="92"/>
        <v>6.9551150532473016E-2</v>
      </c>
      <c r="AK93" s="5">
        <v>7.8489570000000002E-3</v>
      </c>
      <c r="AL93" s="5">
        <f t="shared" si="93"/>
        <v>3.1481387020976153E-3</v>
      </c>
      <c r="AM93" s="5">
        <f t="shared" si="94"/>
        <v>2.3942107565300985E-3</v>
      </c>
      <c r="AN93" s="13">
        <f t="shared" si="95"/>
        <v>1.3336266444020408E-2</v>
      </c>
      <c r="AO93" s="13">
        <f t="shared" si="96"/>
        <v>6.6681332220102042E-3</v>
      </c>
      <c r="AP93" s="13">
        <f t="shared" si="97"/>
        <v>4.0611938459060156E-3</v>
      </c>
      <c r="AQ93" s="13">
        <f t="shared" si="98"/>
        <v>3.6266478525866807E-3</v>
      </c>
      <c r="AR93" s="13">
        <f t="shared" si="99"/>
        <v>5.7474167519538308E-3</v>
      </c>
      <c r="AS93" s="13">
        <f t="shared" si="100"/>
        <v>6.4860504250182206E-4</v>
      </c>
      <c r="AT93" s="13">
        <f t="shared" si="101"/>
        <v>2.6014904103508971E-4</v>
      </c>
      <c r="AU93" s="14">
        <f t="shared" si="102"/>
        <v>1.9784758274220688E-4</v>
      </c>
    </row>
    <row r="94" spans="1:47" x14ac:dyDescent="0.35">
      <c r="A94" s="5">
        <v>7.4999999999999997E-2</v>
      </c>
      <c r="B94" s="5">
        <v>0.02</v>
      </c>
      <c r="C94" s="5">
        <f t="shared" si="70"/>
        <v>0.15</v>
      </c>
      <c r="D94" s="5">
        <v>9.81</v>
      </c>
      <c r="E94" s="5">
        <v>1000</v>
      </c>
      <c r="F94" s="5">
        <v>2650</v>
      </c>
      <c r="G94" s="5">
        <v>1.65</v>
      </c>
      <c r="H94" s="5">
        <v>9.9999999999999995E-7</v>
      </c>
      <c r="I94" s="12"/>
      <c r="J94" s="12"/>
      <c r="K94" s="12"/>
      <c r="L94" s="12">
        <f t="shared" si="103"/>
        <v>148.46945116206018</v>
      </c>
      <c r="M94" s="5">
        <f t="shared" si="71"/>
        <v>0.75672503140703451</v>
      </c>
      <c r="N94" s="5">
        <f t="shared" si="72"/>
        <v>6.1149497487437136E-2</v>
      </c>
      <c r="O94" s="12">
        <f t="shared" si="73"/>
        <v>0.12229899497487427</v>
      </c>
      <c r="P94" s="5">
        <f t="shared" si="74"/>
        <v>1897.1962050160116</v>
      </c>
      <c r="Q94" s="5">
        <v>4.7E-2</v>
      </c>
      <c r="R94" s="5">
        <f t="shared" si="75"/>
        <v>5.5131715547597548E-2</v>
      </c>
      <c r="S94" s="5">
        <f t="shared" si="76"/>
        <v>5.6000000000000001E-2</v>
      </c>
      <c r="T94" s="5">
        <f t="shared" si="77"/>
        <v>7.977443845417484E-2</v>
      </c>
      <c r="U94" s="5">
        <f t="shared" si="78"/>
        <v>8.7074722341604224E-2</v>
      </c>
      <c r="V94" s="5">
        <f t="shared" si="79"/>
        <v>1.2183056297112387</v>
      </c>
      <c r="W94" s="5">
        <f t="shared" si="80"/>
        <v>0.3895547355705582</v>
      </c>
      <c r="X94" s="5">
        <f t="shared" si="81"/>
        <v>0.34112748995075981</v>
      </c>
      <c r="Y94" s="5">
        <f t="shared" si="82"/>
        <v>7.0557153381122522</v>
      </c>
      <c r="Z94" s="12">
        <f t="shared" si="83"/>
        <v>4.5205550599332014</v>
      </c>
      <c r="AA94" s="12">
        <f t="shared" si="84"/>
        <v>2.7186894535860029</v>
      </c>
      <c r="AB94" s="12">
        <f t="shared" si="85"/>
        <v>5.8518612919311673E-2</v>
      </c>
      <c r="AC94" s="1">
        <f t="shared" si="86"/>
        <v>0.30176952766427384</v>
      </c>
      <c r="AD94" s="1">
        <f t="shared" si="87"/>
        <v>0.14994399191111035</v>
      </c>
      <c r="AE94" s="12">
        <f t="shared" si="88"/>
        <v>0.81642397642269393</v>
      </c>
      <c r="AF94" s="5">
        <f t="shared" si="89"/>
        <v>0.16530034366172228</v>
      </c>
      <c r="AG94" s="5">
        <f t="shared" si="90"/>
        <v>8.2650171830861138E-2</v>
      </c>
      <c r="AH94" s="5">
        <v>5.094895E-2</v>
      </c>
      <c r="AI94" s="5">
        <f t="shared" si="91"/>
        <v>4.5248527615111465E-2</v>
      </c>
      <c r="AJ94" s="5">
        <f t="shared" si="92"/>
        <v>7.1777351031984543E-2</v>
      </c>
      <c r="AK94" s="5">
        <v>8.1486079999999999E-3</v>
      </c>
      <c r="AL94" s="5">
        <f t="shared" si="93"/>
        <v>3.3222186482008767E-3</v>
      </c>
      <c r="AM94" s="5">
        <f t="shared" si="94"/>
        <v>2.5325888694873087E-3</v>
      </c>
      <c r="AN94" s="13">
        <f t="shared" si="95"/>
        <v>1.365973038535912E-2</v>
      </c>
      <c r="AO94" s="13">
        <f t="shared" si="96"/>
        <v>6.8298651926795599E-3</v>
      </c>
      <c r="AP94" s="13">
        <f t="shared" si="97"/>
        <v>4.2102085512983707E-3</v>
      </c>
      <c r="AQ94" s="13">
        <f t="shared" si="98"/>
        <v>3.7391494407402457E-3</v>
      </c>
      <c r="AR94" s="13">
        <f t="shared" si="99"/>
        <v>5.9313806683828863E-3</v>
      </c>
      <c r="AS94" s="13">
        <f t="shared" si="100"/>
        <v>6.7336695030571412E-4</v>
      </c>
      <c r="AT94" s="13">
        <f t="shared" si="101"/>
        <v>2.7453428111743705E-4</v>
      </c>
      <c r="AU94" s="14">
        <f t="shared" si="102"/>
        <v>2.0928257236387679E-4</v>
      </c>
    </row>
    <row r="95" spans="1:47" x14ac:dyDescent="0.35">
      <c r="A95" s="5">
        <v>7.4999999999999997E-2</v>
      </c>
      <c r="B95" s="5">
        <v>0.02</v>
      </c>
      <c r="C95" s="5">
        <f t="shared" si="70"/>
        <v>0.15</v>
      </c>
      <c r="D95" s="5">
        <v>9.81</v>
      </c>
      <c r="E95" s="5">
        <v>1000</v>
      </c>
      <c r="F95" s="5">
        <v>2650</v>
      </c>
      <c r="G95" s="5">
        <v>1.65</v>
      </c>
      <c r="H95" s="5">
        <v>9.9999999999999995E-7</v>
      </c>
      <c r="I95" s="12"/>
      <c r="J95" s="12"/>
      <c r="K95" s="12"/>
      <c r="L95" s="12">
        <f t="shared" si="103"/>
        <v>149.91830559045215</v>
      </c>
      <c r="M95" s="5">
        <f t="shared" si="71"/>
        <v>0.76410961055276316</v>
      </c>
      <c r="N95" s="5">
        <f t="shared" si="72"/>
        <v>6.1746231155778854E-2</v>
      </c>
      <c r="O95" s="12">
        <f t="shared" si="73"/>
        <v>0.12349246231155771</v>
      </c>
      <c r="P95" s="5">
        <f t="shared" si="74"/>
        <v>1897.1962050160116</v>
      </c>
      <c r="Q95" s="5">
        <v>4.7E-2</v>
      </c>
      <c r="R95" s="5">
        <f t="shared" si="75"/>
        <v>5.5131715547597548E-2</v>
      </c>
      <c r="S95" s="5">
        <f t="shared" si="76"/>
        <v>5.6000000000000001E-2</v>
      </c>
      <c r="T95" s="5">
        <f t="shared" si="77"/>
        <v>7.977443845417484E-2</v>
      </c>
      <c r="U95" s="5">
        <f t="shared" si="78"/>
        <v>8.7074722341604224E-2</v>
      </c>
      <c r="V95" s="5">
        <f t="shared" si="79"/>
        <v>1.2399531936375427</v>
      </c>
      <c r="W95" s="5">
        <f t="shared" si="80"/>
        <v>0.3895547355705582</v>
      </c>
      <c r="X95" s="5">
        <f t="shared" si="81"/>
        <v>0.34112748995075981</v>
      </c>
      <c r="Y95" s="5">
        <f t="shared" si="82"/>
        <v>7.0849675287990763</v>
      </c>
      <c r="Z95" s="12">
        <f t="shared" si="83"/>
        <v>4.5205550599332014</v>
      </c>
      <c r="AA95" s="12">
        <f t="shared" si="84"/>
        <v>2.7432487924999021</v>
      </c>
      <c r="AB95" s="12">
        <f t="shared" si="85"/>
        <v>5.8518612919311673E-2</v>
      </c>
      <c r="AC95" s="1">
        <f t="shared" si="86"/>
        <v>0.30746702046860275</v>
      </c>
      <c r="AD95" s="1">
        <f t="shared" si="87"/>
        <v>0.15166017893732217</v>
      </c>
      <c r="AE95" s="12">
        <f t="shared" si="88"/>
        <v>0.81642397642269393</v>
      </c>
      <c r="AF95" s="5">
        <f t="shared" si="89"/>
        <v>0.16924581899284002</v>
      </c>
      <c r="AG95" s="5">
        <f t="shared" si="90"/>
        <v>8.4622909496420012E-2</v>
      </c>
      <c r="AH95" s="5">
        <v>5.278476E-2</v>
      </c>
      <c r="AI95" s="5">
        <f t="shared" si="91"/>
        <v>4.663050334159359E-2</v>
      </c>
      <c r="AJ95" s="5">
        <f t="shared" si="92"/>
        <v>7.4029711906243453E-2</v>
      </c>
      <c r="AK95" s="5">
        <v>8.4541449999999997E-3</v>
      </c>
      <c r="AL95" s="5">
        <f t="shared" si="93"/>
        <v>3.5030791120849456E-3</v>
      </c>
      <c r="AM95" s="5">
        <f t="shared" si="94"/>
        <v>2.6768646134812564E-3</v>
      </c>
      <c r="AN95" s="13">
        <f t="shared" si="95"/>
        <v>1.3985767997086323E-2</v>
      </c>
      <c r="AO95" s="13">
        <f t="shared" si="96"/>
        <v>6.9928839985431614E-3</v>
      </c>
      <c r="AP95" s="13">
        <f t="shared" si="97"/>
        <v>4.3619122264586842E-3</v>
      </c>
      <c r="AQ95" s="13">
        <f t="shared" si="98"/>
        <v>3.8533501459819008E-3</v>
      </c>
      <c r="AR95" s="13">
        <f t="shared" si="99"/>
        <v>6.117506368979557E-3</v>
      </c>
      <c r="AS95" s="13">
        <f t="shared" si="100"/>
        <v>6.9861525257961866E-4</v>
      </c>
      <c r="AT95" s="13">
        <f t="shared" si="101"/>
        <v>2.8947983488520842E-4</v>
      </c>
      <c r="AU95" s="14">
        <f t="shared" si="102"/>
        <v>2.2120491759588357E-4</v>
      </c>
    </row>
    <row r="96" spans="1:47" x14ac:dyDescent="0.35">
      <c r="A96" s="5">
        <v>7.4999999999999997E-2</v>
      </c>
      <c r="B96" s="5">
        <v>0.02</v>
      </c>
      <c r="C96" s="5">
        <f t="shared" si="70"/>
        <v>0.15</v>
      </c>
      <c r="D96" s="5">
        <v>9.81</v>
      </c>
      <c r="E96" s="5">
        <v>1000</v>
      </c>
      <c r="F96" s="5">
        <v>2650</v>
      </c>
      <c r="G96" s="5">
        <v>1.65</v>
      </c>
      <c r="H96" s="5">
        <v>9.9999999999999995E-7</v>
      </c>
      <c r="I96" s="12"/>
      <c r="J96" s="12"/>
      <c r="K96" s="12"/>
      <c r="L96" s="12">
        <f t="shared" si="103"/>
        <v>151.36716001884412</v>
      </c>
      <c r="M96" s="5">
        <f t="shared" si="71"/>
        <v>0.77149418969849182</v>
      </c>
      <c r="N96" s="5">
        <f t="shared" si="72"/>
        <v>6.2342964824120564E-2</v>
      </c>
      <c r="O96" s="12">
        <f t="shared" si="73"/>
        <v>0.12468592964824113</v>
      </c>
      <c r="P96" s="5">
        <f t="shared" si="74"/>
        <v>1897.1962050160116</v>
      </c>
      <c r="Q96" s="5">
        <v>4.7E-2</v>
      </c>
      <c r="R96" s="5">
        <f t="shared" si="75"/>
        <v>5.5131715547597548E-2</v>
      </c>
      <c r="S96" s="5">
        <f t="shared" si="76"/>
        <v>5.6000000000000001E-2</v>
      </c>
      <c r="T96" s="5">
        <f t="shared" si="77"/>
        <v>7.977443845417484E-2</v>
      </c>
      <c r="U96" s="5">
        <f t="shared" si="78"/>
        <v>8.7074722341604224E-2</v>
      </c>
      <c r="V96" s="5">
        <f t="shared" si="79"/>
        <v>1.2616007575638468</v>
      </c>
      <c r="W96" s="5">
        <f t="shared" si="80"/>
        <v>0.3895547355705582</v>
      </c>
      <c r="X96" s="5">
        <f t="shared" si="81"/>
        <v>0.34112748995075981</v>
      </c>
      <c r="Y96" s="5">
        <f t="shared" si="82"/>
        <v>7.1138616234471517</v>
      </c>
      <c r="Z96" s="12">
        <f t="shared" si="83"/>
        <v>4.5205550599332014</v>
      </c>
      <c r="AA96" s="12">
        <f t="shared" si="84"/>
        <v>2.7677142164411004</v>
      </c>
      <c r="AB96" s="12">
        <f t="shared" si="85"/>
        <v>5.8518612919311673E-2</v>
      </c>
      <c r="AC96" s="1">
        <f t="shared" si="86"/>
        <v>0.31320709014095865</v>
      </c>
      <c r="AD96" s="1">
        <f t="shared" si="87"/>
        <v>0.15335852821024665</v>
      </c>
      <c r="AE96" s="12">
        <f t="shared" si="88"/>
        <v>0.81642397642269393</v>
      </c>
      <c r="AF96" s="5">
        <f t="shared" si="89"/>
        <v>0.1732221951161185</v>
      </c>
      <c r="AG96" s="5">
        <f t="shared" si="90"/>
        <v>8.661109755805925E-2</v>
      </c>
      <c r="AH96" s="5">
        <v>5.4653069999999998E-2</v>
      </c>
      <c r="AI96" s="5">
        <f t="shared" si="91"/>
        <v>4.8032978369031469E-2</v>
      </c>
      <c r="AJ96" s="5">
        <f t="shared" si="92"/>
        <v>7.6307602978261516E-2</v>
      </c>
      <c r="AK96" s="5">
        <v>8.7655779999999996E-3</v>
      </c>
      <c r="AL96" s="5">
        <f t="shared" si="93"/>
        <v>3.6908358425136638E-3</v>
      </c>
      <c r="AM96" s="5">
        <f t="shared" si="94"/>
        <v>2.8271747454163775E-3</v>
      </c>
      <c r="AN96" s="13">
        <f t="shared" si="95"/>
        <v>1.4314359121288209E-2</v>
      </c>
      <c r="AO96" s="13">
        <f t="shared" si="96"/>
        <v>7.1571795606441046E-3</v>
      </c>
      <c r="AP96" s="13">
        <f t="shared" si="97"/>
        <v>4.516301565953929E-3</v>
      </c>
      <c r="AQ96" s="13">
        <f t="shared" si="98"/>
        <v>3.9692448278841061E-3</v>
      </c>
      <c r="AR96" s="13">
        <f t="shared" si="99"/>
        <v>6.3057417785480881E-3</v>
      </c>
      <c r="AS96" s="13">
        <f t="shared" si="100"/>
        <v>7.2435077568179258E-4</v>
      </c>
      <c r="AT96" s="13">
        <f t="shared" si="101"/>
        <v>3.0499526733307659E-4</v>
      </c>
      <c r="AU96" s="14">
        <f t="shared" si="102"/>
        <v>2.3362591945794419E-4</v>
      </c>
    </row>
    <row r="97" spans="1:47" x14ac:dyDescent="0.35">
      <c r="A97" s="5">
        <v>7.4999999999999997E-2</v>
      </c>
      <c r="B97" s="5">
        <v>0.02</v>
      </c>
      <c r="C97" s="5">
        <f t="shared" si="70"/>
        <v>0.15</v>
      </c>
      <c r="D97" s="5">
        <v>9.81</v>
      </c>
      <c r="E97" s="5">
        <v>1000</v>
      </c>
      <c r="F97" s="5">
        <v>2650</v>
      </c>
      <c r="G97" s="5">
        <v>1.65</v>
      </c>
      <c r="H97" s="5">
        <v>9.9999999999999995E-7</v>
      </c>
      <c r="I97" s="12"/>
      <c r="J97" s="12"/>
      <c r="K97" s="12"/>
      <c r="L97" s="12">
        <f t="shared" si="103"/>
        <v>152.81601444723609</v>
      </c>
      <c r="M97" s="5">
        <f t="shared" si="71"/>
        <v>0.77887876884422058</v>
      </c>
      <c r="N97" s="5">
        <f t="shared" si="72"/>
        <v>6.2939698492462282E-2</v>
      </c>
      <c r="O97" s="12">
        <f t="shared" si="73"/>
        <v>0.12587939698492456</v>
      </c>
      <c r="P97" s="5">
        <f t="shared" si="74"/>
        <v>1897.1962050160116</v>
      </c>
      <c r="Q97" s="5">
        <v>4.7E-2</v>
      </c>
      <c r="R97" s="5">
        <f t="shared" si="75"/>
        <v>5.5131715547597548E-2</v>
      </c>
      <c r="S97" s="5">
        <f t="shared" si="76"/>
        <v>5.6000000000000001E-2</v>
      </c>
      <c r="T97" s="5">
        <f t="shared" si="77"/>
        <v>7.977443845417484E-2</v>
      </c>
      <c r="U97" s="5">
        <f t="shared" si="78"/>
        <v>8.7074722341604224E-2</v>
      </c>
      <c r="V97" s="5">
        <f t="shared" si="79"/>
        <v>1.2832483214901509</v>
      </c>
      <c r="W97" s="5">
        <f t="shared" si="80"/>
        <v>0.3895547355705582</v>
      </c>
      <c r="X97" s="5">
        <f t="shared" si="81"/>
        <v>0.34112748995075981</v>
      </c>
      <c r="Y97" s="5">
        <f t="shared" si="82"/>
        <v>7.1424044855171003</v>
      </c>
      <c r="Z97" s="12">
        <f t="shared" si="83"/>
        <v>4.5205550599332014</v>
      </c>
      <c r="AA97" s="12">
        <f t="shared" si="84"/>
        <v>2.7920865445804677</v>
      </c>
      <c r="AB97" s="12">
        <f t="shared" si="85"/>
        <v>5.8518612919311673E-2</v>
      </c>
      <c r="AC97" s="1">
        <f t="shared" si="86"/>
        <v>0.31898952508732037</v>
      </c>
      <c r="AD97" s="1">
        <f t="shared" si="87"/>
        <v>0.1550392295551935</v>
      </c>
      <c r="AE97" s="12">
        <f t="shared" si="88"/>
        <v>0.81642397642269393</v>
      </c>
      <c r="AF97" s="5">
        <f t="shared" si="89"/>
        <v>0.1772292337384983</v>
      </c>
      <c r="AG97" s="5">
        <f t="shared" si="90"/>
        <v>8.8614616869249152E-2</v>
      </c>
      <c r="AH97" s="5">
        <v>5.6553850000000003E-2</v>
      </c>
      <c r="AI97" s="5">
        <f t="shared" si="91"/>
        <v>4.9455890205715218E-2</v>
      </c>
      <c r="AJ97" s="5">
        <f t="shared" si="92"/>
        <v>7.8610396979724009E-2</v>
      </c>
      <c r="AK97" s="5">
        <v>9.0829169999999994E-3</v>
      </c>
      <c r="AL97" s="5">
        <f t="shared" si="93"/>
        <v>3.8856004913967305E-3</v>
      </c>
      <c r="AM97" s="5">
        <f t="shared" si="94"/>
        <v>2.9836540536510641E-3</v>
      </c>
      <c r="AN97" s="13">
        <f t="shared" si="95"/>
        <v>1.464548406642106E-2</v>
      </c>
      <c r="AO97" s="13">
        <f t="shared" si="96"/>
        <v>7.32274203321053E-3</v>
      </c>
      <c r="AP97" s="13">
        <f t="shared" si="97"/>
        <v>4.6733740907093351E-3</v>
      </c>
      <c r="AQ97" s="13">
        <f t="shared" si="98"/>
        <v>4.0868283223928171E-3</v>
      </c>
      <c r="AR97" s="13">
        <f t="shared" si="99"/>
        <v>6.4960350622533655E-3</v>
      </c>
      <c r="AS97" s="13">
        <f t="shared" si="100"/>
        <v>7.5057434597049276E-4</v>
      </c>
      <c r="AT97" s="13">
        <f t="shared" si="101"/>
        <v>3.210898049087894E-4</v>
      </c>
      <c r="AU97" s="14">
        <f t="shared" si="102"/>
        <v>2.4655671629734776E-4</v>
      </c>
    </row>
    <row r="98" spans="1:47" x14ac:dyDescent="0.35">
      <c r="A98" s="5">
        <v>7.4999999999999997E-2</v>
      </c>
      <c r="B98" s="5">
        <v>0.02</v>
      </c>
      <c r="C98" s="5">
        <f t="shared" ref="C98:C129" si="104">2*A98</f>
        <v>0.15</v>
      </c>
      <c r="D98" s="5">
        <v>9.81</v>
      </c>
      <c r="E98" s="5">
        <v>1000</v>
      </c>
      <c r="F98" s="5">
        <v>2650</v>
      </c>
      <c r="G98" s="5">
        <v>1.65</v>
      </c>
      <c r="H98" s="5">
        <v>9.9999999999999995E-7</v>
      </c>
      <c r="I98" s="12"/>
      <c r="J98" s="12"/>
      <c r="K98" s="12"/>
      <c r="L98" s="12">
        <f t="shared" si="103"/>
        <v>154.26486887562805</v>
      </c>
      <c r="M98" s="5">
        <f t="shared" ref="M98:M129" si="105">L98/ (E98*D98*B98)</f>
        <v>0.78626334798994924</v>
      </c>
      <c r="N98" s="5">
        <f t="shared" ref="N98:N129" si="106">L98/ (D98* E98 * G98 * C98)</f>
        <v>6.3536432160803985E-2</v>
      </c>
      <c r="O98" s="12">
        <f t="shared" ref="O98:O129" si="107">L98/ (D98* E98 * G98 * A98)</f>
        <v>0.12707286432160797</v>
      </c>
      <c r="P98" s="5">
        <f t="shared" ref="P98:P129" si="108">A98 * (G98 * D98 / H98^2)^(1/3)</f>
        <v>1897.1962050160116</v>
      </c>
      <c r="Q98" s="5">
        <v>4.7E-2</v>
      </c>
      <c r="R98" s="5">
        <f t="shared" ref="R98:R129" si="109">0.3 / (1 + 1.2 * P98) + 0.055 * (1 - EXP(-0.02 * P98))</f>
        <v>5.5131715547597548E-2</v>
      </c>
      <c r="S98" s="5">
        <f t="shared" ref="S98:S129" si="110">IF(P98 &lt;= 4, 0.24 / P98, IF(P98 &lt;= 10, 0.14 * P98^(-0.64), IF(P98 &lt;= 20, 0.04 * P98^(-0.1), IF(P98 &lt;= 150, 0.013 * P98^(0.29), 0.056))))</f>
        <v>5.6000000000000001E-2</v>
      </c>
      <c r="T98" s="5">
        <f t="shared" ref="T98:T129" si="111">1.5*B98^0.75</f>
        <v>7.977443845417484E-2</v>
      </c>
      <c r="U98" s="5">
        <f t="shared" ref="U98:U129" si="112" xml:space="preserve"> (5 * B98 + 0.06) * (C98/A98)^(4.4 * SQRT(B98) - 1.5)</f>
        <v>8.7074722341604224E-2</v>
      </c>
      <c r="V98" s="5">
        <f t="shared" ref="V98:V129" si="113">O98/R98-1</f>
        <v>1.3048958854164545</v>
      </c>
      <c r="W98" s="5">
        <f t="shared" ref="W98:W129" si="114">2.45 * SQRT(R98) / (G98 + 1)^0.4</f>
        <v>0.3895547355705582</v>
      </c>
      <c r="X98" s="5">
        <f t="shared" ref="X98:X129" si="115" xml:space="preserve"> R98 * G98 * A98 / B98</f>
        <v>0.34112748995075981</v>
      </c>
      <c r="Y98" s="5">
        <f t="shared" ref="Y98:Y129" si="116" xml:space="preserve"> 6.5 * 2.5 * (M98 / C98) / SQRT(6.5^2 + 2.5^2 * (M98 / C98)^(5/3))</f>
        <v>7.1706028202610721</v>
      </c>
      <c r="Z98" s="12">
        <f t="shared" ref="Z98:Z129" si="117" xml:space="preserve"> 6.5 * 2.5 * (X98 / C98) / SQRT(6.5^2 + 2.5^2 * (X98 / C98)^(5/3))</f>
        <v>4.5205550599332014</v>
      </c>
      <c r="AA98" s="12">
        <f t="shared" ref="AA98:AA129" si="118">Y98 *SQRT(D98 * M98* B98)</f>
        <v>2.8163665967686899</v>
      </c>
      <c r="AB98" s="12">
        <f t="shared" ref="AB98:AB129" si="119" xml:space="preserve"> Z98 * R98^(3/2)</f>
        <v>5.8518612919311673E-2</v>
      </c>
      <c r="AC98" s="1">
        <f t="shared" ref="AC98:AC129" si="120">L98*AA98 / (E98 * (D98 * G98* A98)^(3/2))</f>
        <v>0.32481411734133159</v>
      </c>
      <c r="AD98" s="1">
        <f t="shared" ref="AD98:AD129" si="121">(0.92 - 0.25 * SQRT(AB98 / AC98))^9</f>
        <v>0.15670247509783738</v>
      </c>
      <c r="AE98" s="12">
        <f t="shared" ref="AE98:AE129" si="122">SQRT(2/3 + 36 / P98^3) - SQRT(36 / P98^3)</f>
        <v>0.81642397642269393</v>
      </c>
      <c r="AF98" s="5">
        <f t="shared" ref="AF98:AF129" si="123">IF(O98 &gt; Q98, 8 * (O98 - Q98)^(3/2), 0)</f>
        <v>0.18126670199627465</v>
      </c>
      <c r="AG98" s="5">
        <f t="shared" ref="AG98:AG129" si="124">IF(O98 &gt; Q98, 4 * (O98 - Q98)^(3/2), 0)</f>
        <v>9.0633350998137324E-2</v>
      </c>
      <c r="AH98" s="5">
        <v>5.8487049999999999E-2</v>
      </c>
      <c r="AI98" s="5">
        <f t="shared" ref="AI98:AI129" si="125" xml:space="preserve"> IF(AD98 * AC98 &lt; 0.00001, 0, AD98 * AC98)</f>
        <v>5.0899176134106043E-2</v>
      </c>
      <c r="AJ98" s="5">
        <f t="shared" ref="AJ98:AJ129" si="126" xml:space="preserve"> IF(O98&gt;= 0.19, 40 * AE98* O98^3, (AE98 * EXP(-0.391 / O98)) / 0.465)</f>
        <v>8.0937470098782327E-2</v>
      </c>
      <c r="AK98" s="5">
        <v>9.4061730000000003E-3</v>
      </c>
      <c r="AL98" s="5">
        <f t="shared" ref="AL98:AL129" si="127" xml:space="preserve"> 14 * N98^2.5 / (1 + (T98 / N98)^4)</f>
        <v>4.0874804642677372E-3</v>
      </c>
      <c r="AM98" s="5">
        <f t="shared" ref="AM98:AM129" si="128" xml:space="preserve"> 14 * N98^2.5 / (1 + (U98 / N98)^4)</f>
        <v>3.1464351532277429E-3</v>
      </c>
      <c r="AN98" s="13">
        <f t="shared" ref="AN98:AN129" si="129" xml:space="preserve"> AF98 * SQRT(G98 * D98 * A98^3)</f>
        <v>1.4979123589600353E-2</v>
      </c>
      <c r="AO98" s="13">
        <f t="shared" ref="AO98:AO129" si="130" xml:space="preserve"> AG98 * SQRT(G98 * D98 * A98^3)</f>
        <v>7.4895617948001767E-3</v>
      </c>
      <c r="AP98" s="13">
        <f t="shared" ref="AP98:AP129" si="131">AH98 * SQRT(G98 * D98 * A98^3)</f>
        <v>4.8331256689336157E-3</v>
      </c>
      <c r="AQ98" s="13">
        <f t="shared" ref="AQ98:AQ129" si="132" xml:space="preserve"> AI98 * SQRT(G98 * D98 * A98^3)</f>
        <v>4.2060954467924303E-3</v>
      </c>
      <c r="AR98" s="13">
        <f t="shared" ref="AR98:AR129" si="133" xml:space="preserve"> AJ98 * SQRT(G98 * D98 * A98^3)</f>
        <v>6.6883346708882033E-3</v>
      </c>
      <c r="AS98" s="13">
        <f t="shared" ref="AS98:AS129" si="134" xml:space="preserve"> AK98 * SQRT(G98 * D98 * A98^3)</f>
        <v>7.7728687243980201E-4</v>
      </c>
      <c r="AT98" s="13">
        <f t="shared" ref="AT98:AT129" si="135" xml:space="preserve"> AL98* SQRT(G98 * D98 * A98^3)</f>
        <v>3.3777232315729884E-4</v>
      </c>
      <c r="AU98" s="14">
        <f t="shared" ref="AU98:AU129" si="136" xml:space="preserve"> AM98* SQRT(G98 * D98 * A98^3)</f>
        <v>2.6000826686762419E-4</v>
      </c>
    </row>
    <row r="99" spans="1:47" x14ac:dyDescent="0.35">
      <c r="A99" s="5">
        <v>7.4999999999999997E-2</v>
      </c>
      <c r="B99" s="5">
        <v>0.02</v>
      </c>
      <c r="C99" s="5">
        <f t="shared" si="104"/>
        <v>0.15</v>
      </c>
      <c r="D99" s="5">
        <v>9.81</v>
      </c>
      <c r="E99" s="5">
        <v>1000</v>
      </c>
      <c r="F99" s="5">
        <v>2650</v>
      </c>
      <c r="G99" s="5">
        <v>1.65</v>
      </c>
      <c r="H99" s="5">
        <v>9.9999999999999995E-7</v>
      </c>
      <c r="I99" s="12"/>
      <c r="J99" s="12"/>
      <c r="K99" s="12"/>
      <c r="L99" s="12">
        <f t="shared" ref="L99:L130" si="137">L98 + ($K$2 - $J$2) / 199</f>
        <v>155.71372330402002</v>
      </c>
      <c r="M99" s="5">
        <f t="shared" si="105"/>
        <v>0.79364792713567789</v>
      </c>
      <c r="N99" s="5">
        <f t="shared" si="106"/>
        <v>6.4133165829145702E-2</v>
      </c>
      <c r="O99" s="12">
        <f t="shared" si="107"/>
        <v>0.1282663316582914</v>
      </c>
      <c r="P99" s="5">
        <f t="shared" si="108"/>
        <v>1897.1962050160116</v>
      </c>
      <c r="Q99" s="5">
        <v>4.7E-2</v>
      </c>
      <c r="R99" s="5">
        <f t="shared" si="109"/>
        <v>5.5131715547597548E-2</v>
      </c>
      <c r="S99" s="5">
        <f t="shared" si="110"/>
        <v>5.6000000000000001E-2</v>
      </c>
      <c r="T99" s="5">
        <f t="shared" si="111"/>
        <v>7.977443845417484E-2</v>
      </c>
      <c r="U99" s="5">
        <f t="shared" si="112"/>
        <v>8.7074722341604224E-2</v>
      </c>
      <c r="V99" s="5">
        <f t="shared" si="113"/>
        <v>1.3265434493427586</v>
      </c>
      <c r="W99" s="5">
        <f t="shared" si="114"/>
        <v>0.3895547355705582</v>
      </c>
      <c r="X99" s="5">
        <f t="shared" si="115"/>
        <v>0.34112748995075981</v>
      </c>
      <c r="Y99" s="5">
        <f t="shared" si="116"/>
        <v>7.198463178539324</v>
      </c>
      <c r="Z99" s="12">
        <f t="shared" si="117"/>
        <v>4.5205550599332014</v>
      </c>
      <c r="AA99" s="12">
        <f t="shared" si="118"/>
        <v>2.8405551928254802</v>
      </c>
      <c r="AB99" s="12">
        <f t="shared" si="119"/>
        <v>5.8518612919311673E-2</v>
      </c>
      <c r="AC99" s="1">
        <f t="shared" si="120"/>
        <v>0.33068066248523653</v>
      </c>
      <c r="AD99" s="1">
        <f t="shared" si="121"/>
        <v>0.15834845882160833</v>
      </c>
      <c r="AE99" s="12">
        <f t="shared" si="122"/>
        <v>0.81642397642269393</v>
      </c>
      <c r="AF99" s="5">
        <f t="shared" si="123"/>
        <v>0.18533437225200008</v>
      </c>
      <c r="AG99" s="5">
        <f t="shared" si="124"/>
        <v>9.2667186126000042E-2</v>
      </c>
      <c r="AH99" s="5">
        <v>6.0452640000000002E-2</v>
      </c>
      <c r="AI99" s="5">
        <f t="shared" si="125"/>
        <v>5.2362773266645637E-2</v>
      </c>
      <c r="AJ99" s="5">
        <f t="shared" si="126"/>
        <v>8.3288202486886148E-2</v>
      </c>
      <c r="AK99" s="5">
        <v>9.7353549999999994E-3</v>
      </c>
      <c r="AL99" s="5">
        <f t="shared" si="127"/>
        <v>4.296578786337108E-3</v>
      </c>
      <c r="AM99" s="5">
        <f t="shared" si="128"/>
        <v>3.3156482872072012E-3</v>
      </c>
      <c r="AN99" s="13">
        <f t="shared" si="129"/>
        <v>1.5315258879817665E-2</v>
      </c>
      <c r="AO99" s="13">
        <f t="shared" si="130"/>
        <v>7.6576294399088324E-3</v>
      </c>
      <c r="AP99" s="13">
        <f t="shared" si="131"/>
        <v>4.9955538215520033E-3</v>
      </c>
      <c r="AQ99" s="13">
        <f t="shared" si="132"/>
        <v>4.3270410043176393E-3</v>
      </c>
      <c r="AR99" s="13">
        <f t="shared" si="133"/>
        <v>6.8825893827558424E-3</v>
      </c>
      <c r="AS99" s="13">
        <f t="shared" si="134"/>
        <v>8.0448909881215109E-4</v>
      </c>
      <c r="AT99" s="13">
        <f t="shared" si="135"/>
        <v>3.5505133565193523E-4</v>
      </c>
      <c r="AU99" s="14">
        <f t="shared" si="136"/>
        <v>2.73991333911642E-4</v>
      </c>
    </row>
    <row r="100" spans="1:47" x14ac:dyDescent="0.35">
      <c r="A100" s="5">
        <v>7.4999999999999997E-2</v>
      </c>
      <c r="B100" s="5">
        <v>0.02</v>
      </c>
      <c r="C100" s="5">
        <f t="shared" si="104"/>
        <v>0.15</v>
      </c>
      <c r="D100" s="5">
        <v>9.81</v>
      </c>
      <c r="E100" s="5">
        <v>1000</v>
      </c>
      <c r="F100" s="5">
        <v>2650</v>
      </c>
      <c r="G100" s="5">
        <v>1.65</v>
      </c>
      <c r="H100" s="5">
        <v>9.9999999999999995E-7</v>
      </c>
      <c r="I100" s="12"/>
      <c r="J100" s="12"/>
      <c r="K100" s="12"/>
      <c r="L100" s="12">
        <f t="shared" si="137"/>
        <v>157.16257773241199</v>
      </c>
      <c r="M100" s="5">
        <f t="shared" si="105"/>
        <v>0.80103250628140665</v>
      </c>
      <c r="N100" s="5">
        <f t="shared" si="106"/>
        <v>6.4729899497487406E-2</v>
      </c>
      <c r="O100" s="12">
        <f t="shared" si="107"/>
        <v>0.12945979899497481</v>
      </c>
      <c r="P100" s="5">
        <f t="shared" si="108"/>
        <v>1897.1962050160116</v>
      </c>
      <c r="Q100" s="5">
        <v>4.7E-2</v>
      </c>
      <c r="R100" s="5">
        <f t="shared" si="109"/>
        <v>5.5131715547597548E-2</v>
      </c>
      <c r="S100" s="5">
        <f t="shared" si="110"/>
        <v>5.6000000000000001E-2</v>
      </c>
      <c r="T100" s="5">
        <f t="shared" si="111"/>
        <v>7.977443845417484E-2</v>
      </c>
      <c r="U100" s="5">
        <f t="shared" si="112"/>
        <v>8.7074722341604224E-2</v>
      </c>
      <c r="V100" s="5">
        <f t="shared" si="113"/>
        <v>1.3481910132690627</v>
      </c>
      <c r="W100" s="5">
        <f t="shared" si="114"/>
        <v>0.3895547355705582</v>
      </c>
      <c r="X100" s="5">
        <f t="shared" si="115"/>
        <v>0.34112748995075981</v>
      </c>
      <c r="Y100" s="5">
        <f t="shared" si="116"/>
        <v>7.2259919605613261</v>
      </c>
      <c r="Z100" s="12">
        <f t="shared" si="117"/>
        <v>4.5205550599332014</v>
      </c>
      <c r="AA100" s="12">
        <f t="shared" si="118"/>
        <v>2.8646531518803067</v>
      </c>
      <c r="AB100" s="12">
        <f t="shared" si="119"/>
        <v>5.8518612919311673E-2</v>
      </c>
      <c r="AC100" s="1">
        <f t="shared" si="120"/>
        <v>0.33658895957224977</v>
      </c>
      <c r="AD100" s="1">
        <f t="shared" si="121"/>
        <v>0.15997737616229335</v>
      </c>
      <c r="AE100" s="12">
        <f t="shared" si="122"/>
        <v>0.81642397642269393</v>
      </c>
      <c r="AF100" s="5">
        <f t="shared" si="123"/>
        <v>0.18943202190186467</v>
      </c>
      <c r="AG100" s="5">
        <f t="shared" si="124"/>
        <v>9.4716010950932336E-2</v>
      </c>
      <c r="AH100" s="5">
        <v>6.2450579999999999E-2</v>
      </c>
      <c r="AI100" s="5">
        <f t="shared" si="125"/>
        <v>5.3846618597564753E-2</v>
      </c>
      <c r="AJ100" s="5">
        <f t="shared" si="126"/>
        <v>8.5661978726653695E-2</v>
      </c>
      <c r="AK100" s="5">
        <v>1.007047E-2</v>
      </c>
      <c r="AL100" s="5">
        <f t="shared" si="127"/>
        <v>4.5129939844905723E-3</v>
      </c>
      <c r="AM100" s="5">
        <f t="shared" si="128"/>
        <v>3.4914211348767484E-3</v>
      </c>
      <c r="AN100" s="13">
        <f t="shared" si="129"/>
        <v>1.5653871542023357E-2</v>
      </c>
      <c r="AO100" s="13">
        <f t="shared" si="130"/>
        <v>7.8269357710116783E-3</v>
      </c>
      <c r="AP100" s="13">
        <f t="shared" si="131"/>
        <v>5.1606552431314673E-3</v>
      </c>
      <c r="AQ100" s="13">
        <f t="shared" si="132"/>
        <v>4.4496597884346777E-3</v>
      </c>
      <c r="AR100" s="13">
        <f t="shared" si="133"/>
        <v>7.0787483423327959E-3</v>
      </c>
      <c r="AS100" s="13">
        <f t="shared" si="134"/>
        <v>8.3218160353832021E-4</v>
      </c>
      <c r="AT100" s="13">
        <f t="shared" si="135"/>
        <v>3.7293498424325353E-4</v>
      </c>
      <c r="AU100" s="14">
        <f t="shared" si="136"/>
        <v>2.8851646831273164E-4</v>
      </c>
    </row>
    <row r="101" spans="1:47" x14ac:dyDescent="0.35">
      <c r="A101" s="5">
        <v>7.4999999999999997E-2</v>
      </c>
      <c r="B101" s="5">
        <v>0.02</v>
      </c>
      <c r="C101" s="5">
        <f t="shared" si="104"/>
        <v>0.15</v>
      </c>
      <c r="D101" s="5">
        <v>9.81</v>
      </c>
      <c r="E101" s="5">
        <v>1000</v>
      </c>
      <c r="F101" s="5">
        <v>2650</v>
      </c>
      <c r="G101" s="5">
        <v>1.65</v>
      </c>
      <c r="H101" s="5">
        <v>9.9999999999999995E-7</v>
      </c>
      <c r="I101" s="12"/>
      <c r="J101" s="12"/>
      <c r="K101" s="12"/>
      <c r="L101" s="12">
        <f t="shared" si="137"/>
        <v>158.61143216080396</v>
      </c>
      <c r="M101" s="5">
        <f t="shared" si="105"/>
        <v>0.80841708542713531</v>
      </c>
      <c r="N101" s="5">
        <f t="shared" si="106"/>
        <v>6.5326633165829123E-2</v>
      </c>
      <c r="O101" s="12">
        <f t="shared" si="107"/>
        <v>0.13065326633165825</v>
      </c>
      <c r="P101" s="5">
        <f t="shared" si="108"/>
        <v>1897.1962050160116</v>
      </c>
      <c r="Q101" s="5">
        <v>4.7E-2</v>
      </c>
      <c r="R101" s="5">
        <f t="shared" si="109"/>
        <v>5.5131715547597548E-2</v>
      </c>
      <c r="S101" s="5">
        <f t="shared" si="110"/>
        <v>5.6000000000000001E-2</v>
      </c>
      <c r="T101" s="5">
        <f t="shared" si="111"/>
        <v>7.977443845417484E-2</v>
      </c>
      <c r="U101" s="5">
        <f t="shared" si="112"/>
        <v>8.7074722341604224E-2</v>
      </c>
      <c r="V101" s="5">
        <f t="shared" si="113"/>
        <v>1.3698385771953667</v>
      </c>
      <c r="W101" s="5">
        <f t="shared" si="114"/>
        <v>0.3895547355705582</v>
      </c>
      <c r="X101" s="5">
        <f t="shared" si="115"/>
        <v>0.34112748995075981</v>
      </c>
      <c r="Y101" s="5">
        <f t="shared" si="116"/>
        <v>7.2531954195509005</v>
      </c>
      <c r="Z101" s="12">
        <f t="shared" si="117"/>
        <v>4.5205550599332014</v>
      </c>
      <c r="AA101" s="12">
        <f t="shared" si="118"/>
        <v>2.88866129176149</v>
      </c>
      <c r="AB101" s="12">
        <f t="shared" si="119"/>
        <v>5.8518612919311673E-2</v>
      </c>
      <c r="AC101" s="1">
        <f t="shared" si="120"/>
        <v>0.34253881105037653</v>
      </c>
      <c r="AD101" s="1">
        <f t="shared" si="121"/>
        <v>0.1615894236370414</v>
      </c>
      <c r="AE101" s="12">
        <f t="shared" si="122"/>
        <v>0.81642397642269393</v>
      </c>
      <c r="AF101" s="5">
        <f t="shared" si="123"/>
        <v>0.19355943319287378</v>
      </c>
      <c r="AG101" s="5">
        <f t="shared" si="124"/>
        <v>9.6779716596436888E-2</v>
      </c>
      <c r="AH101" s="5">
        <v>6.4480819999999994E-2</v>
      </c>
      <c r="AI101" s="5">
        <f t="shared" si="125"/>
        <v>5.5350649050947776E-2</v>
      </c>
      <c r="AJ101" s="5">
        <f t="shared" si="126"/>
        <v>8.8058188262722922E-2</v>
      </c>
      <c r="AK101" s="5">
        <v>1.041154E-2</v>
      </c>
      <c r="AL101" s="5">
        <f t="shared" si="127"/>
        <v>4.7368199854993893E-3</v>
      </c>
      <c r="AM101" s="5">
        <f t="shared" si="128"/>
        <v>3.6738786275632217E-3</v>
      </c>
      <c r="AN101" s="13">
        <f t="shared" si="129"/>
        <v>1.599494358201892E-2</v>
      </c>
      <c r="AO101" s="13">
        <f t="shared" si="130"/>
        <v>7.9974717910094601E-3</v>
      </c>
      <c r="AP101" s="13">
        <f t="shared" si="131"/>
        <v>5.3284258018807254E-3</v>
      </c>
      <c r="AQ101" s="13">
        <f t="shared" si="132"/>
        <v>4.5739465868131803E-3</v>
      </c>
      <c r="AR101" s="13">
        <f t="shared" si="133"/>
        <v>7.2767610958725908E-3</v>
      </c>
      <c r="AS101" s="13">
        <f t="shared" si="134"/>
        <v>8.6036620460647445E-4</v>
      </c>
      <c r="AT101" s="13">
        <f t="shared" si="135"/>
        <v>3.9143103064755115E-4</v>
      </c>
      <c r="AU101" s="14">
        <f t="shared" si="136"/>
        <v>3.0359399387424072E-4</v>
      </c>
    </row>
    <row r="102" spans="1:47" x14ac:dyDescent="0.35">
      <c r="A102" s="5">
        <v>7.4999999999999997E-2</v>
      </c>
      <c r="B102" s="5">
        <v>0.02</v>
      </c>
      <c r="C102" s="5">
        <f t="shared" si="104"/>
        <v>0.15</v>
      </c>
      <c r="D102" s="5">
        <v>9.81</v>
      </c>
      <c r="E102" s="5">
        <v>1000</v>
      </c>
      <c r="F102" s="5">
        <v>2650</v>
      </c>
      <c r="G102" s="5">
        <v>1.65</v>
      </c>
      <c r="H102" s="5">
        <v>9.9999999999999995E-7</v>
      </c>
      <c r="I102" s="12"/>
      <c r="J102" s="12"/>
      <c r="K102" s="12"/>
      <c r="L102" s="12">
        <f t="shared" si="137"/>
        <v>160.06028658919593</v>
      </c>
      <c r="M102" s="5">
        <f t="shared" si="105"/>
        <v>0.81580166457286396</v>
      </c>
      <c r="N102" s="5">
        <f t="shared" si="106"/>
        <v>6.5923366834170841E-2</v>
      </c>
      <c r="O102" s="12">
        <f t="shared" si="107"/>
        <v>0.13184673366834168</v>
      </c>
      <c r="P102" s="5">
        <f t="shared" si="108"/>
        <v>1897.1962050160116</v>
      </c>
      <c r="Q102" s="5">
        <v>4.7E-2</v>
      </c>
      <c r="R102" s="5">
        <f t="shared" si="109"/>
        <v>5.5131715547597548E-2</v>
      </c>
      <c r="S102" s="5">
        <f t="shared" si="110"/>
        <v>5.6000000000000001E-2</v>
      </c>
      <c r="T102" s="5">
        <f t="shared" si="111"/>
        <v>7.977443845417484E-2</v>
      </c>
      <c r="U102" s="5">
        <f t="shared" si="112"/>
        <v>8.7074722341604224E-2</v>
      </c>
      <c r="V102" s="5">
        <f t="shared" si="113"/>
        <v>1.3914861411216708</v>
      </c>
      <c r="W102" s="5">
        <f t="shared" si="114"/>
        <v>0.3895547355705582</v>
      </c>
      <c r="X102" s="5">
        <f t="shared" si="115"/>
        <v>0.34112748995075981</v>
      </c>
      <c r="Y102" s="5">
        <f t="shared" si="116"/>
        <v>7.2800796653352657</v>
      </c>
      <c r="Z102" s="12">
        <f t="shared" si="117"/>
        <v>4.5205550599332014</v>
      </c>
      <c r="AA102" s="12">
        <f t="shared" si="118"/>
        <v>2.9125804284307359</v>
      </c>
      <c r="AB102" s="12">
        <f t="shared" si="119"/>
        <v>5.8518612919311673E-2</v>
      </c>
      <c r="AC102" s="1">
        <f t="shared" si="120"/>
        <v>0.34853002268770017</v>
      </c>
      <c r="AD102" s="1">
        <f t="shared" si="121"/>
        <v>0.16318479850516332</v>
      </c>
      <c r="AE102" s="12">
        <f t="shared" si="122"/>
        <v>0.81642397642269393</v>
      </c>
      <c r="AF102" s="5">
        <f t="shared" si="123"/>
        <v>0.19771639304918581</v>
      </c>
      <c r="AG102" s="5">
        <f t="shared" si="124"/>
        <v>9.8858196524592906E-2</v>
      </c>
      <c r="AH102" s="5">
        <v>6.6543329999999998E-2</v>
      </c>
      <c r="AI102" s="5">
        <f t="shared" si="125"/>
        <v>5.6874801525292354E-2</v>
      </c>
      <c r="AJ102" s="5">
        <f t="shared" si="126"/>
        <v>9.0476225797465865E-2</v>
      </c>
      <c r="AK102" s="5">
        <v>1.075855E-2</v>
      </c>
      <c r="AL102" s="5">
        <f t="shared" si="127"/>
        <v>4.9681460306040979E-3</v>
      </c>
      <c r="AM102" s="5">
        <f t="shared" si="128"/>
        <v>3.8631427727384522E-3</v>
      </c>
      <c r="AN102" s="13">
        <f t="shared" si="129"/>
        <v>1.6338457392106251E-2</v>
      </c>
      <c r="AO102" s="13">
        <f t="shared" si="130"/>
        <v>8.1692286960531255E-3</v>
      </c>
      <c r="AP102" s="13">
        <f t="shared" si="131"/>
        <v>5.4988630187250056E-3</v>
      </c>
      <c r="AQ102" s="13">
        <f t="shared" si="132"/>
        <v>4.6998961850083952E-3</v>
      </c>
      <c r="AR102" s="13">
        <f t="shared" si="133"/>
        <v>7.4765776241059534E-3</v>
      </c>
      <c r="AS102" s="13">
        <f t="shared" si="134"/>
        <v>8.890416624792284E-4</v>
      </c>
      <c r="AT102" s="13">
        <f t="shared" si="135"/>
        <v>4.1054684938842567E-4</v>
      </c>
      <c r="AU102" s="14">
        <f t="shared" si="136"/>
        <v>3.1923399278434452E-4</v>
      </c>
    </row>
    <row r="103" spans="1:47" x14ac:dyDescent="0.35">
      <c r="A103" s="5">
        <v>7.4999999999999997E-2</v>
      </c>
      <c r="B103" s="5">
        <v>0.02</v>
      </c>
      <c r="C103" s="5">
        <f t="shared" si="104"/>
        <v>0.15</v>
      </c>
      <c r="D103" s="5">
        <v>9.81</v>
      </c>
      <c r="E103" s="5">
        <v>1000</v>
      </c>
      <c r="F103" s="5">
        <v>2650</v>
      </c>
      <c r="G103" s="5">
        <v>1.65</v>
      </c>
      <c r="H103" s="5">
        <v>9.9999999999999995E-7</v>
      </c>
      <c r="I103" s="12"/>
      <c r="J103" s="12"/>
      <c r="K103" s="12"/>
      <c r="L103" s="12">
        <f t="shared" si="137"/>
        <v>161.50914101758789</v>
      </c>
      <c r="M103" s="5">
        <f t="shared" si="105"/>
        <v>0.82318624371859261</v>
      </c>
      <c r="N103" s="5">
        <f t="shared" si="106"/>
        <v>6.6520100502512544E-2</v>
      </c>
      <c r="O103" s="12">
        <f t="shared" si="107"/>
        <v>0.13304020100502509</v>
      </c>
      <c r="P103" s="5">
        <f t="shared" si="108"/>
        <v>1897.1962050160116</v>
      </c>
      <c r="Q103" s="5">
        <v>4.7E-2</v>
      </c>
      <c r="R103" s="5">
        <f t="shared" si="109"/>
        <v>5.5131715547597548E-2</v>
      </c>
      <c r="S103" s="5">
        <f t="shared" si="110"/>
        <v>5.6000000000000001E-2</v>
      </c>
      <c r="T103" s="5">
        <f t="shared" si="111"/>
        <v>7.977443845417484E-2</v>
      </c>
      <c r="U103" s="5">
        <f t="shared" si="112"/>
        <v>8.7074722341604224E-2</v>
      </c>
      <c r="V103" s="5">
        <f t="shared" si="113"/>
        <v>1.4131337050479744</v>
      </c>
      <c r="W103" s="5">
        <f t="shared" si="114"/>
        <v>0.3895547355705582</v>
      </c>
      <c r="X103" s="5">
        <f t="shared" si="115"/>
        <v>0.34112748995075981</v>
      </c>
      <c r="Y103" s="5">
        <f t="shared" si="116"/>
        <v>7.3066506678578964</v>
      </c>
      <c r="Z103" s="12">
        <f t="shared" si="117"/>
        <v>4.5205550599332014</v>
      </c>
      <c r="AA103" s="12">
        <f t="shared" si="118"/>
        <v>2.9364113754602892</v>
      </c>
      <c r="AB103" s="12">
        <f t="shared" si="119"/>
        <v>5.8518612919311673E-2</v>
      </c>
      <c r="AC103" s="1">
        <f t="shared" si="120"/>
        <v>0.35456240349914059</v>
      </c>
      <c r="AD103" s="1">
        <f t="shared" si="121"/>
        <v>0.1647636984583187</v>
      </c>
      <c r="AE103" s="12">
        <f t="shared" si="122"/>
        <v>0.81642397642269393</v>
      </c>
      <c r="AF103" s="5">
        <f t="shared" si="123"/>
        <v>0.2019026929070353</v>
      </c>
      <c r="AG103" s="5">
        <f t="shared" si="124"/>
        <v>0.10095134645351765</v>
      </c>
      <c r="AH103" s="5">
        <v>6.8638050000000006E-2</v>
      </c>
      <c r="AI103" s="5">
        <f t="shared" si="125"/>
        <v>5.841901293478912E-2</v>
      </c>
      <c r="AJ103" s="5">
        <f t="shared" si="126"/>
        <v>9.2915491653389498E-2</v>
      </c>
      <c r="AK103" s="5">
        <v>1.111154E-2</v>
      </c>
      <c r="AL103" s="5">
        <f t="shared" si="127"/>
        <v>5.2070566065306276E-3</v>
      </c>
      <c r="AM103" s="5">
        <f t="shared" si="128"/>
        <v>4.0593324870571582E-3</v>
      </c>
      <c r="AN103" s="13">
        <f t="shared" si="129"/>
        <v>1.6684395737446383E-2</v>
      </c>
      <c r="AO103" s="13">
        <f t="shared" si="130"/>
        <v>8.3421978687231915E-3</v>
      </c>
      <c r="AP103" s="13">
        <f t="shared" si="131"/>
        <v>5.6719619355147678E-3</v>
      </c>
      <c r="AQ103" s="13">
        <f t="shared" si="132"/>
        <v>4.8275033698723779E-3</v>
      </c>
      <c r="AR103" s="13">
        <f t="shared" si="133"/>
        <v>7.678148372188099E-3</v>
      </c>
      <c r="AS103" s="13">
        <f t="shared" si="134"/>
        <v>9.1821128258960964E-4</v>
      </c>
      <c r="AT103" s="13">
        <f t="shared" si="135"/>
        <v>4.3028942209623404E-4</v>
      </c>
      <c r="AU103" s="14">
        <f t="shared" si="136"/>
        <v>3.3544629181899392E-4</v>
      </c>
    </row>
    <row r="104" spans="1:47" x14ac:dyDescent="0.35">
      <c r="A104" s="5">
        <v>7.4999999999999997E-2</v>
      </c>
      <c r="B104" s="5">
        <v>0.02</v>
      </c>
      <c r="C104" s="5">
        <f t="shared" si="104"/>
        <v>0.15</v>
      </c>
      <c r="D104" s="5">
        <v>9.81</v>
      </c>
      <c r="E104" s="5">
        <v>1000</v>
      </c>
      <c r="F104" s="5">
        <v>2650</v>
      </c>
      <c r="G104" s="5">
        <v>1.65</v>
      </c>
      <c r="H104" s="5">
        <v>9.9999999999999995E-7</v>
      </c>
      <c r="I104" s="12"/>
      <c r="J104" s="12"/>
      <c r="K104" s="12"/>
      <c r="L104" s="12">
        <f t="shared" si="137"/>
        <v>162.95799544597986</v>
      </c>
      <c r="M104" s="5">
        <f t="shared" si="105"/>
        <v>0.83057082286432138</v>
      </c>
      <c r="N104" s="5">
        <f t="shared" si="106"/>
        <v>6.7116834170854262E-2</v>
      </c>
      <c r="O104" s="12">
        <f t="shared" si="107"/>
        <v>0.13423366834170852</v>
      </c>
      <c r="P104" s="5">
        <f t="shared" si="108"/>
        <v>1897.1962050160116</v>
      </c>
      <c r="Q104" s="5">
        <v>4.7E-2</v>
      </c>
      <c r="R104" s="5">
        <f t="shared" si="109"/>
        <v>5.5131715547597548E-2</v>
      </c>
      <c r="S104" s="5">
        <f t="shared" si="110"/>
        <v>5.6000000000000001E-2</v>
      </c>
      <c r="T104" s="5">
        <f t="shared" si="111"/>
        <v>7.977443845417484E-2</v>
      </c>
      <c r="U104" s="5">
        <f t="shared" si="112"/>
        <v>8.7074722341604224E-2</v>
      </c>
      <c r="V104" s="5">
        <f t="shared" si="113"/>
        <v>1.4347812689742785</v>
      </c>
      <c r="W104" s="5">
        <f t="shared" si="114"/>
        <v>0.3895547355705582</v>
      </c>
      <c r="X104" s="5">
        <f t="shared" si="115"/>
        <v>0.34112748995075981</v>
      </c>
      <c r="Y104" s="5">
        <f t="shared" si="116"/>
        <v>7.3329142606154027</v>
      </c>
      <c r="Z104" s="12">
        <f t="shared" si="117"/>
        <v>4.5205550599332014</v>
      </c>
      <c r="AA104" s="12">
        <f t="shared" si="118"/>
        <v>2.9601549435501089</v>
      </c>
      <c r="AB104" s="12">
        <f t="shared" si="119"/>
        <v>5.8518612919311673E-2</v>
      </c>
      <c r="AC104" s="1">
        <f t="shared" si="120"/>
        <v>0.36063576567469025</v>
      </c>
      <c r="AD104" s="1">
        <f t="shared" si="121"/>
        <v>0.16632632133785516</v>
      </c>
      <c r="AE104" s="12">
        <f t="shared" si="122"/>
        <v>0.81642397642269393</v>
      </c>
      <c r="AF104" s="5">
        <f t="shared" si="123"/>
        <v>0.20611812855769682</v>
      </c>
      <c r="AG104" s="5">
        <f t="shared" si="124"/>
        <v>0.10305906427884841</v>
      </c>
      <c r="AH104" s="5">
        <v>7.0764939999999998E-2</v>
      </c>
      <c r="AI104" s="5">
        <f t="shared" si="125"/>
        <v>5.9983220247531964E-2</v>
      </c>
      <c r="AJ104" s="5">
        <f t="shared" si="126"/>
        <v>9.5375392103982978E-2</v>
      </c>
      <c r="AK104" s="5">
        <v>1.147049E-2</v>
      </c>
      <c r="AL104" s="5">
        <f t="shared" si="127"/>
        <v>5.453631392896798E-3</v>
      </c>
      <c r="AM104" s="5">
        <f t="shared" si="128"/>
        <v>4.2625634389156326E-3</v>
      </c>
      <c r="AN104" s="13">
        <f t="shared" si="129"/>
        <v>1.7032741743082672E-2</v>
      </c>
      <c r="AO104" s="13">
        <f t="shared" si="130"/>
        <v>8.5163708715413362E-3</v>
      </c>
      <c r="AP104" s="13">
        <f t="shared" si="131"/>
        <v>5.8477192468169821E-3</v>
      </c>
      <c r="AQ104" s="13">
        <f t="shared" si="132"/>
        <v>4.9567629327115208E-3</v>
      </c>
      <c r="AR104" s="13">
        <f t="shared" si="133"/>
        <v>7.8814242770385689E-3</v>
      </c>
      <c r="AS104" s="13">
        <f t="shared" si="134"/>
        <v>9.4787341222110459E-4</v>
      </c>
      <c r="AT104" s="13">
        <f t="shared" si="135"/>
        <v>4.5066533316198552E-4</v>
      </c>
      <c r="AU104" s="14">
        <f t="shared" si="136"/>
        <v>3.5224044933162283E-4</v>
      </c>
    </row>
    <row r="105" spans="1:47" x14ac:dyDescent="0.35">
      <c r="A105" s="5">
        <v>7.4999999999999997E-2</v>
      </c>
      <c r="B105" s="5">
        <v>0.02</v>
      </c>
      <c r="C105" s="5">
        <f t="shared" si="104"/>
        <v>0.15</v>
      </c>
      <c r="D105" s="5">
        <v>9.81</v>
      </c>
      <c r="E105" s="5">
        <v>1000</v>
      </c>
      <c r="F105" s="5">
        <v>2650</v>
      </c>
      <c r="G105" s="5">
        <v>1.65</v>
      </c>
      <c r="H105" s="5">
        <v>9.9999999999999995E-7</v>
      </c>
      <c r="I105" s="12"/>
      <c r="J105" s="12"/>
      <c r="K105" s="12"/>
      <c r="L105" s="12">
        <f t="shared" si="137"/>
        <v>164.40684987437183</v>
      </c>
      <c r="M105" s="5">
        <f t="shared" si="105"/>
        <v>0.83795540201005003</v>
      </c>
      <c r="N105" s="5">
        <f t="shared" si="106"/>
        <v>6.7713567839195965E-2</v>
      </c>
      <c r="O105" s="12">
        <f t="shared" si="107"/>
        <v>0.13542713567839193</v>
      </c>
      <c r="P105" s="5">
        <f t="shared" si="108"/>
        <v>1897.1962050160116</v>
      </c>
      <c r="Q105" s="5">
        <v>4.7E-2</v>
      </c>
      <c r="R105" s="5">
        <f t="shared" si="109"/>
        <v>5.5131715547597548E-2</v>
      </c>
      <c r="S105" s="5">
        <f t="shared" si="110"/>
        <v>5.6000000000000001E-2</v>
      </c>
      <c r="T105" s="5">
        <f t="shared" si="111"/>
        <v>7.977443845417484E-2</v>
      </c>
      <c r="U105" s="5">
        <f t="shared" si="112"/>
        <v>8.7074722341604224E-2</v>
      </c>
      <c r="V105" s="5">
        <f t="shared" si="113"/>
        <v>1.4564288329005821</v>
      </c>
      <c r="W105" s="5">
        <f t="shared" si="114"/>
        <v>0.3895547355705582</v>
      </c>
      <c r="X105" s="5">
        <f t="shared" si="115"/>
        <v>0.34112748995075981</v>
      </c>
      <c r="Y105" s="5">
        <f t="shared" si="116"/>
        <v>7.3588761440187271</v>
      </c>
      <c r="Z105" s="12">
        <f t="shared" si="117"/>
        <v>4.5205550599332014</v>
      </c>
      <c r="AA105" s="12">
        <f t="shared" si="118"/>
        <v>2.9838119400825787</v>
      </c>
      <c r="AB105" s="12">
        <f t="shared" si="119"/>
        <v>5.8518612919311673E-2</v>
      </c>
      <c r="AC105" s="1">
        <f t="shared" si="120"/>
        <v>0.36674992450912652</v>
      </c>
      <c r="AD105" s="1">
        <f t="shared" si="121"/>
        <v>0.1678728648772341</v>
      </c>
      <c r="AE105" s="12">
        <f t="shared" si="122"/>
        <v>0.81642397642269393</v>
      </c>
      <c r="AF105" s="5">
        <f t="shared" si="123"/>
        <v>0.21036249999799719</v>
      </c>
      <c r="AG105" s="5">
        <f t="shared" si="124"/>
        <v>0.1051812499989986</v>
      </c>
      <c r="AH105" s="5">
        <v>7.2923959999999996E-2</v>
      </c>
      <c r="AI105" s="5">
        <f t="shared" si="125"/>
        <v>6.1567360520856401E-2</v>
      </c>
      <c r="AJ105" s="5">
        <f t="shared" si="126"/>
        <v>9.7855339674706665E-2</v>
      </c>
      <c r="AK105" s="5">
        <v>1.1835429999999999E-2</v>
      </c>
      <c r="AL105" s="5">
        <f t="shared" si="127"/>
        <v>5.7079452258695703E-3</v>
      </c>
      <c r="AM105" s="5">
        <f t="shared" si="128"/>
        <v>4.4729479010645178E-3</v>
      </c>
      <c r="AN105" s="13">
        <f t="shared" si="129"/>
        <v>1.7383478881587769E-2</v>
      </c>
      <c r="AO105" s="13">
        <f t="shared" si="130"/>
        <v>8.6917394407938844E-3</v>
      </c>
      <c r="AP105" s="13">
        <f t="shared" si="131"/>
        <v>6.0261316471986234E-3</v>
      </c>
      <c r="AQ105" s="13">
        <f t="shared" si="132"/>
        <v>5.0876696722067741E-3</v>
      </c>
      <c r="AR105" s="13">
        <f t="shared" si="133"/>
        <v>8.0863567922137107E-3</v>
      </c>
      <c r="AS105" s="13">
        <f t="shared" si="134"/>
        <v>9.7803053044848371E-4</v>
      </c>
      <c r="AT105" s="13">
        <f t="shared" si="135"/>
        <v>4.7168076673412843E-4</v>
      </c>
      <c r="AU105" s="14">
        <f t="shared" si="136"/>
        <v>3.6962574307368315E-4</v>
      </c>
    </row>
    <row r="106" spans="1:47" x14ac:dyDescent="0.35">
      <c r="A106" s="5">
        <v>7.4999999999999997E-2</v>
      </c>
      <c r="B106" s="5">
        <v>0.02</v>
      </c>
      <c r="C106" s="5">
        <f t="shared" si="104"/>
        <v>0.15</v>
      </c>
      <c r="D106" s="5">
        <v>9.81</v>
      </c>
      <c r="E106" s="5">
        <v>1000</v>
      </c>
      <c r="F106" s="5">
        <v>2650</v>
      </c>
      <c r="G106" s="5">
        <v>1.65</v>
      </c>
      <c r="H106" s="5">
        <v>9.9999999999999995E-7</v>
      </c>
      <c r="I106" s="12"/>
      <c r="J106" s="12"/>
      <c r="K106" s="12"/>
      <c r="L106" s="12">
        <f t="shared" si="137"/>
        <v>165.8557043027638</v>
      </c>
      <c r="M106" s="5">
        <f t="shared" si="105"/>
        <v>0.84533998115577869</v>
      </c>
      <c r="N106" s="5">
        <f t="shared" si="106"/>
        <v>6.8310301507537682E-2</v>
      </c>
      <c r="O106" s="12">
        <f t="shared" si="107"/>
        <v>0.13662060301507536</v>
      </c>
      <c r="P106" s="5">
        <f t="shared" si="108"/>
        <v>1897.1962050160116</v>
      </c>
      <c r="Q106" s="5">
        <v>4.7E-2</v>
      </c>
      <c r="R106" s="5">
        <f t="shared" si="109"/>
        <v>5.5131715547597548E-2</v>
      </c>
      <c r="S106" s="5">
        <f t="shared" si="110"/>
        <v>5.6000000000000001E-2</v>
      </c>
      <c r="T106" s="5">
        <f t="shared" si="111"/>
        <v>7.977443845417484E-2</v>
      </c>
      <c r="U106" s="5">
        <f t="shared" si="112"/>
        <v>8.7074722341604224E-2</v>
      </c>
      <c r="V106" s="5">
        <f t="shared" si="113"/>
        <v>1.4780763968268862</v>
      </c>
      <c r="W106" s="5">
        <f t="shared" si="114"/>
        <v>0.3895547355705582</v>
      </c>
      <c r="X106" s="5">
        <f t="shared" si="115"/>
        <v>0.34112748995075981</v>
      </c>
      <c r="Y106" s="5">
        <f t="shared" si="116"/>
        <v>7.3845418886791574</v>
      </c>
      <c r="Z106" s="12">
        <f t="shared" si="117"/>
        <v>4.5205550599332014</v>
      </c>
      <c r="AA106" s="12">
        <f t="shared" si="118"/>
        <v>3.0073831687124581</v>
      </c>
      <c r="AB106" s="12">
        <f t="shared" si="119"/>
        <v>5.8518612919311673E-2</v>
      </c>
      <c r="AC106" s="1">
        <f t="shared" si="120"/>
        <v>0.372904698333199</v>
      </c>
      <c r="AD106" s="1">
        <f t="shared" si="121"/>
        <v>0.16940352646762932</v>
      </c>
      <c r="AE106" s="12">
        <f t="shared" si="122"/>
        <v>0.81642397642269393</v>
      </c>
      <c r="AF106" s="5">
        <f t="shared" si="123"/>
        <v>0.21463561128791345</v>
      </c>
      <c r="AG106" s="5">
        <f t="shared" si="124"/>
        <v>0.10731780564395672</v>
      </c>
      <c r="AH106" s="5">
        <v>7.5115070000000006E-2</v>
      </c>
      <c r="AI106" s="5">
        <f t="shared" si="125"/>
        <v>6.3171370933991403E-2</v>
      </c>
      <c r="AJ106" s="5">
        <f t="shared" si="126"/>
        <v>0.10035475341575925</v>
      </c>
      <c r="AK106" s="5">
        <v>1.2206359999999999E-2</v>
      </c>
      <c r="AL106" s="5">
        <f t="shared" si="127"/>
        <v>5.9700680778397644E-3</v>
      </c>
      <c r="AM106" s="5">
        <f t="shared" si="128"/>
        <v>4.6905946137510181E-3</v>
      </c>
      <c r="AN106" s="13">
        <f t="shared" si="129"/>
        <v>1.7736590961296088E-2</v>
      </c>
      <c r="AO106" s="13">
        <f t="shared" si="130"/>
        <v>8.8682954806480439E-3</v>
      </c>
      <c r="AP106" s="13">
        <f t="shared" si="131"/>
        <v>6.2071958312266634E-3</v>
      </c>
      <c r="AQ106" s="13">
        <f t="shared" si="132"/>
        <v>5.2202183971118525E-3</v>
      </c>
      <c r="AR106" s="13">
        <f t="shared" si="133"/>
        <v>8.2928979104470047E-3</v>
      </c>
      <c r="AS106" s="13">
        <f t="shared" si="134"/>
        <v>1.008682637271747E-3</v>
      </c>
      <c r="AT106" s="13">
        <f t="shared" si="135"/>
        <v>4.933415050389537E-4</v>
      </c>
      <c r="AU106" s="14">
        <f t="shared" si="136"/>
        <v>3.8761115888528839E-4</v>
      </c>
    </row>
    <row r="107" spans="1:47" x14ac:dyDescent="0.35">
      <c r="A107" s="5">
        <v>7.4999999999999997E-2</v>
      </c>
      <c r="B107" s="5">
        <v>0.02</v>
      </c>
      <c r="C107" s="5">
        <f t="shared" si="104"/>
        <v>0.15</v>
      </c>
      <c r="D107" s="5">
        <v>9.81</v>
      </c>
      <c r="E107" s="5">
        <v>1000</v>
      </c>
      <c r="F107" s="5">
        <v>2650</v>
      </c>
      <c r="G107" s="5">
        <v>1.65</v>
      </c>
      <c r="H107" s="5">
        <v>9.9999999999999995E-7</v>
      </c>
      <c r="I107" s="12"/>
      <c r="J107" s="12"/>
      <c r="K107" s="12"/>
      <c r="L107" s="12">
        <f t="shared" si="137"/>
        <v>167.30455873115577</v>
      </c>
      <c r="M107" s="5">
        <f t="shared" si="105"/>
        <v>0.85272456030150734</v>
      </c>
      <c r="N107" s="5">
        <f t="shared" si="106"/>
        <v>6.89070351758794E-2</v>
      </c>
      <c r="O107" s="12">
        <f t="shared" si="107"/>
        <v>0.1378140703517588</v>
      </c>
      <c r="P107" s="5">
        <f t="shared" si="108"/>
        <v>1897.1962050160116</v>
      </c>
      <c r="Q107" s="5">
        <v>4.7E-2</v>
      </c>
      <c r="R107" s="5">
        <f t="shared" si="109"/>
        <v>5.5131715547597548E-2</v>
      </c>
      <c r="S107" s="5">
        <f t="shared" si="110"/>
        <v>5.6000000000000001E-2</v>
      </c>
      <c r="T107" s="5">
        <f t="shared" si="111"/>
        <v>7.977443845417484E-2</v>
      </c>
      <c r="U107" s="5">
        <f t="shared" si="112"/>
        <v>8.7074722341604224E-2</v>
      </c>
      <c r="V107" s="5">
        <f t="shared" si="113"/>
        <v>1.4997239607531907</v>
      </c>
      <c r="W107" s="5">
        <f t="shared" si="114"/>
        <v>0.3895547355705582</v>
      </c>
      <c r="X107" s="5">
        <f t="shared" si="115"/>
        <v>0.34112748995075981</v>
      </c>
      <c r="Y107" s="5">
        <f t="shared" si="116"/>
        <v>7.4099169386196726</v>
      </c>
      <c r="Z107" s="12">
        <f t="shared" si="117"/>
        <v>4.5205550599332014</v>
      </c>
      <c r="AA107" s="12">
        <f t="shared" si="118"/>
        <v>3.030869428989849</v>
      </c>
      <c r="AB107" s="12">
        <f t="shared" si="119"/>
        <v>5.8518612919311673E-2</v>
      </c>
      <c r="AC107" s="1">
        <f t="shared" si="120"/>
        <v>0.37909990844628189</v>
      </c>
      <c r="AD107" s="1">
        <f t="shared" si="121"/>
        <v>0.17091850294492769</v>
      </c>
      <c r="AE107" s="12">
        <f t="shared" si="122"/>
        <v>0.81642397642269393</v>
      </c>
      <c r="AF107" s="5">
        <f t="shared" si="123"/>
        <v>0.21893727041483194</v>
      </c>
      <c r="AG107" s="5">
        <f t="shared" si="124"/>
        <v>0.10946863520741597</v>
      </c>
      <c r="AH107" s="5">
        <v>7.7338210000000004E-2</v>
      </c>
      <c r="AI107" s="5">
        <f t="shared" si="125"/>
        <v>6.4795188818197652E-2</v>
      </c>
      <c r="AJ107" s="5">
        <f t="shared" si="126"/>
        <v>0.10287305914818932</v>
      </c>
      <c r="AK107" s="5">
        <v>1.258329E-2</v>
      </c>
      <c r="AL107" s="5">
        <f t="shared" si="127"/>
        <v>6.2400650527918598E-3</v>
      </c>
      <c r="AM107" s="5">
        <f t="shared" si="128"/>
        <v>4.9156086588053576E-3</v>
      </c>
      <c r="AN107" s="13">
        <f t="shared" si="129"/>
        <v>1.8092062115086752E-2</v>
      </c>
      <c r="AO107" s="13">
        <f t="shared" si="130"/>
        <v>9.0460310575433758E-3</v>
      </c>
      <c r="AP107" s="13">
        <f t="shared" si="131"/>
        <v>6.3909068407515595E-3</v>
      </c>
      <c r="AQ107" s="13">
        <f t="shared" si="132"/>
        <v>5.3544039287437388E-3</v>
      </c>
      <c r="AR107" s="13">
        <f t="shared" si="133"/>
        <v>8.5010001839867112E-3</v>
      </c>
      <c r="AS107" s="13">
        <f t="shared" si="134"/>
        <v>1.0398305590491516E-3</v>
      </c>
      <c r="AT107" s="13">
        <f t="shared" si="135"/>
        <v>5.156529279979746E-4</v>
      </c>
      <c r="AU107" s="14">
        <f t="shared" si="136"/>
        <v>4.0620538029024404E-4</v>
      </c>
    </row>
    <row r="108" spans="1:47" x14ac:dyDescent="0.35">
      <c r="A108" s="5">
        <v>7.4999999999999997E-2</v>
      </c>
      <c r="B108" s="5">
        <v>0.02</v>
      </c>
      <c r="C108" s="5">
        <f t="shared" si="104"/>
        <v>0.15</v>
      </c>
      <c r="D108" s="5">
        <v>9.81</v>
      </c>
      <c r="E108" s="5">
        <v>1000</v>
      </c>
      <c r="F108" s="5">
        <v>2650</v>
      </c>
      <c r="G108" s="5">
        <v>1.65</v>
      </c>
      <c r="H108" s="5">
        <v>9.9999999999999995E-7</v>
      </c>
      <c r="I108" s="12"/>
      <c r="J108" s="12"/>
      <c r="K108" s="12"/>
      <c r="L108" s="12">
        <f t="shared" si="137"/>
        <v>168.75341315954773</v>
      </c>
      <c r="M108" s="5">
        <f t="shared" si="105"/>
        <v>0.8601091394472361</v>
      </c>
      <c r="N108" s="5">
        <f t="shared" si="106"/>
        <v>6.9503768844221103E-2</v>
      </c>
      <c r="O108" s="12">
        <f t="shared" si="107"/>
        <v>0.13900753768844221</v>
      </c>
      <c r="P108" s="5">
        <f t="shared" si="108"/>
        <v>1897.1962050160116</v>
      </c>
      <c r="Q108" s="5">
        <v>4.7E-2</v>
      </c>
      <c r="R108" s="5">
        <f t="shared" si="109"/>
        <v>5.5131715547597548E-2</v>
      </c>
      <c r="S108" s="5">
        <f t="shared" si="110"/>
        <v>5.6000000000000001E-2</v>
      </c>
      <c r="T108" s="5">
        <f t="shared" si="111"/>
        <v>7.977443845417484E-2</v>
      </c>
      <c r="U108" s="5">
        <f t="shared" si="112"/>
        <v>8.7074722341604224E-2</v>
      </c>
      <c r="V108" s="5">
        <f t="shared" si="113"/>
        <v>1.5213715246794943</v>
      </c>
      <c r="W108" s="5">
        <f t="shared" si="114"/>
        <v>0.3895547355705582</v>
      </c>
      <c r="X108" s="5">
        <f t="shared" si="115"/>
        <v>0.34112748995075981</v>
      </c>
      <c r="Y108" s="5">
        <f t="shared" si="116"/>
        <v>7.4350066144124005</v>
      </c>
      <c r="Z108" s="12">
        <f t="shared" si="117"/>
        <v>4.5205550599332014</v>
      </c>
      <c r="AA108" s="12">
        <f t="shared" si="118"/>
        <v>3.0542715160141554</v>
      </c>
      <c r="AB108" s="12">
        <f t="shared" si="119"/>
        <v>5.8518612919311673E-2</v>
      </c>
      <c r="AC108" s="1">
        <f t="shared" si="120"/>
        <v>0.38533537905048604</v>
      </c>
      <c r="AD108" s="1">
        <f t="shared" si="121"/>
        <v>0.17241799039649003</v>
      </c>
      <c r="AE108" s="12">
        <f t="shared" si="122"/>
        <v>0.81642397642269393</v>
      </c>
      <c r="AF108" s="5">
        <f t="shared" si="123"/>
        <v>0.22326728916407265</v>
      </c>
      <c r="AG108" s="5">
        <f t="shared" si="124"/>
        <v>0.11163364458203633</v>
      </c>
      <c r="AH108" s="5">
        <v>7.9593339999999999E-2</v>
      </c>
      <c r="AI108" s="5">
        <f t="shared" si="125"/>
        <v>6.6438751684554542E-2</v>
      </c>
      <c r="AJ108" s="5">
        <f t="shared" si="126"/>
        <v>0.10540968968486132</v>
      </c>
      <c r="AK108" s="5">
        <v>1.296623E-2</v>
      </c>
      <c r="AL108" s="5">
        <f t="shared" si="127"/>
        <v>6.5179963969633613E-3</v>
      </c>
      <c r="AM108" s="5">
        <f t="shared" si="128"/>
        <v>5.1480913450242102E-3</v>
      </c>
      <c r="AN108" s="13">
        <f t="shared" si="129"/>
        <v>1.8449876789684277E-2</v>
      </c>
      <c r="AO108" s="13">
        <f t="shared" si="130"/>
        <v>9.2249383948421384E-3</v>
      </c>
      <c r="AP108" s="13">
        <f t="shared" si="131"/>
        <v>6.5772613703402845E-3</v>
      </c>
      <c r="AQ108" s="13">
        <f t="shared" si="132"/>
        <v>5.4902211032788811E-3</v>
      </c>
      <c r="AR108" s="13">
        <f t="shared" si="133"/>
        <v>8.7106167428555592E-3</v>
      </c>
      <c r="AS108" s="13">
        <f t="shared" si="134"/>
        <v>1.0714751221389542E-3</v>
      </c>
      <c r="AT108" s="13">
        <f t="shared" si="135"/>
        <v>5.3862001410877184E-4</v>
      </c>
      <c r="AU108" s="14">
        <f t="shared" si="136"/>
        <v>4.2541677902461307E-4</v>
      </c>
    </row>
    <row r="109" spans="1:47" x14ac:dyDescent="0.35">
      <c r="A109" s="5">
        <v>7.4999999999999997E-2</v>
      </c>
      <c r="B109" s="5">
        <v>0.02</v>
      </c>
      <c r="C109" s="5">
        <f t="shared" si="104"/>
        <v>0.15</v>
      </c>
      <c r="D109" s="5">
        <v>9.81</v>
      </c>
      <c r="E109" s="5">
        <v>1000</v>
      </c>
      <c r="F109" s="5">
        <v>2650</v>
      </c>
      <c r="G109" s="5">
        <v>1.65</v>
      </c>
      <c r="H109" s="5">
        <v>9.9999999999999995E-7</v>
      </c>
      <c r="I109" s="12"/>
      <c r="J109" s="12"/>
      <c r="K109" s="12"/>
      <c r="L109" s="12">
        <f t="shared" si="137"/>
        <v>170.2022675879397</v>
      </c>
      <c r="M109" s="5">
        <f t="shared" si="105"/>
        <v>0.86749371859296476</v>
      </c>
      <c r="N109" s="5">
        <f t="shared" si="106"/>
        <v>7.0100502512562821E-2</v>
      </c>
      <c r="O109" s="12">
        <f t="shared" si="107"/>
        <v>0.14020100502512564</v>
      </c>
      <c r="P109" s="5">
        <f t="shared" si="108"/>
        <v>1897.1962050160116</v>
      </c>
      <c r="Q109" s="5">
        <v>4.7E-2</v>
      </c>
      <c r="R109" s="5">
        <f t="shared" si="109"/>
        <v>5.5131715547597548E-2</v>
      </c>
      <c r="S109" s="5">
        <f t="shared" si="110"/>
        <v>5.6000000000000001E-2</v>
      </c>
      <c r="T109" s="5">
        <f t="shared" si="111"/>
        <v>7.977443845417484E-2</v>
      </c>
      <c r="U109" s="5">
        <f t="shared" si="112"/>
        <v>8.7074722341604224E-2</v>
      </c>
      <c r="V109" s="5">
        <f t="shared" si="113"/>
        <v>1.5430190886057984</v>
      </c>
      <c r="W109" s="5">
        <f t="shared" si="114"/>
        <v>0.3895547355705582</v>
      </c>
      <c r="X109" s="5">
        <f t="shared" si="115"/>
        <v>0.34112748995075981</v>
      </c>
      <c r="Y109" s="5">
        <f t="shared" si="116"/>
        <v>7.4598161162429157</v>
      </c>
      <c r="Z109" s="12">
        <f t="shared" si="117"/>
        <v>4.5205550599332014</v>
      </c>
      <c r="AA109" s="12">
        <f t="shared" si="118"/>
        <v>3.0775902201170715</v>
      </c>
      <c r="AB109" s="12">
        <f t="shared" si="119"/>
        <v>5.8518612919311673E-2</v>
      </c>
      <c r="AC109" s="1">
        <f t="shared" si="120"/>
        <v>0.39161093718621581</v>
      </c>
      <c r="AD109" s="1">
        <f t="shared" si="121"/>
        <v>0.17390218398615942</v>
      </c>
      <c r="AE109" s="12">
        <f t="shared" si="122"/>
        <v>0.81642397642269393</v>
      </c>
      <c r="AF109" s="5">
        <f t="shared" si="123"/>
        <v>0.2276254829953111</v>
      </c>
      <c r="AG109" s="5">
        <f t="shared" si="124"/>
        <v>0.11381274149765555</v>
      </c>
      <c r="AH109" s="5">
        <v>8.1880400000000006E-2</v>
      </c>
      <c r="AI109" s="5">
        <f t="shared" si="125"/>
        <v>6.8101997249549628E-2</v>
      </c>
      <c r="AJ109" s="5">
        <f t="shared" si="126"/>
        <v>0.1079640850277185</v>
      </c>
      <c r="AK109" s="5">
        <v>1.3355179999999999E-2</v>
      </c>
      <c r="AL109" s="5">
        <f t="shared" si="127"/>
        <v>6.8039175243102806E-3</v>
      </c>
      <c r="AM109" s="5">
        <f t="shared" si="128"/>
        <v>5.3881401051399987E-3</v>
      </c>
      <c r="AN109" s="13">
        <f t="shared" si="129"/>
        <v>1.8810019735446572E-2</v>
      </c>
      <c r="AO109" s="13">
        <f t="shared" si="130"/>
        <v>9.4050098677232862E-3</v>
      </c>
      <c r="AP109" s="13">
        <f t="shared" si="131"/>
        <v>6.7662544618432982E-3</v>
      </c>
      <c r="AQ109" s="13">
        <f t="shared" si="132"/>
        <v>5.6276647738678024E-3</v>
      </c>
      <c r="AR109" s="13">
        <f t="shared" si="133"/>
        <v>8.9217013111517474E-3</v>
      </c>
      <c r="AS109" s="13">
        <f t="shared" si="134"/>
        <v>1.1036163265411548E-3</v>
      </c>
      <c r="AT109" s="13">
        <f t="shared" si="135"/>
        <v>5.622473425493554E-4</v>
      </c>
      <c r="AU109" s="14">
        <f t="shared" si="136"/>
        <v>4.4525340652268834E-4</v>
      </c>
    </row>
    <row r="110" spans="1:47" x14ac:dyDescent="0.35">
      <c r="A110" s="5">
        <v>7.4999999999999997E-2</v>
      </c>
      <c r="B110" s="5">
        <v>0.02</v>
      </c>
      <c r="C110" s="5">
        <f t="shared" si="104"/>
        <v>0.15</v>
      </c>
      <c r="D110" s="5">
        <v>9.81</v>
      </c>
      <c r="E110" s="5">
        <v>1000</v>
      </c>
      <c r="F110" s="5">
        <v>2650</v>
      </c>
      <c r="G110" s="5">
        <v>1.65</v>
      </c>
      <c r="H110" s="5">
        <v>9.9999999999999995E-7</v>
      </c>
      <c r="I110" s="12"/>
      <c r="J110" s="12"/>
      <c r="K110" s="12"/>
      <c r="L110" s="12">
        <f t="shared" si="137"/>
        <v>171.65112201633167</v>
      </c>
      <c r="M110" s="5">
        <f t="shared" si="105"/>
        <v>0.87487829773869341</v>
      </c>
      <c r="N110" s="5">
        <f t="shared" si="106"/>
        <v>7.0697236180904524E-2</v>
      </c>
      <c r="O110" s="12">
        <f t="shared" si="107"/>
        <v>0.14139447236180905</v>
      </c>
      <c r="P110" s="5">
        <f t="shared" si="108"/>
        <v>1897.1962050160116</v>
      </c>
      <c r="Q110" s="5">
        <v>4.7E-2</v>
      </c>
      <c r="R110" s="5">
        <f t="shared" si="109"/>
        <v>5.5131715547597548E-2</v>
      </c>
      <c r="S110" s="5">
        <f t="shared" si="110"/>
        <v>5.6000000000000001E-2</v>
      </c>
      <c r="T110" s="5">
        <f t="shared" si="111"/>
        <v>7.977443845417484E-2</v>
      </c>
      <c r="U110" s="5">
        <f t="shared" si="112"/>
        <v>8.7074722341604224E-2</v>
      </c>
      <c r="V110" s="5">
        <f t="shared" si="113"/>
        <v>1.564666652532102</v>
      </c>
      <c r="W110" s="5">
        <f t="shared" si="114"/>
        <v>0.3895547355705582</v>
      </c>
      <c r="X110" s="5">
        <f t="shared" si="115"/>
        <v>0.34112748995075981</v>
      </c>
      <c r="Y110" s="5">
        <f t="shared" si="116"/>
        <v>7.4843505269022987</v>
      </c>
      <c r="Z110" s="12">
        <f t="shared" si="117"/>
        <v>4.5205550599332014</v>
      </c>
      <c r="AA110" s="12">
        <f t="shared" si="118"/>
        <v>3.1008263265728031</v>
      </c>
      <c r="AB110" s="12">
        <f t="shared" si="119"/>
        <v>5.8518612919311673E-2</v>
      </c>
      <c r="AC110" s="1">
        <f t="shared" si="120"/>
        <v>0.39792641266916018</v>
      </c>
      <c r="AD110" s="1">
        <f t="shared" si="121"/>
        <v>0.17537127779610545</v>
      </c>
      <c r="AE110" s="12">
        <f t="shared" si="122"/>
        <v>0.81642397642269393</v>
      </c>
      <c r="AF110" s="5">
        <f t="shared" si="123"/>
        <v>0.23201167092455843</v>
      </c>
      <c r="AG110" s="5">
        <f t="shared" si="124"/>
        <v>0.11600583546227922</v>
      </c>
      <c r="AH110" s="5">
        <v>8.4199360000000001E-2</v>
      </c>
      <c r="AI110" s="5">
        <f t="shared" si="125"/>
        <v>6.9784863458610985E-2</v>
      </c>
      <c r="AJ110" s="5">
        <f t="shared" si="126"/>
        <v>0.11053569254272579</v>
      </c>
      <c r="AK110" s="5">
        <v>1.3750160000000001E-2</v>
      </c>
      <c r="AL110" s="5">
        <f t="shared" si="127"/>
        <v>7.0978790562245524E-3</v>
      </c>
      <c r="AM110" s="5">
        <f t="shared" si="128"/>
        <v>5.6358484046006227E-3</v>
      </c>
      <c r="AN110" s="13">
        <f t="shared" si="129"/>
        <v>1.9172475996612284E-2</v>
      </c>
      <c r="AO110" s="13">
        <f t="shared" si="130"/>
        <v>9.5862379983061418E-3</v>
      </c>
      <c r="AP110" s="13">
        <f t="shared" si="131"/>
        <v>6.9578836361858286E-3</v>
      </c>
      <c r="AQ110" s="13">
        <f t="shared" si="132"/>
        <v>5.7667298125797127E-3</v>
      </c>
      <c r="AR110" s="13">
        <f t="shared" si="133"/>
        <v>9.1342082215054802E-3</v>
      </c>
      <c r="AS110" s="13">
        <f t="shared" si="134"/>
        <v>1.1362558249722674E-3</v>
      </c>
      <c r="AT110" s="13">
        <f t="shared" si="135"/>
        <v>5.8653909646024535E-4</v>
      </c>
      <c r="AU110" s="14">
        <f t="shared" si="136"/>
        <v>4.6572298637893069E-4</v>
      </c>
    </row>
    <row r="111" spans="1:47" x14ac:dyDescent="0.35">
      <c r="A111" s="5">
        <v>7.4999999999999997E-2</v>
      </c>
      <c r="B111" s="5">
        <v>0.02</v>
      </c>
      <c r="C111" s="5">
        <f t="shared" si="104"/>
        <v>0.15</v>
      </c>
      <c r="D111" s="5">
        <v>9.81</v>
      </c>
      <c r="E111" s="5">
        <v>1000</v>
      </c>
      <c r="F111" s="5">
        <v>2650</v>
      </c>
      <c r="G111" s="5">
        <v>1.65</v>
      </c>
      <c r="H111" s="5">
        <v>9.9999999999999995E-7</v>
      </c>
      <c r="I111" s="12"/>
      <c r="J111" s="12"/>
      <c r="K111" s="12"/>
      <c r="L111" s="12">
        <f t="shared" si="137"/>
        <v>173.09997644472364</v>
      </c>
      <c r="M111" s="5">
        <f t="shared" si="105"/>
        <v>0.88226287688442218</v>
      </c>
      <c r="N111" s="5">
        <f t="shared" si="106"/>
        <v>7.1293969849246241E-2</v>
      </c>
      <c r="O111" s="12">
        <f t="shared" si="107"/>
        <v>0.14258793969849248</v>
      </c>
      <c r="P111" s="5">
        <f t="shared" si="108"/>
        <v>1897.1962050160116</v>
      </c>
      <c r="Q111" s="5">
        <v>4.7E-2</v>
      </c>
      <c r="R111" s="5">
        <f t="shared" si="109"/>
        <v>5.5131715547597548E-2</v>
      </c>
      <c r="S111" s="5">
        <f t="shared" si="110"/>
        <v>5.6000000000000001E-2</v>
      </c>
      <c r="T111" s="5">
        <f t="shared" si="111"/>
        <v>7.977443845417484E-2</v>
      </c>
      <c r="U111" s="5">
        <f t="shared" si="112"/>
        <v>8.7074722341604224E-2</v>
      </c>
      <c r="V111" s="5">
        <f t="shared" si="113"/>
        <v>1.5863142164584061</v>
      </c>
      <c r="W111" s="5">
        <f t="shared" si="114"/>
        <v>0.3895547355705582</v>
      </c>
      <c r="X111" s="5">
        <f t="shared" si="115"/>
        <v>0.34112748995075981</v>
      </c>
      <c r="Y111" s="5">
        <f t="shared" si="116"/>
        <v>7.5086148147078928</v>
      </c>
      <c r="Z111" s="12">
        <f t="shared" si="117"/>
        <v>4.5205550599332014</v>
      </c>
      <c r="AA111" s="12">
        <f t="shared" si="118"/>
        <v>3.1239806153337848</v>
      </c>
      <c r="AB111" s="12">
        <f t="shared" si="119"/>
        <v>5.8518612919311673E-2</v>
      </c>
      <c r="AC111" s="1">
        <f t="shared" si="120"/>
        <v>0.40428163802870054</v>
      </c>
      <c r="AD111" s="1">
        <f t="shared" si="121"/>
        <v>0.17682546468421101</v>
      </c>
      <c r="AE111" s="12">
        <f t="shared" si="122"/>
        <v>0.81642397642269393</v>
      </c>
      <c r="AF111" s="5">
        <f t="shared" si="123"/>
        <v>0.23642567541138146</v>
      </c>
      <c r="AG111" s="5">
        <f t="shared" si="124"/>
        <v>0.11821283770569073</v>
      </c>
      <c r="AH111" s="5">
        <v>8.6550160000000001E-2</v>
      </c>
      <c r="AI111" s="5">
        <f t="shared" si="125"/>
        <v>7.148728850771896E-2</v>
      </c>
      <c r="AJ111" s="5">
        <f t="shared" si="126"/>
        <v>0.11312396711381632</v>
      </c>
      <c r="AK111" s="5">
        <v>1.4151179999999999E-2</v>
      </c>
      <c r="AL111" s="5">
        <f t="shared" si="127"/>
        <v>7.3999268748851715E-3</v>
      </c>
      <c r="AM111" s="5">
        <f t="shared" si="128"/>
        <v>5.8913056623196231E-3</v>
      </c>
      <c r="AN111" s="13">
        <f t="shared" si="129"/>
        <v>1.9537230901981121E-2</v>
      </c>
      <c r="AO111" s="13">
        <f t="shared" si="130"/>
        <v>9.7686154509905605E-3</v>
      </c>
      <c r="AP111" s="13">
        <f t="shared" si="131"/>
        <v>7.1521439352183348E-3</v>
      </c>
      <c r="AQ111" s="13">
        <f t="shared" si="132"/>
        <v>5.9074111121884178E-3</v>
      </c>
      <c r="AR111" s="13">
        <f t="shared" si="133"/>
        <v>9.3480924278004779E-3</v>
      </c>
      <c r="AS111" s="13">
        <f t="shared" si="134"/>
        <v>1.1693944437905486E-3</v>
      </c>
      <c r="AT111" s="13">
        <f t="shared" si="135"/>
        <v>6.1149906735318742E-4</v>
      </c>
      <c r="AU111" s="14">
        <f t="shared" si="136"/>
        <v>4.8683290779909276E-4</v>
      </c>
    </row>
    <row r="112" spans="1:47" x14ac:dyDescent="0.35">
      <c r="A112" s="5">
        <v>7.4999999999999997E-2</v>
      </c>
      <c r="B112" s="5">
        <v>0.02</v>
      </c>
      <c r="C112" s="5">
        <f t="shared" si="104"/>
        <v>0.15</v>
      </c>
      <c r="D112" s="5">
        <v>9.81</v>
      </c>
      <c r="E112" s="5">
        <v>1000</v>
      </c>
      <c r="F112" s="5">
        <v>2650</v>
      </c>
      <c r="G112" s="5">
        <v>1.65</v>
      </c>
      <c r="H112" s="5">
        <v>9.9999999999999995E-7</v>
      </c>
      <c r="I112" s="12"/>
      <c r="J112" s="12"/>
      <c r="K112" s="12"/>
      <c r="L112" s="12">
        <f t="shared" si="137"/>
        <v>174.54883087311561</v>
      </c>
      <c r="M112" s="5">
        <f t="shared" si="105"/>
        <v>0.88964745603015083</v>
      </c>
      <c r="N112" s="5">
        <f t="shared" si="106"/>
        <v>7.1890703517587959E-2</v>
      </c>
      <c r="O112" s="12">
        <f t="shared" si="107"/>
        <v>0.14378140703517592</v>
      </c>
      <c r="P112" s="5">
        <f t="shared" si="108"/>
        <v>1897.1962050160116</v>
      </c>
      <c r="Q112" s="5">
        <v>4.7E-2</v>
      </c>
      <c r="R112" s="5">
        <f t="shared" si="109"/>
        <v>5.5131715547597548E-2</v>
      </c>
      <c r="S112" s="5">
        <f t="shared" si="110"/>
        <v>5.6000000000000001E-2</v>
      </c>
      <c r="T112" s="5">
        <f t="shared" si="111"/>
        <v>7.977443845417484E-2</v>
      </c>
      <c r="U112" s="5">
        <f t="shared" si="112"/>
        <v>8.7074722341604224E-2</v>
      </c>
      <c r="V112" s="5">
        <f t="shared" si="113"/>
        <v>1.6079617803847102</v>
      </c>
      <c r="W112" s="5">
        <f t="shared" si="114"/>
        <v>0.3895547355705582</v>
      </c>
      <c r="X112" s="5">
        <f t="shared" si="115"/>
        <v>0.34112748995075981</v>
      </c>
      <c r="Y112" s="5">
        <f t="shared" si="116"/>
        <v>7.5326138363537707</v>
      </c>
      <c r="Z112" s="12">
        <f t="shared" si="117"/>
        <v>4.5205550599332014</v>
      </c>
      <c r="AA112" s="12">
        <f t="shared" si="118"/>
        <v>3.1470538607902818</v>
      </c>
      <c r="AB112" s="12">
        <f t="shared" si="119"/>
        <v>5.8518612919311673E-2</v>
      </c>
      <c r="AC112" s="1">
        <f t="shared" si="120"/>
        <v>0.41067644844771745</v>
      </c>
      <c r="AD112" s="1">
        <f t="shared" si="121"/>
        <v>0.17826493615579209</v>
      </c>
      <c r="AE112" s="12">
        <f t="shared" si="122"/>
        <v>0.81642397642269393</v>
      </c>
      <c r="AF112" s="5">
        <f t="shared" si="123"/>
        <v>0.2408673222510658</v>
      </c>
      <c r="AG112" s="5">
        <f t="shared" si="124"/>
        <v>0.1204336611255329</v>
      </c>
      <c r="AH112" s="5">
        <v>8.8932739999999996E-2</v>
      </c>
      <c r="AI112" s="5">
        <f t="shared" si="125"/>
        <v>7.3209210863219784E-2</v>
      </c>
      <c r="AJ112" s="5">
        <f t="shared" si="126"/>
        <v>0.1157283712771035</v>
      </c>
      <c r="AK112" s="5">
        <v>1.455824E-2</v>
      </c>
      <c r="AL112" s="5">
        <f t="shared" si="127"/>
        <v>7.7101021895677113E-3</v>
      </c>
      <c r="AM112" s="5">
        <f t="shared" si="128"/>
        <v>6.1545971834923016E-3</v>
      </c>
      <c r="AN112" s="13">
        <f t="shared" si="129"/>
        <v>1.9904270056002676E-2</v>
      </c>
      <c r="AO112" s="13">
        <f t="shared" si="130"/>
        <v>9.9521350280013382E-3</v>
      </c>
      <c r="AP112" s="13">
        <f t="shared" si="131"/>
        <v>7.3490304007912746E-3</v>
      </c>
      <c r="AQ112" s="13">
        <f t="shared" si="132"/>
        <v>6.0497035878096309E-3</v>
      </c>
      <c r="AR112" s="13">
        <f t="shared" si="133"/>
        <v>9.5633095162646897E-3</v>
      </c>
      <c r="AS112" s="13">
        <f t="shared" si="134"/>
        <v>1.2030321829959987E-3</v>
      </c>
      <c r="AT112" s="13">
        <f t="shared" si="135"/>
        <v>6.3713066059069453E-4</v>
      </c>
      <c r="AU112" s="14">
        <f t="shared" si="136"/>
        <v>5.085902200484241E-4</v>
      </c>
    </row>
    <row r="113" spans="1:47" x14ac:dyDescent="0.35">
      <c r="A113" s="5">
        <v>7.4999999999999997E-2</v>
      </c>
      <c r="B113" s="5">
        <v>0.02</v>
      </c>
      <c r="C113" s="5">
        <f t="shared" si="104"/>
        <v>0.15</v>
      </c>
      <c r="D113" s="5">
        <v>9.81</v>
      </c>
      <c r="E113" s="5">
        <v>1000</v>
      </c>
      <c r="F113" s="5">
        <v>2650</v>
      </c>
      <c r="G113" s="5">
        <v>1.65</v>
      </c>
      <c r="H113" s="5">
        <v>9.9999999999999995E-7</v>
      </c>
      <c r="I113" s="12"/>
      <c r="J113" s="12"/>
      <c r="K113" s="12"/>
      <c r="L113" s="12">
        <f t="shared" si="137"/>
        <v>175.99768530150757</v>
      </c>
      <c r="M113" s="5">
        <f t="shared" si="105"/>
        <v>0.89703203517587948</v>
      </c>
      <c r="N113" s="5">
        <f t="shared" si="106"/>
        <v>7.2487437185929662E-2</v>
      </c>
      <c r="O113" s="12">
        <f t="shared" si="107"/>
        <v>0.14497487437185932</v>
      </c>
      <c r="P113" s="5">
        <f t="shared" si="108"/>
        <v>1897.1962050160116</v>
      </c>
      <c r="Q113" s="5">
        <v>4.7E-2</v>
      </c>
      <c r="R113" s="5">
        <f t="shared" si="109"/>
        <v>5.5131715547597548E-2</v>
      </c>
      <c r="S113" s="5">
        <f t="shared" si="110"/>
        <v>5.6000000000000001E-2</v>
      </c>
      <c r="T113" s="5">
        <f t="shared" si="111"/>
        <v>7.977443845417484E-2</v>
      </c>
      <c r="U113" s="5">
        <f t="shared" si="112"/>
        <v>8.7074722341604224E-2</v>
      </c>
      <c r="V113" s="5">
        <f t="shared" si="113"/>
        <v>1.6296093443110138</v>
      </c>
      <c r="W113" s="5">
        <f t="shared" si="114"/>
        <v>0.3895547355705582</v>
      </c>
      <c r="X113" s="5">
        <f t="shared" si="115"/>
        <v>0.34112748995075981</v>
      </c>
      <c r="Y113" s="5">
        <f t="shared" si="116"/>
        <v>7.5563523396920127</v>
      </c>
      <c r="Z113" s="12">
        <f t="shared" si="117"/>
        <v>4.5205550599332014</v>
      </c>
      <c r="AA113" s="12">
        <f t="shared" si="118"/>
        <v>3.1700468315523791</v>
      </c>
      <c r="AB113" s="12">
        <f t="shared" si="119"/>
        <v>5.8518612919311673E-2</v>
      </c>
      <c r="AC113" s="1">
        <f t="shared" si="120"/>
        <v>0.41711068170378046</v>
      </c>
      <c r="AD113" s="1">
        <f t="shared" si="121"/>
        <v>0.17968988224853977</v>
      </c>
      <c r="AE113" s="12">
        <f t="shared" si="122"/>
        <v>0.81642397642269393</v>
      </c>
      <c r="AF113" s="5">
        <f t="shared" si="123"/>
        <v>0.24533644047145028</v>
      </c>
      <c r="AG113" s="5">
        <f t="shared" si="124"/>
        <v>0.12266822023572514</v>
      </c>
      <c r="AH113" s="5">
        <v>9.1347070000000002E-2</v>
      </c>
      <c r="AI113" s="5">
        <f t="shared" si="125"/>
        <v>7.4950569279960466E-2</v>
      </c>
      <c r="AJ113" s="5">
        <f t="shared" si="126"/>
        <v>0.11834837533656491</v>
      </c>
      <c r="AK113" s="5">
        <v>1.497135E-2</v>
      </c>
      <c r="AL113" s="5">
        <f t="shared" si="127"/>
        <v>8.0284416151876412E-3</v>
      </c>
      <c r="AM113" s="5">
        <f t="shared" si="128"/>
        <v>6.4258041045098689E-3</v>
      </c>
      <c r="AN113" s="13">
        <f t="shared" si="129"/>
        <v>2.0273579330251233E-2</v>
      </c>
      <c r="AO113" s="13">
        <f t="shared" si="130"/>
        <v>1.0136789665125616E-2</v>
      </c>
      <c r="AP113" s="13">
        <f t="shared" si="131"/>
        <v>7.5485405538298798E-3</v>
      </c>
      <c r="AQ113" s="13">
        <f t="shared" si="132"/>
        <v>6.1936021783995645E-3</v>
      </c>
      <c r="AR113" s="13">
        <f t="shared" si="133"/>
        <v>9.7798157150299422E-3</v>
      </c>
      <c r="AS113" s="13">
        <f t="shared" si="134"/>
        <v>1.2371698689468745E-3</v>
      </c>
      <c r="AT113" s="13">
        <f t="shared" si="135"/>
        <v>6.6343690187653937E-4</v>
      </c>
      <c r="AU113" s="14">
        <f t="shared" si="136"/>
        <v>5.310016278996057E-4</v>
      </c>
    </row>
    <row r="114" spans="1:47" x14ac:dyDescent="0.35">
      <c r="A114" s="5">
        <v>7.4999999999999997E-2</v>
      </c>
      <c r="B114" s="5">
        <v>0.02</v>
      </c>
      <c r="C114" s="5">
        <f t="shared" si="104"/>
        <v>0.15</v>
      </c>
      <c r="D114" s="5">
        <v>9.81</v>
      </c>
      <c r="E114" s="5">
        <v>1000</v>
      </c>
      <c r="F114" s="5">
        <v>2650</v>
      </c>
      <c r="G114" s="5">
        <v>1.65</v>
      </c>
      <c r="H114" s="5">
        <v>9.9999999999999995E-7</v>
      </c>
      <c r="I114" s="12"/>
      <c r="J114" s="12"/>
      <c r="K114" s="12"/>
      <c r="L114" s="12">
        <f t="shared" si="137"/>
        <v>177.44653972989954</v>
      </c>
      <c r="M114" s="5">
        <f t="shared" si="105"/>
        <v>0.90441661432160814</v>
      </c>
      <c r="N114" s="5">
        <f t="shared" si="106"/>
        <v>7.308417085427138E-2</v>
      </c>
      <c r="O114" s="12">
        <f t="shared" si="107"/>
        <v>0.14616834170854276</v>
      </c>
      <c r="P114" s="5">
        <f t="shared" si="108"/>
        <v>1897.1962050160116</v>
      </c>
      <c r="Q114" s="5">
        <v>4.7E-2</v>
      </c>
      <c r="R114" s="5">
        <f t="shared" si="109"/>
        <v>5.5131715547597548E-2</v>
      </c>
      <c r="S114" s="5">
        <f t="shared" si="110"/>
        <v>5.6000000000000001E-2</v>
      </c>
      <c r="T114" s="5">
        <f t="shared" si="111"/>
        <v>7.977443845417484E-2</v>
      </c>
      <c r="U114" s="5">
        <f t="shared" si="112"/>
        <v>8.7074722341604224E-2</v>
      </c>
      <c r="V114" s="5">
        <f t="shared" si="113"/>
        <v>1.6512569082373183</v>
      </c>
      <c r="W114" s="5">
        <f t="shared" si="114"/>
        <v>0.3895547355705582</v>
      </c>
      <c r="X114" s="5">
        <f t="shared" si="115"/>
        <v>0.34112748995075981</v>
      </c>
      <c r="Y114" s="5">
        <f t="shared" si="116"/>
        <v>7.5798349664458957</v>
      </c>
      <c r="Z114" s="12">
        <f t="shared" si="117"/>
        <v>4.5205550599332014</v>
      </c>
      <c r="AA114" s="12">
        <f t="shared" si="118"/>
        <v>3.192960290252906</v>
      </c>
      <c r="AB114" s="12">
        <f t="shared" si="119"/>
        <v>5.8518612919311673E-2</v>
      </c>
      <c r="AC114" s="1">
        <f t="shared" si="120"/>
        <v>0.42358417811169885</v>
      </c>
      <c r="AD114" s="1">
        <f t="shared" si="121"/>
        <v>0.18110049142965451</v>
      </c>
      <c r="AE114" s="12">
        <f t="shared" si="122"/>
        <v>0.81642397642269393</v>
      </c>
      <c r="AF114" s="5">
        <f t="shared" si="123"/>
        <v>0.24983286223417314</v>
      </c>
      <c r="AG114" s="5">
        <f t="shared" si="124"/>
        <v>0.12491643111708657</v>
      </c>
      <c r="AH114" s="5">
        <v>9.3793080000000001E-2</v>
      </c>
      <c r="AI114" s="5">
        <f t="shared" si="125"/>
        <v>7.6711302817854973E-2</v>
      </c>
      <c r="AJ114" s="5">
        <f t="shared" si="126"/>
        <v>0.12098345746234819</v>
      </c>
      <c r="AK114" s="5">
        <v>1.539052E-2</v>
      </c>
      <c r="AL114" s="5">
        <f t="shared" si="127"/>
        <v>8.3549772623109104E-3</v>
      </c>
      <c r="AM114" s="5">
        <f t="shared" si="128"/>
        <v>6.7050033499416583E-3</v>
      </c>
      <c r="AN114" s="13">
        <f t="shared" si="129"/>
        <v>2.0645144855265193E-2</v>
      </c>
      <c r="AO114" s="13">
        <f t="shared" si="130"/>
        <v>1.0322572427632596E-2</v>
      </c>
      <c r="AP114" s="13">
        <f t="shared" si="131"/>
        <v>7.7506686098263488E-3</v>
      </c>
      <c r="AQ114" s="13">
        <f t="shared" si="132"/>
        <v>6.3391018481238921E-3</v>
      </c>
      <c r="AR114" s="13">
        <f t="shared" si="133"/>
        <v>9.9975679022555122E-3</v>
      </c>
      <c r="AS114" s="13">
        <f t="shared" si="134"/>
        <v>1.2718083280014328E-3</v>
      </c>
      <c r="AT114" s="13">
        <f t="shared" si="135"/>
        <v>6.9042044469385224E-4</v>
      </c>
      <c r="AU114" s="14">
        <f t="shared" si="136"/>
        <v>5.5407348807794056E-4</v>
      </c>
    </row>
    <row r="115" spans="1:47" x14ac:dyDescent="0.35">
      <c r="A115" s="5">
        <v>7.4999999999999997E-2</v>
      </c>
      <c r="B115" s="5">
        <v>0.02</v>
      </c>
      <c r="C115" s="5">
        <f t="shared" si="104"/>
        <v>0.15</v>
      </c>
      <c r="D115" s="5">
        <v>9.81</v>
      </c>
      <c r="E115" s="5">
        <v>1000</v>
      </c>
      <c r="F115" s="5">
        <v>2650</v>
      </c>
      <c r="G115" s="5">
        <v>1.65</v>
      </c>
      <c r="H115" s="5">
        <v>9.9999999999999995E-7</v>
      </c>
      <c r="I115" s="12"/>
      <c r="J115" s="12"/>
      <c r="K115" s="12"/>
      <c r="L115" s="12">
        <f t="shared" si="137"/>
        <v>178.89539415829151</v>
      </c>
      <c r="M115" s="5">
        <f t="shared" si="105"/>
        <v>0.9118011934673369</v>
      </c>
      <c r="N115" s="5">
        <f t="shared" si="106"/>
        <v>7.3680904522613083E-2</v>
      </c>
      <c r="O115" s="12">
        <f t="shared" si="107"/>
        <v>0.14736180904522617</v>
      </c>
      <c r="P115" s="5">
        <f t="shared" si="108"/>
        <v>1897.1962050160116</v>
      </c>
      <c r="Q115" s="5">
        <v>4.7E-2</v>
      </c>
      <c r="R115" s="5">
        <f t="shared" si="109"/>
        <v>5.5131715547597548E-2</v>
      </c>
      <c r="S115" s="5">
        <f t="shared" si="110"/>
        <v>5.6000000000000001E-2</v>
      </c>
      <c r="T115" s="5">
        <f t="shared" si="111"/>
        <v>7.977443845417484E-2</v>
      </c>
      <c r="U115" s="5">
        <f t="shared" si="112"/>
        <v>8.7074722341604224E-2</v>
      </c>
      <c r="V115" s="5">
        <f t="shared" si="113"/>
        <v>1.6729044721636219</v>
      </c>
      <c r="W115" s="5">
        <f t="shared" si="114"/>
        <v>0.3895547355705582</v>
      </c>
      <c r="X115" s="5">
        <f t="shared" si="115"/>
        <v>0.34112748995075981</v>
      </c>
      <c r="Y115" s="5">
        <f t="shared" si="116"/>
        <v>7.6030662548561407</v>
      </c>
      <c r="Z115" s="12">
        <f t="shared" si="117"/>
        <v>4.5205550599332014</v>
      </c>
      <c r="AA115" s="12">
        <f t="shared" si="118"/>
        <v>3.2157949933699594</v>
      </c>
      <c r="AB115" s="12">
        <f t="shared" si="119"/>
        <v>5.8518612919311673E-2</v>
      </c>
      <c r="AC115" s="1">
        <f t="shared" si="120"/>
        <v>0.43009678046741229</v>
      </c>
      <c r="AD115" s="1">
        <f t="shared" si="121"/>
        <v>0.18249695050421336</v>
      </c>
      <c r="AE115" s="12">
        <f t="shared" si="122"/>
        <v>0.81642397642269393</v>
      </c>
      <c r="AF115" s="5">
        <f t="shared" si="123"/>
        <v>0.25435642274009057</v>
      </c>
      <c r="AG115" s="5">
        <f t="shared" si="124"/>
        <v>0.12717821137004529</v>
      </c>
      <c r="AH115" s="5">
        <v>9.6270729999999999E-2</v>
      </c>
      <c r="AI115" s="5">
        <f t="shared" si="125"/>
        <v>7.8491350856982861E-2</v>
      </c>
      <c r="AJ115" s="5">
        <f t="shared" si="126"/>
        <v>0.12363310377279202</v>
      </c>
      <c r="AK115" s="5">
        <v>1.581575E-2</v>
      </c>
      <c r="AL115" s="5">
        <f t="shared" si="127"/>
        <v>8.6897368378305185E-3</v>
      </c>
      <c r="AM115" s="5">
        <f t="shared" si="128"/>
        <v>6.9922676014946596E-3</v>
      </c>
      <c r="AN115" s="13">
        <f t="shared" si="129"/>
        <v>2.1018953012731226E-2</v>
      </c>
      <c r="AO115" s="13">
        <f t="shared" si="130"/>
        <v>1.0509476506365613E-2</v>
      </c>
      <c r="AP115" s="13">
        <f t="shared" si="131"/>
        <v>7.955411263347657E-3</v>
      </c>
      <c r="AQ115" s="13">
        <f t="shared" si="132"/>
        <v>6.4861975876054348E-3</v>
      </c>
      <c r="AR115" s="13">
        <f t="shared" si="133"/>
        <v>1.0216523612906012E-2</v>
      </c>
      <c r="AS115" s="13">
        <f t="shared" si="134"/>
        <v>1.3069475601596736E-3</v>
      </c>
      <c r="AT115" s="13">
        <f t="shared" si="135"/>
        <v>7.1808357862461361E-4</v>
      </c>
      <c r="AU115" s="14">
        <f t="shared" si="136"/>
        <v>5.7781180669629821E-4</v>
      </c>
    </row>
    <row r="116" spans="1:47" x14ac:dyDescent="0.35">
      <c r="A116" s="5">
        <v>7.4999999999999997E-2</v>
      </c>
      <c r="B116" s="5">
        <v>0.02</v>
      </c>
      <c r="C116" s="5">
        <f t="shared" si="104"/>
        <v>0.15</v>
      </c>
      <c r="D116" s="5">
        <v>9.81</v>
      </c>
      <c r="E116" s="5">
        <v>1000</v>
      </c>
      <c r="F116" s="5">
        <v>2650</v>
      </c>
      <c r="G116" s="5">
        <v>1.65</v>
      </c>
      <c r="H116" s="5">
        <v>9.9999999999999995E-7</v>
      </c>
      <c r="I116" s="12"/>
      <c r="J116" s="12"/>
      <c r="K116" s="12"/>
      <c r="L116" s="12">
        <f t="shared" si="137"/>
        <v>180.34424858668348</v>
      </c>
      <c r="M116" s="5">
        <f t="shared" si="105"/>
        <v>0.91918577261306555</v>
      </c>
      <c r="N116" s="5">
        <f t="shared" si="106"/>
        <v>7.4277638190954801E-2</v>
      </c>
      <c r="O116" s="12">
        <f t="shared" si="107"/>
        <v>0.1485552763819096</v>
      </c>
      <c r="P116" s="5">
        <f t="shared" si="108"/>
        <v>1897.1962050160116</v>
      </c>
      <c r="Q116" s="5">
        <v>4.7E-2</v>
      </c>
      <c r="R116" s="5">
        <f t="shared" si="109"/>
        <v>5.5131715547597548E-2</v>
      </c>
      <c r="S116" s="5">
        <f t="shared" si="110"/>
        <v>5.6000000000000001E-2</v>
      </c>
      <c r="T116" s="5">
        <f t="shared" si="111"/>
        <v>7.977443845417484E-2</v>
      </c>
      <c r="U116" s="5">
        <f t="shared" si="112"/>
        <v>8.7074722341604224E-2</v>
      </c>
      <c r="V116" s="5">
        <f t="shared" si="113"/>
        <v>1.694552036089926</v>
      </c>
      <c r="W116" s="5">
        <f t="shared" si="114"/>
        <v>0.3895547355705582</v>
      </c>
      <c r="X116" s="5">
        <f t="shared" si="115"/>
        <v>0.34112748995075981</v>
      </c>
      <c r="Y116" s="5">
        <f t="shared" si="116"/>
        <v>7.6260506422614638</v>
      </c>
      <c r="Z116" s="12">
        <f t="shared" si="117"/>
        <v>4.5205550599332014</v>
      </c>
      <c r="AA116" s="12">
        <f t="shared" si="118"/>
        <v>3.2385516910677747</v>
      </c>
      <c r="AB116" s="12">
        <f t="shared" si="119"/>
        <v>5.8518612919311673E-2</v>
      </c>
      <c r="AC116" s="1">
        <f t="shared" si="120"/>
        <v>0.43664833399320252</v>
      </c>
      <c r="AD116" s="1">
        <f t="shared" si="121"/>
        <v>0.18387944453389349</v>
      </c>
      <c r="AE116" s="12">
        <f t="shared" si="122"/>
        <v>0.81642397642269393</v>
      </c>
      <c r="AF116" s="5">
        <f t="shared" si="123"/>
        <v>0.25890696013864456</v>
      </c>
      <c r="AG116" s="5">
        <f t="shared" si="124"/>
        <v>0.12945348006932228</v>
      </c>
      <c r="AH116" s="5">
        <v>9.877996E-2</v>
      </c>
      <c r="AI116" s="5">
        <f t="shared" si="125"/>
        <v>8.0290653111320082E-2</v>
      </c>
      <c r="AJ116" s="5">
        <f t="shared" si="126"/>
        <v>0.12629680840120652</v>
      </c>
      <c r="AK116" s="5">
        <v>1.6247060000000001E-2</v>
      </c>
      <c r="AL116" s="5">
        <f t="shared" si="127"/>
        <v>9.0327437554814666E-3</v>
      </c>
      <c r="AM116" s="5">
        <f t="shared" si="128"/>
        <v>7.287665278802001E-3</v>
      </c>
      <c r="AN116" s="13">
        <f t="shared" si="129"/>
        <v>2.139499042799484E-2</v>
      </c>
      <c r="AO116" s="13">
        <f t="shared" si="130"/>
        <v>1.069749521399742E-2</v>
      </c>
      <c r="AP116" s="13">
        <f t="shared" si="131"/>
        <v>8.1627635562442607E-3</v>
      </c>
      <c r="AQ116" s="13">
        <f t="shared" si="132"/>
        <v>6.6348844150588169E-3</v>
      </c>
      <c r="AR116" s="13">
        <f t="shared" si="133"/>
        <v>1.0436641044269834E-2</v>
      </c>
      <c r="AS116" s="13">
        <f t="shared" si="134"/>
        <v>1.3425892181381108E-3</v>
      </c>
      <c r="AT116" s="13">
        <f t="shared" si="135"/>
        <v>7.4642823848214792E-4</v>
      </c>
      <c r="AU116" s="14">
        <f t="shared" si="136"/>
        <v>6.0222223766755558E-4</v>
      </c>
    </row>
    <row r="117" spans="1:47" x14ac:dyDescent="0.35">
      <c r="A117" s="5">
        <v>7.4999999999999997E-2</v>
      </c>
      <c r="B117" s="5">
        <v>0.02</v>
      </c>
      <c r="C117" s="5">
        <f t="shared" si="104"/>
        <v>0.15</v>
      </c>
      <c r="D117" s="5">
        <v>9.81</v>
      </c>
      <c r="E117" s="5">
        <v>1000</v>
      </c>
      <c r="F117" s="5">
        <v>2650</v>
      </c>
      <c r="G117" s="5">
        <v>1.65</v>
      </c>
      <c r="H117" s="5">
        <v>9.9999999999999995E-7</v>
      </c>
      <c r="I117" s="12"/>
      <c r="J117" s="12"/>
      <c r="K117" s="12"/>
      <c r="L117" s="12">
        <f t="shared" si="137"/>
        <v>181.79310301507545</v>
      </c>
      <c r="M117" s="5">
        <f t="shared" si="105"/>
        <v>0.92657035175879421</v>
      </c>
      <c r="N117" s="5">
        <f t="shared" si="106"/>
        <v>7.4874371859296518E-2</v>
      </c>
      <c r="O117" s="12">
        <f t="shared" si="107"/>
        <v>0.14974874371859304</v>
      </c>
      <c r="P117" s="5">
        <f t="shared" si="108"/>
        <v>1897.1962050160116</v>
      </c>
      <c r="Q117" s="5">
        <v>4.7E-2</v>
      </c>
      <c r="R117" s="5">
        <f t="shared" si="109"/>
        <v>5.5131715547597548E-2</v>
      </c>
      <c r="S117" s="5">
        <f t="shared" si="110"/>
        <v>5.6000000000000001E-2</v>
      </c>
      <c r="T117" s="5">
        <f t="shared" si="111"/>
        <v>7.977443845417484E-2</v>
      </c>
      <c r="U117" s="5">
        <f t="shared" si="112"/>
        <v>8.7074722341604224E-2</v>
      </c>
      <c r="V117" s="5">
        <f t="shared" si="113"/>
        <v>1.7161996000162301</v>
      </c>
      <c r="W117" s="5">
        <f t="shared" si="114"/>
        <v>0.3895547355705582</v>
      </c>
      <c r="X117" s="5">
        <f t="shared" si="115"/>
        <v>0.34112748995075981</v>
      </c>
      <c r="Y117" s="5">
        <f t="shared" si="116"/>
        <v>7.6487924676145989</v>
      </c>
      <c r="Z117" s="12">
        <f t="shared" si="117"/>
        <v>4.5205550599332014</v>
      </c>
      <c r="AA117" s="12">
        <f t="shared" si="118"/>
        <v>3.2612311270547418</v>
      </c>
      <c r="AB117" s="12">
        <f t="shared" si="119"/>
        <v>5.8518612919311673E-2</v>
      </c>
      <c r="AC117" s="1">
        <f t="shared" si="120"/>
        <v>0.44323868628420032</v>
      </c>
      <c r="AD117" s="1">
        <f t="shared" si="121"/>
        <v>0.18524815676522699</v>
      </c>
      <c r="AE117" s="12">
        <f t="shared" si="122"/>
        <v>0.81642397642269393</v>
      </c>
      <c r="AF117" s="5">
        <f t="shared" si="123"/>
        <v>0.26348431544097073</v>
      </c>
      <c r="AG117" s="5">
        <f t="shared" si="124"/>
        <v>0.13174215772048536</v>
      </c>
      <c r="AH117" s="5">
        <v>0.1013207</v>
      </c>
      <c r="AI117" s="5">
        <f t="shared" si="125"/>
        <v>8.2109149641188803E-2</v>
      </c>
      <c r="AJ117" s="5">
        <f t="shared" si="126"/>
        <v>0.12897407354840168</v>
      </c>
      <c r="AK117" s="5">
        <v>1.668445E-2</v>
      </c>
      <c r="AL117" s="5">
        <f t="shared" si="127"/>
        <v>9.3840172553459559E-3</v>
      </c>
      <c r="AM117" s="5">
        <f t="shared" si="128"/>
        <v>7.5912605318358096E-3</v>
      </c>
      <c r="AN117" s="13">
        <f t="shared" si="129"/>
        <v>2.1773243962879947E-2</v>
      </c>
      <c r="AO117" s="13">
        <f t="shared" si="130"/>
        <v>1.0886621981439974E-2</v>
      </c>
      <c r="AP117" s="13">
        <f t="shared" si="131"/>
        <v>8.372719704008361E-3</v>
      </c>
      <c r="AQ117" s="13">
        <f t="shared" si="132"/>
        <v>6.7851573773192704E-3</v>
      </c>
      <c r="AR117" s="13">
        <f t="shared" si="133"/>
        <v>1.0657879060299883E-2</v>
      </c>
      <c r="AS117" s="13">
        <f t="shared" si="134"/>
        <v>1.3787333019367445E-3</v>
      </c>
      <c r="AT117" s="13">
        <f t="shared" si="135"/>
        <v>7.7545601418653389E-4</v>
      </c>
      <c r="AU117" s="14">
        <f t="shared" si="136"/>
        <v>6.2731008207762753E-4</v>
      </c>
    </row>
    <row r="118" spans="1:47" x14ac:dyDescent="0.35">
      <c r="A118" s="5">
        <v>7.4999999999999997E-2</v>
      </c>
      <c r="B118" s="5">
        <v>0.02</v>
      </c>
      <c r="C118" s="5">
        <f t="shared" si="104"/>
        <v>0.15</v>
      </c>
      <c r="D118" s="5">
        <v>9.81</v>
      </c>
      <c r="E118" s="5">
        <v>1000</v>
      </c>
      <c r="F118" s="5">
        <v>2650</v>
      </c>
      <c r="G118" s="5">
        <v>1.65</v>
      </c>
      <c r="H118" s="5">
        <v>9.9999999999999995E-7</v>
      </c>
      <c r="I118" s="12"/>
      <c r="J118" s="12"/>
      <c r="K118" s="12"/>
      <c r="L118" s="12">
        <f t="shared" si="137"/>
        <v>183.24195744346741</v>
      </c>
      <c r="M118" s="5">
        <f t="shared" si="105"/>
        <v>0.93395493090452297</v>
      </c>
      <c r="N118" s="5">
        <f t="shared" si="106"/>
        <v>7.5471105527638221E-2</v>
      </c>
      <c r="O118" s="12">
        <f t="shared" si="107"/>
        <v>0.15094221105527644</v>
      </c>
      <c r="P118" s="5">
        <f t="shared" si="108"/>
        <v>1897.1962050160116</v>
      </c>
      <c r="Q118" s="5">
        <v>4.7E-2</v>
      </c>
      <c r="R118" s="5">
        <f t="shared" si="109"/>
        <v>5.5131715547597548E-2</v>
      </c>
      <c r="S118" s="5">
        <f t="shared" si="110"/>
        <v>5.6000000000000001E-2</v>
      </c>
      <c r="T118" s="5">
        <f t="shared" si="111"/>
        <v>7.977443845417484E-2</v>
      </c>
      <c r="U118" s="5">
        <f t="shared" si="112"/>
        <v>8.7074722341604224E-2</v>
      </c>
      <c r="V118" s="5">
        <f t="shared" si="113"/>
        <v>1.7378471639425337</v>
      </c>
      <c r="W118" s="5">
        <f t="shared" si="114"/>
        <v>0.3895547355705582</v>
      </c>
      <c r="X118" s="5">
        <f t="shared" si="115"/>
        <v>0.34112748995075981</v>
      </c>
      <c r="Y118" s="5">
        <f t="shared" si="116"/>
        <v>7.6712959739350417</v>
      </c>
      <c r="Z118" s="12">
        <f t="shared" si="117"/>
        <v>4.5205550599332014</v>
      </c>
      <c r="AA118" s="12">
        <f t="shared" si="118"/>
        <v>3.2838340384574485</v>
      </c>
      <c r="AB118" s="12">
        <f t="shared" si="119"/>
        <v>5.8518612919311673E-2</v>
      </c>
      <c r="AC118" s="1">
        <f t="shared" si="120"/>
        <v>0.44986768725616588</v>
      </c>
      <c r="AD118" s="1">
        <f t="shared" si="121"/>
        <v>0.18660326856663842</v>
      </c>
      <c r="AE118" s="12">
        <f t="shared" si="122"/>
        <v>0.81642397642269393</v>
      </c>
      <c r="AF118" s="5">
        <f t="shared" si="123"/>
        <v>0.26808833243654656</v>
      </c>
      <c r="AG118" s="5">
        <f t="shared" si="124"/>
        <v>0.13404416621827328</v>
      </c>
      <c r="AH118" s="5">
        <v>0.103893</v>
      </c>
      <c r="AI118" s="5">
        <f t="shared" si="125"/>
        <v>8.3946780864514819E-2</v>
      </c>
      <c r="AJ118" s="5">
        <f t="shared" si="126"/>
        <v>0.13166440952190703</v>
      </c>
      <c r="AK118" s="5">
        <v>1.712793E-2</v>
      </c>
      <c r="AL118" s="5">
        <f t="shared" si="127"/>
        <v>9.7435725314892769E-3</v>
      </c>
      <c r="AM118" s="5">
        <f t="shared" si="128"/>
        <v>7.9031132446881116E-3</v>
      </c>
      <c r="AN118" s="13">
        <f t="shared" si="129"/>
        <v>2.2153700708801037E-2</v>
      </c>
      <c r="AO118" s="13">
        <f t="shared" si="130"/>
        <v>1.1076850354400519E-2</v>
      </c>
      <c r="AP118" s="13">
        <f t="shared" si="131"/>
        <v>8.5852838384312454E-3</v>
      </c>
      <c r="AQ118" s="13">
        <f t="shared" si="132"/>
        <v>6.937011550772895E-3</v>
      </c>
      <c r="AR118" s="13">
        <f t="shared" si="133"/>
        <v>1.0880197194854528E-2</v>
      </c>
      <c r="AS118" s="13">
        <f t="shared" si="134"/>
        <v>1.4153806379138313E-3</v>
      </c>
      <c r="AT118" s="13">
        <f t="shared" si="135"/>
        <v>8.0516816131190273E-4</v>
      </c>
      <c r="AU118" s="14">
        <f t="shared" si="136"/>
        <v>6.5308028849790428E-4</v>
      </c>
    </row>
    <row r="119" spans="1:47" x14ac:dyDescent="0.35">
      <c r="A119" s="5">
        <v>7.4999999999999997E-2</v>
      </c>
      <c r="B119" s="5">
        <v>0.02</v>
      </c>
      <c r="C119" s="5">
        <f t="shared" si="104"/>
        <v>0.15</v>
      </c>
      <c r="D119" s="5">
        <v>9.81</v>
      </c>
      <c r="E119" s="5">
        <v>1000</v>
      </c>
      <c r="F119" s="5">
        <v>2650</v>
      </c>
      <c r="G119" s="5">
        <v>1.65</v>
      </c>
      <c r="H119" s="5">
        <v>9.9999999999999995E-7</v>
      </c>
      <c r="I119" s="12"/>
      <c r="J119" s="12"/>
      <c r="K119" s="12"/>
      <c r="L119" s="12">
        <f t="shared" si="137"/>
        <v>184.69081187185938</v>
      </c>
      <c r="M119" s="5">
        <f t="shared" si="105"/>
        <v>0.94133951005025163</v>
      </c>
      <c r="N119" s="5">
        <f t="shared" si="106"/>
        <v>7.6067839195979939E-2</v>
      </c>
      <c r="O119" s="12">
        <f t="shared" si="107"/>
        <v>0.15213567839195988</v>
      </c>
      <c r="P119" s="5">
        <f t="shared" si="108"/>
        <v>1897.1962050160116</v>
      </c>
      <c r="Q119" s="5">
        <v>4.7E-2</v>
      </c>
      <c r="R119" s="5">
        <f t="shared" si="109"/>
        <v>5.5131715547597548E-2</v>
      </c>
      <c r="S119" s="5">
        <f t="shared" si="110"/>
        <v>5.6000000000000001E-2</v>
      </c>
      <c r="T119" s="5">
        <f t="shared" si="111"/>
        <v>7.977443845417484E-2</v>
      </c>
      <c r="U119" s="5">
        <f t="shared" si="112"/>
        <v>8.7074722341604224E-2</v>
      </c>
      <c r="V119" s="5">
        <f t="shared" si="113"/>
        <v>1.7594947278688378</v>
      </c>
      <c r="W119" s="5">
        <f t="shared" si="114"/>
        <v>0.3895547355705582</v>
      </c>
      <c r="X119" s="5">
        <f t="shared" si="115"/>
        <v>0.34112748995075981</v>
      </c>
      <c r="Y119" s="5">
        <f t="shared" si="116"/>
        <v>7.6935653106997943</v>
      </c>
      <c r="Z119" s="12">
        <f t="shared" si="117"/>
        <v>4.5205550599332014</v>
      </c>
      <c r="AA119" s="12">
        <f t="shared" si="118"/>
        <v>3.3063611557097103</v>
      </c>
      <c r="AB119" s="12">
        <f t="shared" si="119"/>
        <v>5.8518612919311673E-2</v>
      </c>
      <c r="AC119" s="1">
        <f t="shared" si="120"/>
        <v>0.45653518909451934</v>
      </c>
      <c r="AD119" s="1">
        <f t="shared" si="121"/>
        <v>0.18794495937355724</v>
      </c>
      <c r="AE119" s="12">
        <f t="shared" si="122"/>
        <v>0.81642397642269393</v>
      </c>
      <c r="AF119" s="5">
        <f t="shared" si="123"/>
        <v>0.2727188576132048</v>
      </c>
      <c r="AG119" s="5">
        <f t="shared" si="124"/>
        <v>0.1363594288066024</v>
      </c>
      <c r="AH119" s="5">
        <v>0.1064966</v>
      </c>
      <c r="AI119" s="5">
        <f t="shared" si="125"/>
        <v>8.5803487566968706E-2</v>
      </c>
      <c r="AJ119" s="5">
        <f t="shared" si="126"/>
        <v>0.13436733476277601</v>
      </c>
      <c r="AK119" s="5">
        <v>1.7577510000000001E-2</v>
      </c>
      <c r="AL119" s="5">
        <f t="shared" si="127"/>
        <v>1.0111420866860012E-2</v>
      </c>
      <c r="AM119" s="5">
        <f t="shared" si="128"/>
        <v>8.2232790504134234E-3</v>
      </c>
      <c r="AN119" s="13">
        <f t="shared" si="129"/>
        <v>2.2536347980153418E-2</v>
      </c>
      <c r="AO119" s="13">
        <f t="shared" si="130"/>
        <v>1.1268173990076709E-2</v>
      </c>
      <c r="AP119" s="13">
        <f t="shared" si="131"/>
        <v>8.8004344741982321E-3</v>
      </c>
      <c r="AQ119" s="13">
        <f t="shared" si="132"/>
        <v>7.0904420421946885E-3</v>
      </c>
      <c r="AR119" s="13">
        <f t="shared" si="133"/>
        <v>1.11035556539126E-2</v>
      </c>
      <c r="AS119" s="13">
        <f t="shared" si="134"/>
        <v>1.4525320524276285E-3</v>
      </c>
      <c r="AT119" s="13">
        <f t="shared" si="135"/>
        <v>8.3556561223402652E-4</v>
      </c>
      <c r="AU119" s="14">
        <f t="shared" si="136"/>
        <v>6.7953745421178138E-4</v>
      </c>
    </row>
    <row r="120" spans="1:47" x14ac:dyDescent="0.35">
      <c r="A120" s="5">
        <v>7.4999999999999997E-2</v>
      </c>
      <c r="B120" s="5">
        <v>0.02</v>
      </c>
      <c r="C120" s="5">
        <f t="shared" si="104"/>
        <v>0.15</v>
      </c>
      <c r="D120" s="5">
        <v>9.81</v>
      </c>
      <c r="E120" s="5">
        <v>1000</v>
      </c>
      <c r="F120" s="5">
        <v>2650</v>
      </c>
      <c r="G120" s="5">
        <v>1.65</v>
      </c>
      <c r="H120" s="5">
        <v>9.9999999999999995E-7</v>
      </c>
      <c r="I120" s="12"/>
      <c r="J120" s="12"/>
      <c r="K120" s="12"/>
      <c r="L120" s="12">
        <f t="shared" si="137"/>
        <v>186.13966630025135</v>
      </c>
      <c r="M120" s="5">
        <f t="shared" si="105"/>
        <v>0.94872408919598028</v>
      </c>
      <c r="N120" s="5">
        <f t="shared" si="106"/>
        <v>7.6664572864321642E-2</v>
      </c>
      <c r="O120" s="12">
        <f t="shared" si="107"/>
        <v>0.15332914572864328</v>
      </c>
      <c r="P120" s="5">
        <f t="shared" si="108"/>
        <v>1897.1962050160116</v>
      </c>
      <c r="Q120" s="5">
        <v>4.7E-2</v>
      </c>
      <c r="R120" s="5">
        <f t="shared" si="109"/>
        <v>5.5131715547597548E-2</v>
      </c>
      <c r="S120" s="5">
        <f t="shared" si="110"/>
        <v>5.6000000000000001E-2</v>
      </c>
      <c r="T120" s="5">
        <f t="shared" si="111"/>
        <v>7.977443845417484E-2</v>
      </c>
      <c r="U120" s="5">
        <f t="shared" si="112"/>
        <v>8.7074722341604224E-2</v>
      </c>
      <c r="V120" s="5">
        <f t="shared" si="113"/>
        <v>1.7811422917951414</v>
      </c>
      <c r="W120" s="5">
        <f t="shared" si="114"/>
        <v>0.3895547355705582</v>
      </c>
      <c r="X120" s="5">
        <f t="shared" si="115"/>
        <v>0.34112748995075981</v>
      </c>
      <c r="Y120" s="5">
        <f t="shared" si="116"/>
        <v>7.7156045361733776</v>
      </c>
      <c r="Z120" s="12">
        <f t="shared" si="117"/>
        <v>4.5205550599332014</v>
      </c>
      <c r="AA120" s="12">
        <f t="shared" si="118"/>
        <v>3.328813202455597</v>
      </c>
      <c r="AB120" s="12">
        <f t="shared" si="119"/>
        <v>5.8518612919311673E-2</v>
      </c>
      <c r="AC120" s="1">
        <f t="shared" si="120"/>
        <v>0.46324104620459866</v>
      </c>
      <c r="AD120" s="1">
        <f t="shared" si="121"/>
        <v>0.18927340664096143</v>
      </c>
      <c r="AE120" s="12">
        <f t="shared" si="122"/>
        <v>0.81642397642269393</v>
      </c>
      <c r="AF120" s="5">
        <f t="shared" si="123"/>
        <v>0.27737574008032784</v>
      </c>
      <c r="AG120" s="5">
        <f t="shared" si="124"/>
        <v>0.13868787004016392</v>
      </c>
      <c r="AH120" s="5">
        <v>0.1091317</v>
      </c>
      <c r="AI120" s="5">
        <f t="shared" si="125"/>
        <v>8.7679210911067409E-2</v>
      </c>
      <c r="AJ120" s="5">
        <f t="shared" si="126"/>
        <v>0.13708237586082164</v>
      </c>
      <c r="AK120" s="5">
        <v>1.8033199999999999E-2</v>
      </c>
      <c r="AL120" s="5">
        <f t="shared" si="127"/>
        <v>1.0487569774589717E-2</v>
      </c>
      <c r="AM120" s="5">
        <f t="shared" si="128"/>
        <v>8.5518093565815564E-3</v>
      </c>
      <c r="AN120" s="13">
        <f t="shared" si="129"/>
        <v>2.2921173307966315E-2</v>
      </c>
      <c r="AO120" s="13">
        <f t="shared" si="130"/>
        <v>1.1460586653983158E-2</v>
      </c>
      <c r="AP120" s="13">
        <f t="shared" si="131"/>
        <v>9.018188138474461E-3</v>
      </c>
      <c r="AQ120" s="13">
        <f t="shared" si="132"/>
        <v>7.2454439895006549E-3</v>
      </c>
      <c r="AR120" s="13">
        <f t="shared" si="133"/>
        <v>1.132791531683241E-2</v>
      </c>
      <c r="AS120" s="13">
        <f t="shared" si="134"/>
        <v>1.4901883718363926E-3</v>
      </c>
      <c r="AT120" s="13">
        <f t="shared" si="135"/>
        <v>8.6664898780673498E-4</v>
      </c>
      <c r="AU120" s="14">
        <f t="shared" si="136"/>
        <v>7.0668582732623701E-4</v>
      </c>
    </row>
    <row r="121" spans="1:47" x14ac:dyDescent="0.35">
      <c r="A121" s="5">
        <v>7.4999999999999997E-2</v>
      </c>
      <c r="B121" s="5">
        <v>0.02</v>
      </c>
      <c r="C121" s="5">
        <f t="shared" si="104"/>
        <v>0.15</v>
      </c>
      <c r="D121" s="5">
        <v>9.81</v>
      </c>
      <c r="E121" s="5">
        <v>1000</v>
      </c>
      <c r="F121" s="5">
        <v>2650</v>
      </c>
      <c r="G121" s="5">
        <v>1.65</v>
      </c>
      <c r="H121" s="5">
        <v>9.9999999999999995E-7</v>
      </c>
      <c r="I121" s="12"/>
      <c r="J121" s="12"/>
      <c r="K121" s="12"/>
      <c r="L121" s="12">
        <f t="shared" si="137"/>
        <v>187.58852072864332</v>
      </c>
      <c r="M121" s="5">
        <f t="shared" si="105"/>
        <v>0.95610866834170893</v>
      </c>
      <c r="N121" s="5">
        <f t="shared" si="106"/>
        <v>7.726130653266336E-2</v>
      </c>
      <c r="O121" s="12">
        <f t="shared" si="107"/>
        <v>0.15452261306532672</v>
      </c>
      <c r="P121" s="5">
        <f t="shared" si="108"/>
        <v>1897.1962050160116</v>
      </c>
      <c r="Q121" s="5">
        <v>4.7E-2</v>
      </c>
      <c r="R121" s="5">
        <f t="shared" si="109"/>
        <v>5.5131715547597548E-2</v>
      </c>
      <c r="S121" s="5">
        <f t="shared" si="110"/>
        <v>5.6000000000000001E-2</v>
      </c>
      <c r="T121" s="5">
        <f t="shared" si="111"/>
        <v>7.977443845417484E-2</v>
      </c>
      <c r="U121" s="5">
        <f t="shared" si="112"/>
        <v>8.7074722341604224E-2</v>
      </c>
      <c r="V121" s="5">
        <f t="shared" si="113"/>
        <v>1.8027898557214459</v>
      </c>
      <c r="W121" s="5">
        <f t="shared" si="114"/>
        <v>0.3895547355705582</v>
      </c>
      <c r="X121" s="5">
        <f t="shared" si="115"/>
        <v>0.34112748995075981</v>
      </c>
      <c r="Y121" s="5">
        <f t="shared" si="116"/>
        <v>7.7374176196783342</v>
      </c>
      <c r="Z121" s="12">
        <f t="shared" si="117"/>
        <v>4.5205550599332014</v>
      </c>
      <c r="AA121" s="12">
        <f t="shared" si="118"/>
        <v>3.3511908954655136</v>
      </c>
      <c r="AB121" s="12">
        <f t="shared" si="119"/>
        <v>5.8518612919311673E-2</v>
      </c>
      <c r="AC121" s="1">
        <f t="shared" si="120"/>
        <v>0.46998511516311742</v>
      </c>
      <c r="AD121" s="1">
        <f t="shared" si="121"/>
        <v>0.19058878580275235</v>
      </c>
      <c r="AE121" s="12">
        <f t="shared" si="122"/>
        <v>0.81642397642269393</v>
      </c>
      <c r="AF121" s="5">
        <f t="shared" si="123"/>
        <v>0.28205883149507283</v>
      </c>
      <c r="AG121" s="5">
        <f t="shared" si="124"/>
        <v>0.14102941574753641</v>
      </c>
      <c r="AH121" s="5">
        <v>0.11179799999999999</v>
      </c>
      <c r="AI121" s="5">
        <f t="shared" si="125"/>
        <v>8.9573892444305275E-2</v>
      </c>
      <c r="AJ121" s="5">
        <f t="shared" si="126"/>
        <v>0.13980906755908992</v>
      </c>
      <c r="AK121" s="5">
        <v>1.8495000000000001E-2</v>
      </c>
      <c r="AL121" s="5">
        <f t="shared" si="127"/>
        <v>1.0872023144833855E-2</v>
      </c>
      <c r="AM121" s="5">
        <f t="shared" si="128"/>
        <v>8.8887513811471783E-3</v>
      </c>
      <c r="AN121" s="13">
        <f t="shared" si="129"/>
        <v>2.3308164433806424E-2</v>
      </c>
      <c r="AO121" s="13">
        <f t="shared" si="130"/>
        <v>1.1654082216903212E-2</v>
      </c>
      <c r="AP121" s="13">
        <f t="shared" si="131"/>
        <v>9.2385200405122221E-3</v>
      </c>
      <c r="AQ121" s="13">
        <f t="shared" si="132"/>
        <v>7.4020125624197275E-3</v>
      </c>
      <c r="AR121" s="13">
        <f t="shared" si="133"/>
        <v>1.1553237736721404E-2</v>
      </c>
      <c r="AS121" s="13">
        <f t="shared" si="134"/>
        <v>1.5283495961401238E-3</v>
      </c>
      <c r="AT121" s="13">
        <f t="shared" si="135"/>
        <v>8.984186094962369E-4</v>
      </c>
      <c r="AU121" s="14">
        <f t="shared" si="136"/>
        <v>7.3452930973594256E-4</v>
      </c>
    </row>
    <row r="122" spans="1:47" x14ac:dyDescent="0.35">
      <c r="A122" s="5">
        <v>7.4999999999999997E-2</v>
      </c>
      <c r="B122" s="5">
        <v>0.02</v>
      </c>
      <c r="C122" s="5">
        <f t="shared" si="104"/>
        <v>0.15</v>
      </c>
      <c r="D122" s="5">
        <v>9.81</v>
      </c>
      <c r="E122" s="5">
        <v>1000</v>
      </c>
      <c r="F122" s="5">
        <v>2650</v>
      </c>
      <c r="G122" s="5">
        <v>1.65</v>
      </c>
      <c r="H122" s="5">
        <v>9.9999999999999995E-7</v>
      </c>
      <c r="I122" s="12"/>
      <c r="J122" s="12"/>
      <c r="K122" s="12"/>
      <c r="L122" s="12">
        <f t="shared" si="137"/>
        <v>189.03737515703529</v>
      </c>
      <c r="M122" s="5">
        <f t="shared" si="105"/>
        <v>0.9634932474874377</v>
      </c>
      <c r="N122" s="5">
        <f t="shared" si="106"/>
        <v>7.7858040201005077E-2</v>
      </c>
      <c r="O122" s="12">
        <f t="shared" si="107"/>
        <v>0.15571608040201015</v>
      </c>
      <c r="P122" s="5">
        <f t="shared" si="108"/>
        <v>1897.1962050160116</v>
      </c>
      <c r="Q122" s="5">
        <v>4.7E-2</v>
      </c>
      <c r="R122" s="5">
        <f t="shared" si="109"/>
        <v>5.5131715547597548E-2</v>
      </c>
      <c r="S122" s="5">
        <f t="shared" si="110"/>
        <v>5.6000000000000001E-2</v>
      </c>
      <c r="T122" s="5">
        <f t="shared" si="111"/>
        <v>7.977443845417484E-2</v>
      </c>
      <c r="U122" s="5">
        <f t="shared" si="112"/>
        <v>8.7074722341604224E-2</v>
      </c>
      <c r="V122" s="5">
        <f t="shared" si="113"/>
        <v>1.82443741964775</v>
      </c>
      <c r="W122" s="5">
        <f t="shared" si="114"/>
        <v>0.3895547355705582</v>
      </c>
      <c r="X122" s="5">
        <f t="shared" si="115"/>
        <v>0.34112748995075981</v>
      </c>
      <c r="Y122" s="5">
        <f t="shared" si="116"/>
        <v>7.7590084438075699</v>
      </c>
      <c r="Z122" s="12">
        <f t="shared" si="117"/>
        <v>4.5205550599332014</v>
      </c>
      <c r="AA122" s="12">
        <f t="shared" si="118"/>
        <v>3.3734949445644822</v>
      </c>
      <c r="AB122" s="12">
        <f t="shared" si="119"/>
        <v>5.8518612919311673E-2</v>
      </c>
      <c r="AC122" s="1">
        <f t="shared" si="120"/>
        <v>0.47676725467080178</v>
      </c>
      <c r="AD122" s="1">
        <f t="shared" si="121"/>
        <v>0.19189127023740374</v>
      </c>
      <c r="AE122" s="12">
        <f t="shared" si="122"/>
        <v>0.81642397642269393</v>
      </c>
      <c r="AF122" s="5">
        <f t="shared" si="123"/>
        <v>0.28676798599146985</v>
      </c>
      <c r="AG122" s="5">
        <f t="shared" si="124"/>
        <v>0.14338399299573493</v>
      </c>
      <c r="AH122" s="5">
        <v>0.1144956</v>
      </c>
      <c r="AI122" s="5">
        <f t="shared" si="125"/>
        <v>9.1487474106379918E-2</v>
      </c>
      <c r="AJ122" s="5">
        <f t="shared" si="126"/>
        <v>0.14254695274833018</v>
      </c>
      <c r="AK122" s="5">
        <v>1.8962909999999999E-2</v>
      </c>
      <c r="AL122" s="5">
        <f t="shared" si="127"/>
        <v>1.1264781396308019E-2</v>
      </c>
      <c r="AM122" s="5">
        <f t="shared" si="128"/>
        <v>9.2341481982045979E-3</v>
      </c>
      <c r="AN122" s="13">
        <f t="shared" si="129"/>
        <v>2.3697309303918876E-2</v>
      </c>
      <c r="AO122" s="13">
        <f t="shared" si="130"/>
        <v>1.1848654651959438E-2</v>
      </c>
      <c r="AP122" s="13">
        <f t="shared" si="131"/>
        <v>9.461438443894089E-3</v>
      </c>
      <c r="AQ122" s="13">
        <f t="shared" si="132"/>
        <v>7.5601429630908776E-3</v>
      </c>
      <c r="AR122" s="13">
        <f t="shared" si="133"/>
        <v>1.1779485139979224E-2</v>
      </c>
      <c r="AS122" s="13">
        <f t="shared" si="134"/>
        <v>1.5670157253388222E-3</v>
      </c>
      <c r="AT122" s="13">
        <f t="shared" si="135"/>
        <v>9.3087451190344101E-4</v>
      </c>
      <c r="AU122" s="14">
        <f t="shared" si="136"/>
        <v>7.630714609042471E-4</v>
      </c>
    </row>
    <row r="123" spans="1:47" x14ac:dyDescent="0.35">
      <c r="A123" s="5">
        <v>7.4999999999999997E-2</v>
      </c>
      <c r="B123" s="5">
        <v>0.02</v>
      </c>
      <c r="C123" s="5">
        <f t="shared" si="104"/>
        <v>0.15</v>
      </c>
      <c r="D123" s="5">
        <v>9.81</v>
      </c>
      <c r="E123" s="5">
        <v>1000</v>
      </c>
      <c r="F123" s="5">
        <v>2650</v>
      </c>
      <c r="G123" s="5">
        <v>1.65</v>
      </c>
      <c r="H123" s="5">
        <v>9.9999999999999995E-7</v>
      </c>
      <c r="I123" s="12"/>
      <c r="J123" s="12"/>
      <c r="K123" s="12"/>
      <c r="L123" s="12">
        <f t="shared" si="137"/>
        <v>190.48622958542725</v>
      </c>
      <c r="M123" s="5">
        <f t="shared" si="105"/>
        <v>0.97087782663316635</v>
      </c>
      <c r="N123" s="5">
        <f t="shared" si="106"/>
        <v>7.8454773869346781E-2</v>
      </c>
      <c r="O123" s="12">
        <f t="shared" si="107"/>
        <v>0.15690954773869356</v>
      </c>
      <c r="P123" s="5">
        <f t="shared" si="108"/>
        <v>1897.1962050160116</v>
      </c>
      <c r="Q123" s="5">
        <v>4.7E-2</v>
      </c>
      <c r="R123" s="5">
        <f t="shared" si="109"/>
        <v>5.5131715547597548E-2</v>
      </c>
      <c r="S123" s="5">
        <f t="shared" si="110"/>
        <v>5.6000000000000001E-2</v>
      </c>
      <c r="T123" s="5">
        <f t="shared" si="111"/>
        <v>7.977443845417484E-2</v>
      </c>
      <c r="U123" s="5">
        <f t="shared" si="112"/>
        <v>8.7074722341604224E-2</v>
      </c>
      <c r="V123" s="5">
        <f t="shared" si="113"/>
        <v>1.8460849835740536</v>
      </c>
      <c r="W123" s="5">
        <f t="shared" si="114"/>
        <v>0.3895547355705582</v>
      </c>
      <c r="X123" s="5">
        <f t="shared" si="115"/>
        <v>0.34112748995075981</v>
      </c>
      <c r="Y123" s="5">
        <f t="shared" si="116"/>
        <v>7.7803808065797604</v>
      </c>
      <c r="Z123" s="12">
        <f t="shared" si="117"/>
        <v>4.5205550599332014</v>
      </c>
      <c r="AA123" s="12">
        <f t="shared" si="118"/>
        <v>3.3957260525717827</v>
      </c>
      <c r="AB123" s="12">
        <f t="shared" si="119"/>
        <v>5.8518612919311673E-2</v>
      </c>
      <c r="AC123" s="1">
        <f t="shared" si="120"/>
        <v>0.48358732550617889</v>
      </c>
      <c r="AD123" s="1">
        <f t="shared" si="121"/>
        <v>0.19318103123937175</v>
      </c>
      <c r="AE123" s="12">
        <f t="shared" si="122"/>
        <v>0.81642397642269393</v>
      </c>
      <c r="AF123" s="5">
        <f t="shared" si="123"/>
        <v>0.29150306011225074</v>
      </c>
      <c r="AG123" s="5">
        <f t="shared" si="124"/>
        <v>0.14575153005612537</v>
      </c>
      <c r="AH123" s="5">
        <v>0.11722440000000001</v>
      </c>
      <c r="AI123" s="5">
        <f t="shared" si="125"/>
        <v>9.3419898235573381E-2</v>
      </c>
      <c r="AJ123" s="5">
        <f t="shared" si="126"/>
        <v>0.14529558245218482</v>
      </c>
      <c r="AK123" s="5">
        <v>1.943696E-2</v>
      </c>
      <c r="AL123" s="5">
        <f t="shared" si="127"/>
        <v>1.1665841631691844E-2</v>
      </c>
      <c r="AM123" s="5">
        <f t="shared" si="128"/>
        <v>9.5880387931630146E-3</v>
      </c>
      <c r="AN123" s="13">
        <f t="shared" si="129"/>
        <v>2.4088596063593874E-2</v>
      </c>
      <c r="AO123" s="13">
        <f t="shared" si="130"/>
        <v>1.2044298031796937E-2</v>
      </c>
      <c r="AP123" s="13">
        <f t="shared" si="131"/>
        <v>9.6869350850374882E-3</v>
      </c>
      <c r="AQ123" s="13">
        <f t="shared" si="132"/>
        <v>7.7198304265904318E-3</v>
      </c>
      <c r="AR123" s="13">
        <f t="shared" si="133"/>
        <v>1.2006620425073843E-2</v>
      </c>
      <c r="AS123" s="13">
        <f t="shared" si="134"/>
        <v>1.6061892385072583E-3</v>
      </c>
      <c r="AT123" s="13">
        <f t="shared" si="135"/>
        <v>9.6401645560588662E-4</v>
      </c>
      <c r="AU123" s="14">
        <f t="shared" si="136"/>
        <v>7.9231550242262958E-4</v>
      </c>
    </row>
    <row r="124" spans="1:47" x14ac:dyDescent="0.35">
      <c r="A124" s="5">
        <v>7.4999999999999997E-2</v>
      </c>
      <c r="B124" s="5">
        <v>0.02</v>
      </c>
      <c r="C124" s="5">
        <f t="shared" si="104"/>
        <v>0.15</v>
      </c>
      <c r="D124" s="5">
        <v>9.81</v>
      </c>
      <c r="E124" s="5">
        <v>1000</v>
      </c>
      <c r="F124" s="5">
        <v>2650</v>
      </c>
      <c r="G124" s="5">
        <v>1.65</v>
      </c>
      <c r="H124" s="5">
        <v>9.9999999999999995E-7</v>
      </c>
      <c r="I124" s="12"/>
      <c r="J124" s="12"/>
      <c r="K124" s="12"/>
      <c r="L124" s="12">
        <f t="shared" si="137"/>
        <v>191.93508401381922</v>
      </c>
      <c r="M124" s="5">
        <f t="shared" si="105"/>
        <v>0.97826240577889501</v>
      </c>
      <c r="N124" s="5">
        <f t="shared" si="106"/>
        <v>7.9051507537688498E-2</v>
      </c>
      <c r="O124" s="12">
        <f t="shared" si="107"/>
        <v>0.158103015075377</v>
      </c>
      <c r="P124" s="5">
        <f t="shared" si="108"/>
        <v>1897.1962050160116</v>
      </c>
      <c r="Q124" s="5">
        <v>4.7E-2</v>
      </c>
      <c r="R124" s="5">
        <f t="shared" si="109"/>
        <v>5.5131715547597548E-2</v>
      </c>
      <c r="S124" s="5">
        <f t="shared" si="110"/>
        <v>5.6000000000000001E-2</v>
      </c>
      <c r="T124" s="5">
        <f t="shared" si="111"/>
        <v>7.977443845417484E-2</v>
      </c>
      <c r="U124" s="5">
        <f t="shared" si="112"/>
        <v>8.7074722341604224E-2</v>
      </c>
      <c r="V124" s="5">
        <f t="shared" si="113"/>
        <v>1.8677325475003577</v>
      </c>
      <c r="W124" s="5">
        <f t="shared" si="114"/>
        <v>0.3895547355705582</v>
      </c>
      <c r="X124" s="5">
        <f t="shared" si="115"/>
        <v>0.34112748995075981</v>
      </c>
      <c r="Y124" s="5">
        <f t="shared" si="116"/>
        <v>7.8015384235391156</v>
      </c>
      <c r="Z124" s="12">
        <f t="shared" si="117"/>
        <v>4.5205550599332014</v>
      </c>
      <c r="AA124" s="12">
        <f t="shared" si="118"/>
        <v>3.4178849152512019</v>
      </c>
      <c r="AB124" s="12">
        <f t="shared" si="119"/>
        <v>5.8518612919311673E-2</v>
      </c>
      <c r="AC124" s="1">
        <f t="shared" si="120"/>
        <v>0.49044519048049551</v>
      </c>
      <c r="AD124" s="1">
        <f t="shared" si="121"/>
        <v>0.19445823799579229</v>
      </c>
      <c r="AE124" s="12">
        <f t="shared" si="122"/>
        <v>0.81642397642269393</v>
      </c>
      <c r="AF124" s="5">
        <f t="shared" si="123"/>
        <v>0.29626391274327923</v>
      </c>
      <c r="AG124" s="5">
        <f t="shared" si="124"/>
        <v>0.14813195637163962</v>
      </c>
      <c r="AH124" s="5">
        <v>0.1199844</v>
      </c>
      <c r="AI124" s="5">
        <f t="shared" si="125"/>
        <v>9.5371107574347871E-2</v>
      </c>
      <c r="AJ124" s="5">
        <f t="shared" si="126"/>
        <v>0.14805451580378023</v>
      </c>
      <c r="AK124" s="5">
        <v>1.991714E-2</v>
      </c>
      <c r="AL124" s="5">
        <f t="shared" si="127"/>
        <v>1.2075197796094598E-2</v>
      </c>
      <c r="AM124" s="5">
        <f t="shared" si="128"/>
        <v>9.9504581268473249E-3</v>
      </c>
      <c r="AN124" s="13">
        <f t="shared" si="129"/>
        <v>2.4482013051748241E-2</v>
      </c>
      <c r="AO124" s="13">
        <f t="shared" si="130"/>
        <v>1.2241006525874121E-2</v>
      </c>
      <c r="AP124" s="13">
        <f t="shared" si="131"/>
        <v>9.9150099639424213E-3</v>
      </c>
      <c r="AQ124" s="13">
        <f t="shared" si="132"/>
        <v>7.8810702213944778E-3</v>
      </c>
      <c r="AR124" s="13">
        <f t="shared" si="133"/>
        <v>1.2234607160607142E-2</v>
      </c>
      <c r="AS124" s="13">
        <f t="shared" si="134"/>
        <v>1.6458693092871752E-3</v>
      </c>
      <c r="AT124" s="13">
        <f t="shared" si="135"/>
        <v>9.9784394025267866E-4</v>
      </c>
      <c r="AU124" s="14">
        <f t="shared" si="136"/>
        <v>8.2226432330772224E-4</v>
      </c>
    </row>
    <row r="125" spans="1:47" x14ac:dyDescent="0.35">
      <c r="A125" s="5">
        <v>7.4999999999999997E-2</v>
      </c>
      <c r="B125" s="5">
        <v>0.02</v>
      </c>
      <c r="C125" s="5">
        <f t="shared" si="104"/>
        <v>0.15</v>
      </c>
      <c r="D125" s="5">
        <v>9.81</v>
      </c>
      <c r="E125" s="5">
        <v>1000</v>
      </c>
      <c r="F125" s="5">
        <v>2650</v>
      </c>
      <c r="G125" s="5">
        <v>1.65</v>
      </c>
      <c r="H125" s="5">
        <v>9.9999999999999995E-7</v>
      </c>
      <c r="I125" s="12"/>
      <c r="J125" s="12"/>
      <c r="K125" s="12"/>
      <c r="L125" s="12">
        <f t="shared" si="137"/>
        <v>193.38393844221119</v>
      </c>
      <c r="M125" s="5">
        <f t="shared" si="105"/>
        <v>0.98564698492462366</v>
      </c>
      <c r="N125" s="5">
        <f t="shared" si="106"/>
        <v>7.9648241206030215E-2</v>
      </c>
      <c r="O125" s="12">
        <f t="shared" si="107"/>
        <v>0.15929648241206043</v>
      </c>
      <c r="P125" s="5">
        <f t="shared" si="108"/>
        <v>1897.1962050160116</v>
      </c>
      <c r="Q125" s="5">
        <v>4.7E-2</v>
      </c>
      <c r="R125" s="5">
        <f t="shared" si="109"/>
        <v>5.5131715547597548E-2</v>
      </c>
      <c r="S125" s="5">
        <f t="shared" si="110"/>
        <v>5.6000000000000001E-2</v>
      </c>
      <c r="T125" s="5">
        <f t="shared" si="111"/>
        <v>7.977443845417484E-2</v>
      </c>
      <c r="U125" s="5">
        <f t="shared" si="112"/>
        <v>8.7074722341604224E-2</v>
      </c>
      <c r="V125" s="5">
        <f t="shared" si="113"/>
        <v>1.8893801114266617</v>
      </c>
      <c r="W125" s="5">
        <f t="shared" si="114"/>
        <v>0.3895547355705582</v>
      </c>
      <c r="X125" s="5">
        <f t="shared" si="115"/>
        <v>0.34112748995075981</v>
      </c>
      <c r="Y125" s="5">
        <f t="shared" si="116"/>
        <v>7.8224849298007664</v>
      </c>
      <c r="Z125" s="12">
        <f t="shared" si="117"/>
        <v>4.5205550599332014</v>
      </c>
      <c r="AA125" s="12">
        <f t="shared" si="118"/>
        <v>3.4399722212711463</v>
      </c>
      <c r="AB125" s="12">
        <f t="shared" si="119"/>
        <v>5.8518612919311673E-2</v>
      </c>
      <c r="AC125" s="1">
        <f t="shared" si="120"/>
        <v>0.49734071439373884</v>
      </c>
      <c r="AD125" s="1">
        <f t="shared" si="121"/>
        <v>0.19572305756802297</v>
      </c>
      <c r="AE125" s="12">
        <f t="shared" si="122"/>
        <v>0.81642397642269393</v>
      </c>
      <c r="AF125" s="5">
        <f t="shared" si="123"/>
        <v>0.30105040505044933</v>
      </c>
      <c r="AG125" s="5">
        <f t="shared" si="124"/>
        <v>0.15052520252522467</v>
      </c>
      <c r="AH125" s="5">
        <v>0.1227755</v>
      </c>
      <c r="AI125" s="5">
        <f t="shared" si="125"/>
        <v>9.7341045274207422E-2</v>
      </c>
      <c r="AJ125" s="5">
        <f t="shared" si="126"/>
        <v>0.15082332001436344</v>
      </c>
      <c r="AK125" s="5">
        <v>2.0403459999999998E-2</v>
      </c>
      <c r="AL125" s="5">
        <f t="shared" si="127"/>
        <v>1.2492840837803734E-2</v>
      </c>
      <c r="AM125" s="5">
        <f t="shared" si="128"/>
        <v>1.0321437208004854E-2</v>
      </c>
      <c r="AN125" s="13">
        <f t="shared" si="129"/>
        <v>2.4877548795711E-2</v>
      </c>
      <c r="AO125" s="13">
        <f t="shared" si="130"/>
        <v>1.24387743978555E-2</v>
      </c>
      <c r="AP125" s="13">
        <f t="shared" si="131"/>
        <v>1.0145654817026319E-2</v>
      </c>
      <c r="AQ125" s="13">
        <f t="shared" si="132"/>
        <v>8.0438576497806127E-3</v>
      </c>
      <c r="AR125" s="13">
        <f t="shared" si="133"/>
        <v>1.246340958272317E-2</v>
      </c>
      <c r="AS125" s="13">
        <f t="shared" si="134"/>
        <v>1.6860567640368299E-3</v>
      </c>
      <c r="AT125" s="13">
        <f t="shared" si="135"/>
        <v>1.0323562178480769E-3</v>
      </c>
      <c r="AU125" s="14">
        <f t="shared" si="136"/>
        <v>8.5292048599296382E-4</v>
      </c>
    </row>
    <row r="126" spans="1:47" x14ac:dyDescent="0.35">
      <c r="A126" s="5">
        <v>7.4999999999999997E-2</v>
      </c>
      <c r="B126" s="5">
        <v>0.02</v>
      </c>
      <c r="C126" s="5">
        <f t="shared" si="104"/>
        <v>0.15</v>
      </c>
      <c r="D126" s="5">
        <v>9.81</v>
      </c>
      <c r="E126" s="5">
        <v>1000</v>
      </c>
      <c r="F126" s="5">
        <v>2650</v>
      </c>
      <c r="G126" s="5">
        <v>1.65</v>
      </c>
      <c r="H126" s="5">
        <v>9.9999999999999995E-7</v>
      </c>
      <c r="I126" s="12"/>
      <c r="J126" s="12"/>
      <c r="K126" s="12"/>
      <c r="L126" s="12">
        <f t="shared" si="137"/>
        <v>194.83279287060316</v>
      </c>
      <c r="M126" s="5">
        <f t="shared" si="105"/>
        <v>0.99303156407035242</v>
      </c>
      <c r="N126" s="5">
        <f t="shared" si="106"/>
        <v>8.0244974874371919E-2</v>
      </c>
      <c r="O126" s="12">
        <f t="shared" si="107"/>
        <v>0.16048994974874384</v>
      </c>
      <c r="P126" s="5">
        <f t="shared" si="108"/>
        <v>1897.1962050160116</v>
      </c>
      <c r="Q126" s="5">
        <v>4.7E-2</v>
      </c>
      <c r="R126" s="5">
        <f t="shared" si="109"/>
        <v>5.5131715547597548E-2</v>
      </c>
      <c r="S126" s="5">
        <f t="shared" si="110"/>
        <v>5.6000000000000001E-2</v>
      </c>
      <c r="T126" s="5">
        <f t="shared" si="111"/>
        <v>7.977443845417484E-2</v>
      </c>
      <c r="U126" s="5">
        <f t="shared" si="112"/>
        <v>8.7074722341604224E-2</v>
      </c>
      <c r="V126" s="5">
        <f t="shared" si="113"/>
        <v>1.9110276753529654</v>
      </c>
      <c r="W126" s="5">
        <f t="shared" si="114"/>
        <v>0.3895547355705582</v>
      </c>
      <c r="X126" s="5">
        <f t="shared" si="115"/>
        <v>0.34112748995075981</v>
      </c>
      <c r="Y126" s="5">
        <f t="shared" si="116"/>
        <v>7.8432238820430289</v>
      </c>
      <c r="Z126" s="12">
        <f t="shared" si="117"/>
        <v>4.5205550599332014</v>
      </c>
      <c r="AA126" s="12">
        <f t="shared" si="118"/>
        <v>3.4619886521739516</v>
      </c>
      <c r="AB126" s="12">
        <f t="shared" si="119"/>
        <v>5.8518612919311673E-2</v>
      </c>
      <c r="AC126" s="1">
        <f t="shared" si="120"/>
        <v>0.50427376399173829</v>
      </c>
      <c r="AD126" s="1">
        <f t="shared" si="121"/>
        <v>0.19697565487762736</v>
      </c>
      <c r="AE126" s="12">
        <f t="shared" si="122"/>
        <v>0.81642397642269393</v>
      </c>
      <c r="AF126" s="5">
        <f t="shared" si="123"/>
        <v>0.30586240041894092</v>
      </c>
      <c r="AG126" s="5">
        <f t="shared" si="124"/>
        <v>0.15293120020947046</v>
      </c>
      <c r="AH126" s="5">
        <v>0.1255976</v>
      </c>
      <c r="AI126" s="5">
        <f t="shared" si="125"/>
        <v>9.9329654899878758E-2</v>
      </c>
      <c r="AJ126" s="5">
        <f t="shared" si="126"/>
        <v>0.15360157033459407</v>
      </c>
      <c r="AK126" s="5">
        <v>2.089593E-2</v>
      </c>
      <c r="AL126" s="5">
        <f t="shared" si="127"/>
        <v>1.2918758870568025E-2</v>
      </c>
      <c r="AM126" s="5">
        <f t="shared" si="128"/>
        <v>1.0701003173677281E-2</v>
      </c>
      <c r="AN126" s="13">
        <f t="shared" si="129"/>
        <v>2.5275192006203685E-2</v>
      </c>
      <c r="AO126" s="13">
        <f t="shared" si="130"/>
        <v>1.2637596003101843E-2</v>
      </c>
      <c r="AP126" s="13">
        <f t="shared" si="131"/>
        <v>1.0378861380706613E-2</v>
      </c>
      <c r="AQ126" s="13">
        <f t="shared" si="132"/>
        <v>8.2081880481734287E-3</v>
      </c>
      <c r="AR126" s="13">
        <f t="shared" si="133"/>
        <v>1.2692992591909471E-2</v>
      </c>
      <c r="AS126" s="13">
        <f t="shared" si="134"/>
        <v>1.7267524291144794E-3</v>
      </c>
      <c r="AT126" s="13">
        <f t="shared" si="135"/>
        <v>1.0675523061618969E-3</v>
      </c>
      <c r="AU126" s="14">
        <f t="shared" si="136"/>
        <v>8.8428623297020039E-4</v>
      </c>
    </row>
    <row r="127" spans="1:47" x14ac:dyDescent="0.35">
      <c r="A127" s="5">
        <v>7.4999999999999997E-2</v>
      </c>
      <c r="B127" s="5">
        <v>0.02</v>
      </c>
      <c r="C127" s="5">
        <f t="shared" si="104"/>
        <v>0.15</v>
      </c>
      <c r="D127" s="5">
        <v>9.81</v>
      </c>
      <c r="E127" s="5">
        <v>1000</v>
      </c>
      <c r="F127" s="5">
        <v>2650</v>
      </c>
      <c r="G127" s="5">
        <v>1.65</v>
      </c>
      <c r="H127" s="5">
        <v>9.9999999999999995E-7</v>
      </c>
      <c r="I127" s="12"/>
      <c r="J127" s="12"/>
      <c r="K127" s="12"/>
      <c r="L127" s="12">
        <f t="shared" si="137"/>
        <v>196.28164729899513</v>
      </c>
      <c r="M127" s="5">
        <f t="shared" si="105"/>
        <v>1.0004161432160812</v>
      </c>
      <c r="N127" s="5">
        <f t="shared" si="106"/>
        <v>8.0841708542713636E-2</v>
      </c>
      <c r="O127" s="12">
        <f t="shared" si="107"/>
        <v>0.16168341708542727</v>
      </c>
      <c r="P127" s="5">
        <f t="shared" si="108"/>
        <v>1897.1962050160116</v>
      </c>
      <c r="Q127" s="5">
        <v>4.7E-2</v>
      </c>
      <c r="R127" s="5">
        <f t="shared" si="109"/>
        <v>5.5131715547597548E-2</v>
      </c>
      <c r="S127" s="5">
        <f t="shared" si="110"/>
        <v>5.6000000000000001E-2</v>
      </c>
      <c r="T127" s="5">
        <f t="shared" si="111"/>
        <v>7.977443845417484E-2</v>
      </c>
      <c r="U127" s="5">
        <f t="shared" si="112"/>
        <v>8.7074722341604224E-2</v>
      </c>
      <c r="V127" s="5">
        <f t="shared" si="113"/>
        <v>1.9326752392792699</v>
      </c>
      <c r="W127" s="5">
        <f t="shared" si="114"/>
        <v>0.3895547355705582</v>
      </c>
      <c r="X127" s="5">
        <f t="shared" si="115"/>
        <v>0.34112748995075981</v>
      </c>
      <c r="Y127" s="5">
        <f t="shared" si="116"/>
        <v>7.863758760447805</v>
      </c>
      <c r="Z127" s="12">
        <f t="shared" si="117"/>
        <v>4.5205550599332014</v>
      </c>
      <c r="AA127" s="12">
        <f t="shared" si="118"/>
        <v>3.4839348823537377</v>
      </c>
      <c r="AB127" s="12">
        <f t="shared" si="119"/>
        <v>5.8518612919311673E-2</v>
      </c>
      <c r="AC127" s="1">
        <f t="shared" si="120"/>
        <v>0.51124420792432146</v>
      </c>
      <c r="AD127" s="1">
        <f t="shared" si="121"/>
        <v>0.19821619269641738</v>
      </c>
      <c r="AE127" s="12">
        <f t="shared" si="122"/>
        <v>0.81642397642269393</v>
      </c>
      <c r="AF127" s="5">
        <f t="shared" si="123"/>
        <v>0.31069976439471536</v>
      </c>
      <c r="AG127" s="5">
        <f t="shared" si="124"/>
        <v>0.15534988219735768</v>
      </c>
      <c r="AH127" s="5">
        <v>0.1284506</v>
      </c>
      <c r="AI127" s="5">
        <f t="shared" si="125"/>
        <v>0.10133688043285458</v>
      </c>
      <c r="AJ127" s="5">
        <f t="shared" si="126"/>
        <v>0.15638885000906774</v>
      </c>
      <c r="AK127" s="5">
        <v>2.139456E-2</v>
      </c>
      <c r="AL127" s="5">
        <f t="shared" si="127"/>
        <v>1.335293733669996E-2</v>
      </c>
      <c r="AM127" s="5">
        <f t="shared" si="128"/>
        <v>1.1089179376880079E-2</v>
      </c>
      <c r="AN127" s="13">
        <f t="shared" si="129"/>
        <v>2.5674931572505805E-2</v>
      </c>
      <c r="AO127" s="13">
        <f t="shared" si="130"/>
        <v>1.2837465786252902E-2</v>
      </c>
      <c r="AP127" s="13">
        <f t="shared" si="131"/>
        <v>1.0614621391400734E-2</v>
      </c>
      <c r="AQ127" s="13">
        <f t="shared" si="132"/>
        <v>8.3740567874373232E-3</v>
      </c>
      <c r="AR127" s="13">
        <f t="shared" si="133"/>
        <v>1.2923321749239096E-2</v>
      </c>
      <c r="AS127" s="13">
        <f t="shared" si="134"/>
        <v>1.7679571308783805E-3</v>
      </c>
      <c r="AT127" s="13">
        <f t="shared" si="135"/>
        <v>1.103431002207611E-3</v>
      </c>
      <c r="AU127" s="14">
        <f t="shared" si="136"/>
        <v>9.1636349403514776E-4</v>
      </c>
    </row>
    <row r="128" spans="1:47" x14ac:dyDescent="0.35">
      <c r="A128" s="5">
        <v>7.4999999999999997E-2</v>
      </c>
      <c r="B128" s="5">
        <v>0.02</v>
      </c>
      <c r="C128" s="5">
        <f t="shared" si="104"/>
        <v>0.15</v>
      </c>
      <c r="D128" s="5">
        <v>9.81</v>
      </c>
      <c r="E128" s="5">
        <v>1000</v>
      </c>
      <c r="F128" s="5">
        <v>2650</v>
      </c>
      <c r="G128" s="5">
        <v>1.65</v>
      </c>
      <c r="H128" s="5">
        <v>9.9999999999999995E-7</v>
      </c>
      <c r="I128" s="12"/>
      <c r="J128" s="12"/>
      <c r="K128" s="12"/>
      <c r="L128" s="12">
        <f t="shared" si="137"/>
        <v>197.73050172738709</v>
      </c>
      <c r="M128" s="5">
        <f t="shared" si="105"/>
        <v>1.0078007223618097</v>
      </c>
      <c r="N128" s="5">
        <f t="shared" si="106"/>
        <v>8.143844221105534E-2</v>
      </c>
      <c r="O128" s="12">
        <f t="shared" si="107"/>
        <v>0.16287688442211068</v>
      </c>
      <c r="P128" s="5">
        <f t="shared" si="108"/>
        <v>1897.1962050160116</v>
      </c>
      <c r="Q128" s="5">
        <v>4.7E-2</v>
      </c>
      <c r="R128" s="5">
        <f t="shared" si="109"/>
        <v>5.5131715547597548E-2</v>
      </c>
      <c r="S128" s="5">
        <f t="shared" si="110"/>
        <v>5.6000000000000001E-2</v>
      </c>
      <c r="T128" s="5">
        <f t="shared" si="111"/>
        <v>7.977443845417484E-2</v>
      </c>
      <c r="U128" s="5">
        <f t="shared" si="112"/>
        <v>8.7074722341604224E-2</v>
      </c>
      <c r="V128" s="5">
        <f t="shared" si="113"/>
        <v>1.9543228032055735</v>
      </c>
      <c r="W128" s="5">
        <f t="shared" si="114"/>
        <v>0.3895547355705582</v>
      </c>
      <c r="X128" s="5">
        <f t="shared" si="115"/>
        <v>0.34112748995075981</v>
      </c>
      <c r="Y128" s="5">
        <f t="shared" si="116"/>
        <v>7.8840929705903422</v>
      </c>
      <c r="Z128" s="12">
        <f t="shared" si="117"/>
        <v>4.5205550599332014</v>
      </c>
      <c r="AA128" s="12">
        <f t="shared" si="118"/>
        <v>3.5058115790422169</v>
      </c>
      <c r="AB128" s="12">
        <f t="shared" si="119"/>
        <v>5.8518612919311673E-2</v>
      </c>
      <c r="AC128" s="1">
        <f t="shared" si="120"/>
        <v>0.51825191670450177</v>
      </c>
      <c r="AD128" s="1">
        <f t="shared" si="121"/>
        <v>0.19944483164021576</v>
      </c>
      <c r="AE128" s="12">
        <f t="shared" si="122"/>
        <v>0.81642397642269393</v>
      </c>
      <c r="AF128" s="5">
        <f t="shared" si="123"/>
        <v>0.31556236462814768</v>
      </c>
      <c r="AG128" s="5">
        <f t="shared" si="124"/>
        <v>0.15778118231407384</v>
      </c>
      <c r="AH128" s="5">
        <v>0.1313346</v>
      </c>
      <c r="AI128" s="5">
        <f t="shared" si="125"/>
        <v>0.10336266627434848</v>
      </c>
      <c r="AJ128" s="5">
        <f t="shared" si="126"/>
        <v>0.1591847502246119</v>
      </c>
      <c r="AK128" s="5">
        <v>2.189934E-2</v>
      </c>
      <c r="AL128" s="5">
        <f t="shared" si="127"/>
        <v>1.3795359170318705E-2</v>
      </c>
      <c r="AM128" s="5">
        <f t="shared" si="128"/>
        <v>1.1485985481019194E-2</v>
      </c>
      <c r="AN128" s="13">
        <f t="shared" si="129"/>
        <v>2.6076756557796812E-2</v>
      </c>
      <c r="AO128" s="13">
        <f t="shared" si="130"/>
        <v>1.3038378278898406E-2</v>
      </c>
      <c r="AP128" s="13">
        <f t="shared" si="131"/>
        <v>1.0852943112691252E-2</v>
      </c>
      <c r="AQ128" s="13">
        <f t="shared" si="132"/>
        <v>8.5414592731206749E-3</v>
      </c>
      <c r="AR128" s="13">
        <f t="shared" si="133"/>
        <v>1.3154363272097977E-2</v>
      </c>
      <c r="AS128" s="13">
        <f t="shared" si="134"/>
        <v>1.8096700429702762E-3</v>
      </c>
      <c r="AT128" s="13">
        <f t="shared" si="135"/>
        <v>1.1399908957320654E-3</v>
      </c>
      <c r="AU128" s="14">
        <f t="shared" si="136"/>
        <v>9.491538940895924E-4</v>
      </c>
    </row>
    <row r="129" spans="1:47" x14ac:dyDescent="0.35">
      <c r="A129" s="5">
        <v>7.4999999999999997E-2</v>
      </c>
      <c r="B129" s="5">
        <v>0.02</v>
      </c>
      <c r="C129" s="5">
        <f t="shared" si="104"/>
        <v>0.15</v>
      </c>
      <c r="D129" s="5">
        <v>9.81</v>
      </c>
      <c r="E129" s="5">
        <v>1000</v>
      </c>
      <c r="F129" s="5">
        <v>2650</v>
      </c>
      <c r="G129" s="5">
        <v>1.65</v>
      </c>
      <c r="H129" s="5">
        <v>9.9999999999999995E-7</v>
      </c>
      <c r="I129" s="12"/>
      <c r="J129" s="12"/>
      <c r="K129" s="12"/>
      <c r="L129" s="12">
        <f t="shared" si="137"/>
        <v>199.17935615577906</v>
      </c>
      <c r="M129" s="5">
        <f t="shared" si="105"/>
        <v>1.0151853015075385</v>
      </c>
      <c r="N129" s="5">
        <f t="shared" si="106"/>
        <v>8.2035175879397057E-2</v>
      </c>
      <c r="O129" s="12">
        <f t="shared" si="107"/>
        <v>0.16407035175879411</v>
      </c>
      <c r="P129" s="5">
        <f t="shared" si="108"/>
        <v>1897.1962050160116</v>
      </c>
      <c r="Q129" s="5">
        <v>4.7E-2</v>
      </c>
      <c r="R129" s="5">
        <f t="shared" si="109"/>
        <v>5.5131715547597548E-2</v>
      </c>
      <c r="S129" s="5">
        <f t="shared" si="110"/>
        <v>5.6000000000000001E-2</v>
      </c>
      <c r="T129" s="5">
        <f t="shared" si="111"/>
        <v>7.977443845417484E-2</v>
      </c>
      <c r="U129" s="5">
        <f t="shared" si="112"/>
        <v>8.7074722341604224E-2</v>
      </c>
      <c r="V129" s="5">
        <f t="shared" si="113"/>
        <v>1.9759703671318776</v>
      </c>
      <c r="W129" s="5">
        <f t="shared" si="114"/>
        <v>0.3895547355705582</v>
      </c>
      <c r="X129" s="5">
        <f t="shared" si="115"/>
        <v>0.34112748995075981</v>
      </c>
      <c r="Y129" s="5">
        <f t="shared" si="116"/>
        <v>7.9042298452795778</v>
      </c>
      <c r="Z129" s="12">
        <f t="shared" si="117"/>
        <v>4.5205550599332014</v>
      </c>
      <c r="AA129" s="12">
        <f t="shared" si="118"/>
        <v>3.5276194023018808</v>
      </c>
      <c r="AB129" s="12">
        <f t="shared" si="119"/>
        <v>5.8518612919311673E-2</v>
      </c>
      <c r="AC129" s="1">
        <f t="shared" si="120"/>
        <v>0.52529676266867287</v>
      </c>
      <c r="AD129" s="1">
        <f t="shared" si="121"/>
        <v>0.200661730166006</v>
      </c>
      <c r="AE129" s="12">
        <f t="shared" si="122"/>
        <v>0.81642397642269393</v>
      </c>
      <c r="AF129" s="5">
        <f t="shared" si="123"/>
        <v>0.32045007081969734</v>
      </c>
      <c r="AG129" s="5">
        <f t="shared" si="124"/>
        <v>0.16022503540984867</v>
      </c>
      <c r="AH129" s="5">
        <v>0.13424949999999999</v>
      </c>
      <c r="AI129" s="5">
        <f t="shared" si="125"/>
        <v>0.10540695724769773</v>
      </c>
      <c r="AJ129" s="5">
        <f t="shared" si="126"/>
        <v>0.16198887005286863</v>
      </c>
      <c r="AK129" s="5">
        <v>2.2410300000000001E-2</v>
      </c>
      <c r="AL129" s="5">
        <f t="shared" si="127"/>
        <v>1.4246004960093778E-2</v>
      </c>
      <c r="AM129" s="5">
        <f t="shared" si="128"/>
        <v>1.1891437560466787E-2</v>
      </c>
      <c r="AN129" s="13">
        <f t="shared" si="129"/>
        <v>2.6480656194666587E-2</v>
      </c>
      <c r="AO129" s="13">
        <f t="shared" si="130"/>
        <v>1.3240328097333293E-2</v>
      </c>
      <c r="AP129" s="13">
        <f t="shared" si="131"/>
        <v>1.1093818280995595E-2</v>
      </c>
      <c r="AQ129" s="13">
        <f t="shared" si="132"/>
        <v>8.7103909456544004E-3</v>
      </c>
      <c r="AR129" s="13">
        <f t="shared" si="133"/>
        <v>1.3386084029440215E-2</v>
      </c>
      <c r="AS129" s="13">
        <f t="shared" si="134"/>
        <v>1.8518936444649374E-3</v>
      </c>
      <c r="AT129" s="13">
        <f t="shared" si="135"/>
        <v>1.1772303826639377E-3</v>
      </c>
      <c r="AU129" s="14">
        <f t="shared" si="136"/>
        <v>9.8265876145255007E-4</v>
      </c>
    </row>
    <row r="130" spans="1:47" x14ac:dyDescent="0.35">
      <c r="A130" s="5">
        <v>7.4999999999999997E-2</v>
      </c>
      <c r="B130" s="5">
        <v>0.02</v>
      </c>
      <c r="C130" s="5">
        <f t="shared" ref="C130:C161" si="138">2*A130</f>
        <v>0.15</v>
      </c>
      <c r="D130" s="5">
        <v>9.81</v>
      </c>
      <c r="E130" s="5">
        <v>1000</v>
      </c>
      <c r="F130" s="5">
        <v>2650</v>
      </c>
      <c r="G130" s="5">
        <v>1.65</v>
      </c>
      <c r="H130" s="5">
        <v>9.9999999999999995E-7</v>
      </c>
      <c r="I130" s="12"/>
      <c r="J130" s="12"/>
      <c r="K130" s="12"/>
      <c r="L130" s="12">
        <f t="shared" si="137"/>
        <v>200.62821058417103</v>
      </c>
      <c r="M130" s="5">
        <f t="shared" ref="M130:M161" si="139">L130/ (E130*D130*B130)</f>
        <v>1.022569880653267</v>
      </c>
      <c r="N130" s="5">
        <f t="shared" ref="N130:N161" si="140">L130/ (D130* E130 * G130 * C130)</f>
        <v>8.2631909547738774E-2</v>
      </c>
      <c r="O130" s="12">
        <f t="shared" ref="O130:O161" si="141">L130/ (D130* E130 * G130 * A130)</f>
        <v>0.16526381909547755</v>
      </c>
      <c r="P130" s="5">
        <f t="shared" ref="P130:P161" si="142">A130 * (G130 * D130 / H130^2)^(1/3)</f>
        <v>1897.1962050160116</v>
      </c>
      <c r="Q130" s="5">
        <v>4.7E-2</v>
      </c>
      <c r="R130" s="5">
        <f t="shared" ref="R130:R161" si="143">0.3 / (1 + 1.2 * P130) + 0.055 * (1 - EXP(-0.02 * P130))</f>
        <v>5.5131715547597548E-2</v>
      </c>
      <c r="S130" s="5">
        <f t="shared" ref="S130:S161" si="144">IF(P130 &lt;= 4, 0.24 / P130, IF(P130 &lt;= 10, 0.14 * P130^(-0.64), IF(P130 &lt;= 20, 0.04 * P130^(-0.1), IF(P130 &lt;= 150, 0.013 * P130^(0.29), 0.056))))</f>
        <v>5.6000000000000001E-2</v>
      </c>
      <c r="T130" s="5">
        <f t="shared" ref="T130:T161" si="145">1.5*B130^0.75</f>
        <v>7.977443845417484E-2</v>
      </c>
      <c r="U130" s="5">
        <f t="shared" ref="U130:U161" si="146" xml:space="preserve"> (5 * B130 + 0.06) * (C130/A130)^(4.4 * SQRT(B130) - 1.5)</f>
        <v>8.7074722341604224E-2</v>
      </c>
      <c r="V130" s="5">
        <f t="shared" ref="V130:V161" si="147">O130/R130-1</f>
        <v>1.9976179310581816</v>
      </c>
      <c r="W130" s="5">
        <f t="shared" ref="W130:W161" si="148">2.45 * SQRT(R130) / (G130 + 1)^0.4</f>
        <v>0.3895547355705582</v>
      </c>
      <c r="X130" s="5">
        <f t="shared" ref="X130:X161" si="149" xml:space="preserve"> R130 * G130 * A130 / B130</f>
        <v>0.34112748995075981</v>
      </c>
      <c r="Y130" s="5">
        <f t="shared" ref="Y130:Y161" si="150" xml:space="preserve"> 6.5 * 2.5 * (M130 / C130) / SQRT(6.5^2 + 2.5^2 * (M130 / C130)^(5/3))</f>
        <v>7.9241726463502813</v>
      </c>
      <c r="Z130" s="12">
        <f t="shared" ref="Z130:Z161" si="151" xml:space="preserve"> 6.5 * 2.5 * (X130 / C130) / SQRT(6.5^2 + 2.5^2 * (X130 / C130)^(5/3))</f>
        <v>4.5205550599332014</v>
      </c>
      <c r="AA130" s="12">
        <f t="shared" ref="AA130:AA161" si="152">Y130 *SQRT(D130 * M130* B130)</f>
        <v>3.5493590050260391</v>
      </c>
      <c r="AB130" s="12">
        <f t="shared" ref="AB130:AB161" si="153" xml:space="preserve"> Z130 * R130^(3/2)</f>
        <v>5.8518612919311673E-2</v>
      </c>
      <c r="AC130" s="1">
        <f t="shared" ref="AC130:AC161" si="154">L130*AA130 / (E130 * (D130 * G130* A130)^(3/2))</f>
        <v>0.53237861993778668</v>
      </c>
      <c r="AD130" s="1">
        <f t="shared" ref="AD130:AD161" si="155">(0.92 - 0.25 * SQRT(AB130 / AC130))^9</f>
        <v>0.20186704457217924</v>
      </c>
      <c r="AE130" s="12">
        <f t="shared" ref="AE130:AE161" si="156">SQRT(2/3 + 36 / P130^3) - SQRT(36 / P130^3)</f>
        <v>0.81642397642269393</v>
      </c>
      <c r="AF130" s="5">
        <f t="shared" ref="AF130:AF161" si="157">IF(O130 &gt; Q130, 8 * (O130 - Q130)^(3/2), 0)</f>
        <v>0.32536275466752179</v>
      </c>
      <c r="AG130" s="5">
        <f t="shared" ref="AG130:AG161" si="158">IF(O130 &gt; Q130, 4 * (O130 - Q130)^(3/2), 0)</f>
        <v>0.1626813773337609</v>
      </c>
      <c r="AH130" s="5">
        <v>0.13719519999999999</v>
      </c>
      <c r="AI130" s="5">
        <f t="shared" ref="AI130:AI161" si="159" xml:space="preserve"> IF(AD130 * AC130 &lt; 0.00001, 0, AD130 * AC130)</f>
        <v>0.10746969860025646</v>
      </c>
      <c r="AJ130" s="5">
        <f t="shared" ref="AJ130:AJ161" si="160" xml:space="preserve"> IF(O130&gt;= 0.19, 40 * AE130* O130^3, (AE130 * EXP(-0.391 / O130)) / 0.465)</f>
        <v>0.16480081638764427</v>
      </c>
      <c r="AK130" s="5">
        <v>2.292744E-2</v>
      </c>
      <c r="AL130" s="5">
        <f t="shared" ref="AL130:AL161" si="161" xml:space="preserve"> 14 * N130^2.5 / (1 + (T130 / N130)^4)</f>
        <v>1.4704853110888734E-2</v>
      </c>
      <c r="AM130" s="5">
        <f t="shared" ref="AM130:AM161" si="162" xml:space="preserve"> 14 * N130^2.5 / (1 + (U130 / N130)^4)</f>
        <v>1.2305548206712006E-2</v>
      </c>
      <c r="AN130" s="13">
        <f t="shared" ref="AN130:AN161" si="163" xml:space="preserve"> AF130 * SQRT(G130 * D130 * A130^3)</f>
        <v>2.6886619880786434E-2</v>
      </c>
      <c r="AO130" s="13">
        <f t="shared" ref="AO130:AO161" si="164" xml:space="preserve"> AG130 * SQRT(G130 * D130 * A130^3)</f>
        <v>1.3443309940393217E-2</v>
      </c>
      <c r="AP130" s="13">
        <f t="shared" ref="AP130:AP161" si="165">AH130 * SQRT(G130 * D130 * A130^3)</f>
        <v>1.1337238632731197E-2</v>
      </c>
      <c r="AQ130" s="13">
        <f t="shared" ref="AQ130:AQ161" si="166" xml:space="preserve"> AI130 * SQRT(G130 * D130 * A130^3)</f>
        <v>8.8808472805083968E-3</v>
      </c>
      <c r="AR130" s="13">
        <f t="shared" ref="AR130:AR161" si="167" xml:space="preserve"> AJ130 * SQRT(G130 * D130 * A130^3)</f>
        <v>1.3618451536610912E-2</v>
      </c>
      <c r="AS130" s="13">
        <f t="shared" ref="AS130:AS161" si="168" xml:space="preserve"> AK130 * SQRT(G130 * D130 * A130^3)</f>
        <v>1.894627935362364E-3</v>
      </c>
      <c r="AT130" s="13">
        <f t="shared" ref="AT130:AT161" si="169" xml:space="preserve"> AL130* SQRT(G130 * D130 * A130^3)</f>
        <v>1.2151476784712971E-3</v>
      </c>
      <c r="AU130" s="14">
        <f t="shared" ref="AU130:AU161" si="170" xml:space="preserve"> AM130* SQRT(G130 * D130 * A130^3)</f>
        <v>1.0168791366321232E-3</v>
      </c>
    </row>
    <row r="131" spans="1:47" x14ac:dyDescent="0.35">
      <c r="A131" s="5">
        <v>7.4999999999999997E-2</v>
      </c>
      <c r="B131" s="5">
        <v>0.02</v>
      </c>
      <c r="C131" s="5">
        <f t="shared" si="138"/>
        <v>0.15</v>
      </c>
      <c r="D131" s="5">
        <v>9.81</v>
      </c>
      <c r="E131" s="5">
        <v>1000</v>
      </c>
      <c r="F131" s="5">
        <v>2650</v>
      </c>
      <c r="G131" s="5">
        <v>1.65</v>
      </c>
      <c r="H131" s="5">
        <v>9.9999999999999995E-7</v>
      </c>
      <c r="I131" s="12"/>
      <c r="J131" s="12"/>
      <c r="K131" s="12"/>
      <c r="L131" s="12">
        <f t="shared" ref="L131:L162" si="171">L130 + ($K$2 - $J$2) / 199</f>
        <v>202.077065012563</v>
      </c>
      <c r="M131" s="5">
        <f t="shared" si="139"/>
        <v>1.0299544597989958</v>
      </c>
      <c r="N131" s="5">
        <f t="shared" si="140"/>
        <v>8.3228643216080478E-2</v>
      </c>
      <c r="O131" s="12">
        <f t="shared" si="141"/>
        <v>0.16645728643216096</v>
      </c>
      <c r="P131" s="5">
        <f t="shared" si="142"/>
        <v>1897.1962050160116</v>
      </c>
      <c r="Q131" s="5">
        <v>4.7E-2</v>
      </c>
      <c r="R131" s="5">
        <f t="shared" si="143"/>
        <v>5.5131715547597548E-2</v>
      </c>
      <c r="S131" s="5">
        <f t="shared" si="144"/>
        <v>5.6000000000000001E-2</v>
      </c>
      <c r="T131" s="5">
        <f t="shared" si="145"/>
        <v>7.977443845417484E-2</v>
      </c>
      <c r="U131" s="5">
        <f t="shared" si="146"/>
        <v>8.7074722341604224E-2</v>
      </c>
      <c r="V131" s="5">
        <f t="shared" si="147"/>
        <v>2.0192654949844853</v>
      </c>
      <c r="W131" s="5">
        <f t="shared" si="148"/>
        <v>0.3895547355705582</v>
      </c>
      <c r="X131" s="5">
        <f t="shared" si="149"/>
        <v>0.34112748995075981</v>
      </c>
      <c r="Y131" s="5">
        <f t="shared" si="150"/>
        <v>7.9439245664081861</v>
      </c>
      <c r="Z131" s="12">
        <f t="shared" si="151"/>
        <v>4.5205550599332014</v>
      </c>
      <c r="AA131" s="12">
        <f t="shared" si="152"/>
        <v>3.5710310329452186</v>
      </c>
      <c r="AB131" s="12">
        <f t="shared" si="153"/>
        <v>5.8518612919311673E-2</v>
      </c>
      <c r="AC131" s="1">
        <f t="shared" si="154"/>
        <v>0.53949736437949192</v>
      </c>
      <c r="AD131" s="1">
        <f t="shared" si="155"/>
        <v>0.20306092900160075</v>
      </c>
      <c r="AE131" s="12">
        <f t="shared" si="156"/>
        <v>0.81642397642269393</v>
      </c>
      <c r="AF131" s="5">
        <f t="shared" si="157"/>
        <v>0.33030028981694509</v>
      </c>
      <c r="AG131" s="5">
        <f t="shared" si="158"/>
        <v>0.16515014490847255</v>
      </c>
      <c r="AH131" s="5">
        <v>0.14017170000000001</v>
      </c>
      <c r="AI131" s="5">
        <f t="shared" si="159"/>
        <v>0.10955083600481473</v>
      </c>
      <c r="AJ131" s="5">
        <f t="shared" si="160"/>
        <v>0.16762020387748286</v>
      </c>
      <c r="AK131" s="5">
        <v>2.3450749999999999E-2</v>
      </c>
      <c r="AL131" s="5">
        <f t="shared" si="161"/>
        <v>1.5171880003746753E-2</v>
      </c>
      <c r="AM131" s="5">
        <f t="shared" si="162"/>
        <v>1.2728326639503003E-2</v>
      </c>
      <c r="AN131" s="13">
        <f t="shared" si="163"/>
        <v>2.7294637174733381E-2</v>
      </c>
      <c r="AO131" s="13">
        <f t="shared" si="164"/>
        <v>1.364731858736669E-2</v>
      </c>
      <c r="AP131" s="13">
        <f t="shared" si="165"/>
        <v>1.158320416789806E-2</v>
      </c>
      <c r="AQ131" s="13">
        <f t="shared" si="166"/>
        <v>9.0528237883088156E-3</v>
      </c>
      <c r="AR131" s="13">
        <f t="shared" si="167"/>
        <v>1.3851433949774325E-2</v>
      </c>
      <c r="AS131" s="13">
        <f t="shared" si="168"/>
        <v>1.937872089304299E-3</v>
      </c>
      <c r="AT131" s="13">
        <f t="shared" si="169"/>
        <v>1.2537408313821449E-3</v>
      </c>
      <c r="AU131" s="14">
        <f t="shared" si="170"/>
        <v>1.051815781509813E-3</v>
      </c>
    </row>
    <row r="132" spans="1:47" x14ac:dyDescent="0.35">
      <c r="A132" s="5">
        <v>7.4999999999999997E-2</v>
      </c>
      <c r="B132" s="5">
        <v>0.02</v>
      </c>
      <c r="C132" s="5">
        <f t="shared" si="138"/>
        <v>0.15</v>
      </c>
      <c r="D132" s="5">
        <v>9.81</v>
      </c>
      <c r="E132" s="5">
        <v>1000</v>
      </c>
      <c r="F132" s="5">
        <v>2650</v>
      </c>
      <c r="G132" s="5">
        <v>1.65</v>
      </c>
      <c r="H132" s="5">
        <v>9.9999999999999995E-7</v>
      </c>
      <c r="I132" s="12"/>
      <c r="J132" s="12"/>
      <c r="K132" s="12"/>
      <c r="L132" s="12">
        <f t="shared" si="171"/>
        <v>203.52591944095497</v>
      </c>
      <c r="M132" s="5">
        <f t="shared" si="139"/>
        <v>1.0373390389447246</v>
      </c>
      <c r="N132" s="5">
        <f t="shared" si="140"/>
        <v>8.3825376884422195E-2</v>
      </c>
      <c r="O132" s="12">
        <f t="shared" si="141"/>
        <v>0.16765075376884439</v>
      </c>
      <c r="P132" s="5">
        <f t="shared" si="142"/>
        <v>1897.1962050160116</v>
      </c>
      <c r="Q132" s="5">
        <v>4.7E-2</v>
      </c>
      <c r="R132" s="5">
        <f t="shared" si="143"/>
        <v>5.5131715547597548E-2</v>
      </c>
      <c r="S132" s="5">
        <f t="shared" si="144"/>
        <v>5.6000000000000001E-2</v>
      </c>
      <c r="T132" s="5">
        <f t="shared" si="145"/>
        <v>7.977443845417484E-2</v>
      </c>
      <c r="U132" s="5">
        <f t="shared" si="146"/>
        <v>8.7074722341604224E-2</v>
      </c>
      <c r="V132" s="5">
        <f t="shared" si="147"/>
        <v>2.0409130589107893</v>
      </c>
      <c r="W132" s="5">
        <f t="shared" si="148"/>
        <v>0.3895547355705582</v>
      </c>
      <c r="X132" s="5">
        <f t="shared" si="149"/>
        <v>0.34112748995075981</v>
      </c>
      <c r="Y132" s="5">
        <f t="shared" si="150"/>
        <v>7.9634887305292619</v>
      </c>
      <c r="Z132" s="12">
        <f t="shared" si="151"/>
        <v>4.5205550599332014</v>
      </c>
      <c r="AA132" s="12">
        <f t="shared" si="152"/>
        <v>3.5926361246394372</v>
      </c>
      <c r="AB132" s="12">
        <f t="shared" si="153"/>
        <v>5.8518612919311673E-2</v>
      </c>
      <c r="AC132" s="1">
        <f t="shared" si="154"/>
        <v>0.54665287357120862</v>
      </c>
      <c r="AD132" s="1">
        <f t="shared" si="155"/>
        <v>0.20424353544723794</v>
      </c>
      <c r="AE132" s="12">
        <f t="shared" si="156"/>
        <v>0.81642397642269393</v>
      </c>
      <c r="AF132" s="5">
        <f t="shared" si="157"/>
        <v>0.33526255181169989</v>
      </c>
      <c r="AG132" s="5">
        <f t="shared" si="158"/>
        <v>0.16763127590584995</v>
      </c>
      <c r="AH132" s="5">
        <v>0.14317879999999999</v>
      </c>
      <c r="AI132" s="5">
        <f t="shared" si="159"/>
        <v>0.11165031556057563</v>
      </c>
      <c r="AJ132" s="5">
        <f t="shared" si="160"/>
        <v>0.17044665485388963</v>
      </c>
      <c r="AK132" s="5">
        <v>2.398026E-2</v>
      </c>
      <c r="AL132" s="5">
        <f t="shared" si="161"/>
        <v>1.5647060153701667E-2</v>
      </c>
      <c r="AM132" s="5">
        <f t="shared" si="162"/>
        <v>1.3159778822398424E-2</v>
      </c>
      <c r="AN132" s="13">
        <f t="shared" si="163"/>
        <v>2.7704697791961011E-2</v>
      </c>
      <c r="AO132" s="13">
        <f t="shared" si="164"/>
        <v>1.3852348895980506E-2</v>
      </c>
      <c r="AP132" s="13">
        <f t="shared" si="165"/>
        <v>1.1831698359331039E-2</v>
      </c>
      <c r="AQ132" s="13">
        <f t="shared" si="166"/>
        <v>9.2263160149187971E-3</v>
      </c>
      <c r="AR132" s="13">
        <f t="shared" si="167"/>
        <v>1.4085000059982552E-2</v>
      </c>
      <c r="AS132" s="13">
        <f t="shared" si="168"/>
        <v>1.981628585365513E-3</v>
      </c>
      <c r="AT132" s="13">
        <f t="shared" si="169"/>
        <v>1.293007735425259E-3</v>
      </c>
      <c r="AU132" s="14">
        <f t="shared" si="170"/>
        <v>1.0874691888892126E-3</v>
      </c>
    </row>
    <row r="133" spans="1:47" x14ac:dyDescent="0.35">
      <c r="A133" s="5">
        <v>7.4999999999999997E-2</v>
      </c>
      <c r="B133" s="5">
        <v>0.02</v>
      </c>
      <c r="C133" s="5">
        <f t="shared" si="138"/>
        <v>0.15</v>
      </c>
      <c r="D133" s="5">
        <v>9.81</v>
      </c>
      <c r="E133" s="5">
        <v>1000</v>
      </c>
      <c r="F133" s="5">
        <v>2650</v>
      </c>
      <c r="G133" s="5">
        <v>1.65</v>
      </c>
      <c r="H133" s="5">
        <v>9.9999999999999995E-7</v>
      </c>
      <c r="I133" s="12"/>
      <c r="J133" s="12"/>
      <c r="K133" s="12"/>
      <c r="L133" s="12">
        <f t="shared" si="171"/>
        <v>204.97477386934693</v>
      </c>
      <c r="M133" s="5">
        <f t="shared" si="139"/>
        <v>1.0447236180904531</v>
      </c>
      <c r="N133" s="5">
        <f t="shared" si="140"/>
        <v>8.4422110552763899E-2</v>
      </c>
      <c r="O133" s="12">
        <f t="shared" si="141"/>
        <v>0.1688442211055278</v>
      </c>
      <c r="P133" s="5">
        <f t="shared" si="142"/>
        <v>1897.1962050160116</v>
      </c>
      <c r="Q133" s="5">
        <v>4.7E-2</v>
      </c>
      <c r="R133" s="5">
        <f t="shared" si="143"/>
        <v>5.5131715547597548E-2</v>
      </c>
      <c r="S133" s="5">
        <f t="shared" si="144"/>
        <v>5.6000000000000001E-2</v>
      </c>
      <c r="T133" s="5">
        <f t="shared" si="145"/>
        <v>7.977443845417484E-2</v>
      </c>
      <c r="U133" s="5">
        <f t="shared" si="146"/>
        <v>8.7074722341604224E-2</v>
      </c>
      <c r="V133" s="5">
        <f t="shared" si="147"/>
        <v>2.062560622837093</v>
      </c>
      <c r="W133" s="5">
        <f t="shared" si="148"/>
        <v>0.3895547355705582</v>
      </c>
      <c r="X133" s="5">
        <f t="shared" si="149"/>
        <v>0.34112748995075981</v>
      </c>
      <c r="Y133" s="5">
        <f t="shared" si="150"/>
        <v>7.9828681979143088</v>
      </c>
      <c r="Z133" s="12">
        <f t="shared" si="151"/>
        <v>4.5205550599332014</v>
      </c>
      <c r="AA133" s="12">
        <f t="shared" si="152"/>
        <v>3.6141749115559274</v>
      </c>
      <c r="AB133" s="12">
        <f t="shared" si="153"/>
        <v>5.8518612919311673E-2</v>
      </c>
      <c r="AC133" s="1">
        <f t="shared" si="154"/>
        <v>0.55384502676411784</v>
      </c>
      <c r="AD133" s="1">
        <f t="shared" si="155"/>
        <v>0.20541501376011906</v>
      </c>
      <c r="AE133" s="12">
        <f t="shared" si="156"/>
        <v>0.81642397642269393</v>
      </c>
      <c r="AF133" s="5">
        <f t="shared" si="157"/>
        <v>0.34024941804685715</v>
      </c>
      <c r="AG133" s="5">
        <f t="shared" si="158"/>
        <v>0.17012470902342858</v>
      </c>
      <c r="AH133" s="5">
        <v>0.1462166</v>
      </c>
      <c r="AI133" s="5">
        <f t="shared" si="159"/>
        <v>0.11376808379372477</v>
      </c>
      <c r="AJ133" s="5">
        <f t="shared" si="160"/>
        <v>0.17327979925560649</v>
      </c>
      <c r="AK133" s="5">
        <v>2.451596E-2</v>
      </c>
      <c r="AL133" s="5">
        <f t="shared" si="161"/>
        <v>1.6130366364940682E-2</v>
      </c>
      <c r="AM133" s="5">
        <f t="shared" si="162"/>
        <v>1.3599907582152453E-2</v>
      </c>
      <c r="AN133" s="13">
        <f t="shared" si="163"/>
        <v>2.8116791600909775E-2</v>
      </c>
      <c r="AO133" s="13">
        <f t="shared" si="164"/>
        <v>1.4058395800454888E-2</v>
      </c>
      <c r="AP133" s="13">
        <f t="shared" si="165"/>
        <v>1.2082729470612707E-2</v>
      </c>
      <c r="AQ133" s="13">
        <f t="shared" si="166"/>
        <v>9.4013195414855387E-3</v>
      </c>
      <c r="AR133" s="13">
        <f t="shared" si="167"/>
        <v>1.4319119286917974E-2</v>
      </c>
      <c r="AS133" s="13">
        <f t="shared" si="168"/>
        <v>2.0258965971877495E-3</v>
      </c>
      <c r="AT133" s="13">
        <f t="shared" si="169"/>
        <v>1.332946143252194E-3</v>
      </c>
      <c r="AU133" s="14">
        <f t="shared" si="170"/>
        <v>1.1238395923614873E-3</v>
      </c>
    </row>
    <row r="134" spans="1:47" x14ac:dyDescent="0.35">
      <c r="A134" s="5">
        <v>7.4999999999999997E-2</v>
      </c>
      <c r="B134" s="5">
        <v>0.02</v>
      </c>
      <c r="C134" s="5">
        <f t="shared" si="138"/>
        <v>0.15</v>
      </c>
      <c r="D134" s="5">
        <v>9.81</v>
      </c>
      <c r="E134" s="5">
        <v>1000</v>
      </c>
      <c r="F134" s="5">
        <v>2650</v>
      </c>
      <c r="G134" s="5">
        <v>1.65</v>
      </c>
      <c r="H134" s="5">
        <v>9.9999999999999995E-7</v>
      </c>
      <c r="I134" s="12"/>
      <c r="J134" s="12"/>
      <c r="K134" s="12"/>
      <c r="L134" s="12">
        <f t="shared" si="171"/>
        <v>206.4236282977389</v>
      </c>
      <c r="M134" s="5">
        <f t="shared" si="139"/>
        <v>1.0521081972361819</v>
      </c>
      <c r="N134" s="5">
        <f t="shared" si="140"/>
        <v>8.5018844221105616E-2</v>
      </c>
      <c r="O134" s="12">
        <f t="shared" si="141"/>
        <v>0.17003768844221123</v>
      </c>
      <c r="P134" s="5">
        <f t="shared" si="142"/>
        <v>1897.1962050160116</v>
      </c>
      <c r="Q134" s="5">
        <v>4.7E-2</v>
      </c>
      <c r="R134" s="5">
        <f t="shared" si="143"/>
        <v>5.5131715547597548E-2</v>
      </c>
      <c r="S134" s="5">
        <f t="shared" si="144"/>
        <v>5.6000000000000001E-2</v>
      </c>
      <c r="T134" s="5">
        <f t="shared" si="145"/>
        <v>7.977443845417484E-2</v>
      </c>
      <c r="U134" s="5">
        <f t="shared" si="146"/>
        <v>8.7074722341604224E-2</v>
      </c>
      <c r="V134" s="5">
        <f t="shared" si="147"/>
        <v>2.0842081867633975</v>
      </c>
      <c r="W134" s="5">
        <f t="shared" si="148"/>
        <v>0.3895547355705582</v>
      </c>
      <c r="X134" s="5">
        <f t="shared" si="149"/>
        <v>0.34112748995075981</v>
      </c>
      <c r="Y134" s="5">
        <f t="shared" si="150"/>
        <v>8.0020659634999998</v>
      </c>
      <c r="Z134" s="12">
        <f t="shared" si="151"/>
        <v>4.5205550599332014</v>
      </c>
      <c r="AA134" s="12">
        <f t="shared" si="152"/>
        <v>3.6356480180319024</v>
      </c>
      <c r="AB134" s="12">
        <f t="shared" si="153"/>
        <v>5.8518612919311673E-2</v>
      </c>
      <c r="AC134" s="1">
        <f t="shared" si="154"/>
        <v>0.56107370484804375</v>
      </c>
      <c r="AD134" s="1">
        <f t="shared" si="155"/>
        <v>0.20657551165940324</v>
      </c>
      <c r="AE134" s="12">
        <f t="shared" si="156"/>
        <v>0.81642397642269393</v>
      </c>
      <c r="AF134" s="5">
        <f t="shared" si="157"/>
        <v>0.34526076772338143</v>
      </c>
      <c r="AG134" s="5">
        <f t="shared" si="158"/>
        <v>0.17263038386169072</v>
      </c>
      <c r="AH134" s="5">
        <v>0.149285</v>
      </c>
      <c r="AI134" s="5">
        <f t="shared" si="159"/>
        <v>0.11590408765762164</v>
      </c>
      <c r="AJ134" s="5">
        <f t="shared" si="160"/>
        <v>0.17611927454932005</v>
      </c>
      <c r="AK134" s="5">
        <v>2.5057869999999999E-2</v>
      </c>
      <c r="AL134" s="5">
        <f t="shared" si="161"/>
        <v>1.6621769882888476E-2</v>
      </c>
      <c r="AM134" s="5">
        <f t="shared" si="162"/>
        <v>1.4048712731367093E-2</v>
      </c>
      <c r="AN134" s="13">
        <f t="shared" si="163"/>
        <v>2.853090861925164E-2</v>
      </c>
      <c r="AO134" s="13">
        <f t="shared" si="164"/>
        <v>1.426545430962582E-2</v>
      </c>
      <c r="AP134" s="13">
        <f t="shared" si="165"/>
        <v>1.2336289238160497E-2</v>
      </c>
      <c r="AQ134" s="13">
        <f t="shared" si="166"/>
        <v>9.5778299844560995E-3</v>
      </c>
      <c r="AR134" s="13">
        <f t="shared" si="167"/>
        <v>1.4553761672340897E-2</v>
      </c>
      <c r="AS134" s="13">
        <f t="shared" si="168"/>
        <v>2.0706777774875222E-3</v>
      </c>
      <c r="AT134" s="13">
        <f t="shared" si="169"/>
        <v>1.3735536787048757E-3</v>
      </c>
      <c r="AU134" s="14">
        <f t="shared" si="170"/>
        <v>1.1609269764408497E-3</v>
      </c>
    </row>
    <row r="135" spans="1:47" x14ac:dyDescent="0.35">
      <c r="A135" s="5">
        <v>7.4999999999999997E-2</v>
      </c>
      <c r="B135" s="5">
        <v>0.02</v>
      </c>
      <c r="C135" s="5">
        <f t="shared" si="138"/>
        <v>0.15</v>
      </c>
      <c r="D135" s="5">
        <v>9.81</v>
      </c>
      <c r="E135" s="5">
        <v>1000</v>
      </c>
      <c r="F135" s="5">
        <v>2650</v>
      </c>
      <c r="G135" s="5">
        <v>1.65</v>
      </c>
      <c r="H135" s="5">
        <v>9.9999999999999995E-7</v>
      </c>
      <c r="I135" s="12"/>
      <c r="J135" s="12"/>
      <c r="K135" s="12"/>
      <c r="L135" s="12">
        <f t="shared" si="171"/>
        <v>207.87248272613087</v>
      </c>
      <c r="M135" s="5">
        <f t="shared" si="139"/>
        <v>1.0594927763819106</v>
      </c>
      <c r="N135" s="5">
        <f t="shared" si="140"/>
        <v>8.5615577889447333E-2</v>
      </c>
      <c r="O135" s="12">
        <f t="shared" si="141"/>
        <v>0.17123115577889467</v>
      </c>
      <c r="P135" s="5">
        <f t="shared" si="142"/>
        <v>1897.1962050160116</v>
      </c>
      <c r="Q135" s="5">
        <v>4.7E-2</v>
      </c>
      <c r="R135" s="5">
        <f t="shared" si="143"/>
        <v>5.5131715547597548E-2</v>
      </c>
      <c r="S135" s="5">
        <f t="shared" si="144"/>
        <v>5.6000000000000001E-2</v>
      </c>
      <c r="T135" s="5">
        <f t="shared" si="145"/>
        <v>7.977443845417484E-2</v>
      </c>
      <c r="U135" s="5">
        <f t="shared" si="146"/>
        <v>8.7074722341604224E-2</v>
      </c>
      <c r="V135" s="5">
        <f t="shared" si="147"/>
        <v>2.1058557506897015</v>
      </c>
      <c r="W135" s="5">
        <f t="shared" si="148"/>
        <v>0.3895547355705582</v>
      </c>
      <c r="X135" s="5">
        <f t="shared" si="149"/>
        <v>0.34112748995075981</v>
      </c>
      <c r="Y135" s="5">
        <f t="shared" si="150"/>
        <v>8.0210849595274603</v>
      </c>
      <c r="Z135" s="12">
        <f t="shared" si="151"/>
        <v>4.5205550599332014</v>
      </c>
      <c r="AA135" s="12">
        <f t="shared" si="152"/>
        <v>3.6570560613219438</v>
      </c>
      <c r="AB135" s="12">
        <f t="shared" si="153"/>
        <v>5.8518612919311673E-2</v>
      </c>
      <c r="AC135" s="1">
        <f t="shared" si="154"/>
        <v>0.56833879031720291</v>
      </c>
      <c r="AD135" s="1">
        <f t="shared" si="155"/>
        <v>0.20772517474435795</v>
      </c>
      <c r="AE135" s="12">
        <f t="shared" si="156"/>
        <v>0.81642397642269393</v>
      </c>
      <c r="AF135" s="5">
        <f t="shared" si="157"/>
        <v>0.35029648180422329</v>
      </c>
      <c r="AG135" s="5">
        <f t="shared" si="158"/>
        <v>0.17514824090211165</v>
      </c>
      <c r="AH135" s="5">
        <v>0.15238389999999999</v>
      </c>
      <c r="AI135" s="5">
        <f t="shared" si="159"/>
        <v>0.11805827453263798</v>
      </c>
      <c r="AJ135" s="5">
        <f t="shared" si="160"/>
        <v>0.17896472564715452</v>
      </c>
      <c r="AK135" s="5">
        <v>2.5605989999999999E-2</v>
      </c>
      <c r="AL135" s="5">
        <f t="shared" si="161"/>
        <v>1.7121240542823886E-2</v>
      </c>
      <c r="AM135" s="5">
        <f t="shared" si="162"/>
        <v>1.4506191193856511E-2</v>
      </c>
      <c r="AN135" s="13">
        <f t="shared" si="163"/>
        <v>2.894703901026174E-2</v>
      </c>
      <c r="AO135" s="13">
        <f t="shared" si="164"/>
        <v>1.447351950513087E-2</v>
      </c>
      <c r="AP135" s="13">
        <f t="shared" si="165"/>
        <v>1.2592369398391836E-2</v>
      </c>
      <c r="AQ135" s="13">
        <f t="shared" si="166"/>
        <v>9.7558429955640503E-3</v>
      </c>
      <c r="AR135" s="13">
        <f t="shared" si="167"/>
        <v>1.4788897873271515E-2</v>
      </c>
      <c r="AS135" s="13">
        <f t="shared" si="168"/>
        <v>2.1159721262648309E-3</v>
      </c>
      <c r="AT135" s="13">
        <f t="shared" si="169"/>
        <v>1.4148278490966641E-3</v>
      </c>
      <c r="AU135" s="14">
        <f t="shared" si="170"/>
        <v>1.1987310869241428E-3</v>
      </c>
    </row>
    <row r="136" spans="1:47" x14ac:dyDescent="0.35">
      <c r="A136" s="5">
        <v>7.4999999999999997E-2</v>
      </c>
      <c r="B136" s="5">
        <v>0.02</v>
      </c>
      <c r="C136" s="5">
        <f t="shared" si="138"/>
        <v>0.15</v>
      </c>
      <c r="D136" s="5">
        <v>9.81</v>
      </c>
      <c r="E136" s="5">
        <v>1000</v>
      </c>
      <c r="F136" s="5">
        <v>2650</v>
      </c>
      <c r="G136" s="5">
        <v>1.65</v>
      </c>
      <c r="H136" s="5">
        <v>9.9999999999999995E-7</v>
      </c>
      <c r="I136" s="12"/>
      <c r="J136" s="12"/>
      <c r="K136" s="12"/>
      <c r="L136" s="12">
        <f t="shared" si="171"/>
        <v>209.32133715452284</v>
      </c>
      <c r="M136" s="5">
        <f t="shared" si="139"/>
        <v>1.0668773555276392</v>
      </c>
      <c r="N136" s="5">
        <f t="shared" si="140"/>
        <v>8.6212311557789037E-2</v>
      </c>
      <c r="O136" s="12">
        <f t="shared" si="141"/>
        <v>0.17242462311557807</v>
      </c>
      <c r="P136" s="5">
        <f t="shared" si="142"/>
        <v>1897.1962050160116</v>
      </c>
      <c r="Q136" s="5">
        <v>4.7E-2</v>
      </c>
      <c r="R136" s="5">
        <f t="shared" si="143"/>
        <v>5.5131715547597548E-2</v>
      </c>
      <c r="S136" s="5">
        <f t="shared" si="144"/>
        <v>5.6000000000000001E-2</v>
      </c>
      <c r="T136" s="5">
        <f t="shared" si="145"/>
        <v>7.977443845417484E-2</v>
      </c>
      <c r="U136" s="5">
        <f t="shared" si="146"/>
        <v>8.7074722341604224E-2</v>
      </c>
      <c r="V136" s="5">
        <f t="shared" si="147"/>
        <v>2.1275033146160052</v>
      </c>
      <c r="W136" s="5">
        <f t="shared" si="148"/>
        <v>0.3895547355705582</v>
      </c>
      <c r="X136" s="5">
        <f t="shared" si="149"/>
        <v>0.34112748995075981</v>
      </c>
      <c r="Y136" s="5">
        <f t="shared" si="150"/>
        <v>8.0399280570695204</v>
      </c>
      <c r="Z136" s="12">
        <f t="shared" si="151"/>
        <v>4.5205550599332014</v>
      </c>
      <c r="AA136" s="12">
        <f t="shared" si="152"/>
        <v>3.6783996516296948</v>
      </c>
      <c r="AB136" s="12">
        <f t="shared" si="153"/>
        <v>5.8518612919311673E-2</v>
      </c>
      <c r="AC136" s="1">
        <f t="shared" si="154"/>
        <v>0.575640167236805</v>
      </c>
      <c r="AD136" s="1">
        <f t="shared" si="155"/>
        <v>0.20886414650806231</v>
      </c>
      <c r="AE136" s="12">
        <f t="shared" si="156"/>
        <v>0.81642397642269393</v>
      </c>
      <c r="AF136" s="5">
        <f t="shared" si="157"/>
        <v>0.3553564429719015</v>
      </c>
      <c r="AG136" s="5">
        <f t="shared" si="158"/>
        <v>0.17767822148595075</v>
      </c>
      <c r="AH136" s="5">
        <v>0.15551329999999999</v>
      </c>
      <c r="AI136" s="5">
        <f t="shared" si="159"/>
        <v>0.12023059222567353</v>
      </c>
      <c r="AJ136" s="5">
        <f t="shared" si="160"/>
        <v>0.18181580482128526</v>
      </c>
      <c r="AK136" s="5">
        <v>2.6160320000000001E-2</v>
      </c>
      <c r="AL136" s="5">
        <f t="shared" si="161"/>
        <v>1.7628746914683486E-2</v>
      </c>
      <c r="AM136" s="5">
        <f t="shared" si="162"/>
        <v>1.497233713218357E-2</v>
      </c>
      <c r="AN136" s="13">
        <f t="shared" si="163"/>
        <v>2.9365173079313144E-2</v>
      </c>
      <c r="AO136" s="13">
        <f t="shared" si="164"/>
        <v>1.4682586539656572E-2</v>
      </c>
      <c r="AP136" s="13">
        <f t="shared" si="165"/>
        <v>1.2850969951306726E-2</v>
      </c>
      <c r="AQ136" s="13">
        <f t="shared" si="166"/>
        <v>9.9353542617894603E-3</v>
      </c>
      <c r="AR136" s="13">
        <f t="shared" si="167"/>
        <v>1.5024499154933924E-2</v>
      </c>
      <c r="AS136" s="13">
        <f t="shared" si="168"/>
        <v>2.1617796435196759E-3</v>
      </c>
      <c r="AT136" s="13">
        <f t="shared" si="169"/>
        <v>1.4567660571783163E-3</v>
      </c>
      <c r="AU136" s="14">
        <f t="shared" si="170"/>
        <v>1.237251441429929E-3</v>
      </c>
    </row>
    <row r="137" spans="1:47" x14ac:dyDescent="0.35">
      <c r="A137" s="5">
        <v>7.4999999999999997E-2</v>
      </c>
      <c r="B137" s="5">
        <v>0.02</v>
      </c>
      <c r="C137" s="5">
        <f t="shared" si="138"/>
        <v>0.15</v>
      </c>
      <c r="D137" s="5">
        <v>9.81</v>
      </c>
      <c r="E137" s="5">
        <v>1000</v>
      </c>
      <c r="F137" s="5">
        <v>2650</v>
      </c>
      <c r="G137" s="5">
        <v>1.65</v>
      </c>
      <c r="H137" s="5">
        <v>9.9999999999999995E-7</v>
      </c>
      <c r="I137" s="12"/>
      <c r="J137" s="12"/>
      <c r="K137" s="12"/>
      <c r="L137" s="12">
        <f t="shared" si="171"/>
        <v>210.7701915829148</v>
      </c>
      <c r="M137" s="5">
        <f t="shared" si="139"/>
        <v>1.0742619346733679</v>
      </c>
      <c r="N137" s="5">
        <f t="shared" si="140"/>
        <v>8.6809045226130754E-2</v>
      </c>
      <c r="O137" s="12">
        <f t="shared" si="141"/>
        <v>0.17361809045226151</v>
      </c>
      <c r="P137" s="5">
        <f t="shared" si="142"/>
        <v>1897.1962050160116</v>
      </c>
      <c r="Q137" s="5">
        <v>4.7E-2</v>
      </c>
      <c r="R137" s="5">
        <f t="shared" si="143"/>
        <v>5.5131715547597548E-2</v>
      </c>
      <c r="S137" s="5">
        <f t="shared" si="144"/>
        <v>5.6000000000000001E-2</v>
      </c>
      <c r="T137" s="5">
        <f t="shared" si="145"/>
        <v>7.977443845417484E-2</v>
      </c>
      <c r="U137" s="5">
        <f t="shared" si="146"/>
        <v>8.7074722341604224E-2</v>
      </c>
      <c r="V137" s="5">
        <f t="shared" si="147"/>
        <v>2.1491508785423092</v>
      </c>
      <c r="W137" s="5">
        <f t="shared" si="148"/>
        <v>0.3895547355705582</v>
      </c>
      <c r="X137" s="5">
        <f t="shared" si="149"/>
        <v>0.34112748995075981</v>
      </c>
      <c r="Y137" s="5">
        <f t="shared" si="150"/>
        <v>8.0585980675176803</v>
      </c>
      <c r="Z137" s="12">
        <f t="shared" si="151"/>
        <v>4.5205550599332014</v>
      </c>
      <c r="AA137" s="12">
        <f t="shared" si="152"/>
        <v>3.6996793921434832</v>
      </c>
      <c r="AB137" s="12">
        <f t="shared" si="153"/>
        <v>5.8518612919311673E-2</v>
      </c>
      <c r="AC137" s="1">
        <f t="shared" si="154"/>
        <v>0.58297772121047831</v>
      </c>
      <c r="AD137" s="1">
        <f t="shared" si="155"/>
        <v>0.20999256835266344</v>
      </c>
      <c r="AE137" s="12">
        <f t="shared" si="156"/>
        <v>0.81642397642269393</v>
      </c>
      <c r="AF137" s="5">
        <f t="shared" si="157"/>
        <v>0.36044053558749323</v>
      </c>
      <c r="AG137" s="5">
        <f t="shared" si="158"/>
        <v>0.18022026779374661</v>
      </c>
      <c r="AH137" s="5">
        <v>0.15867310000000001</v>
      </c>
      <c r="AI137" s="5">
        <f t="shared" si="159"/>
        <v>0.12242098896937134</v>
      </c>
      <c r="AJ137" s="5">
        <f t="shared" si="160"/>
        <v>0.18467217161598543</v>
      </c>
      <c r="AK137" s="5">
        <v>2.6720870000000001E-2</v>
      </c>
      <c r="AL137" s="5">
        <f t="shared" si="161"/>
        <v>1.814425644374611E-2</v>
      </c>
      <c r="AM137" s="5">
        <f t="shared" si="162"/>
        <v>1.5447142076844569E-2</v>
      </c>
      <c r="AN137" s="13">
        <f t="shared" si="163"/>
        <v>2.9785301270487979E-2</v>
      </c>
      <c r="AO137" s="13">
        <f t="shared" si="164"/>
        <v>1.489265063524399E-2</v>
      </c>
      <c r="AP137" s="13">
        <f t="shared" si="165"/>
        <v>1.31120826333226E-2</v>
      </c>
      <c r="AQ137" s="13">
        <f t="shared" si="166"/>
        <v>1.0116359505294039E-2</v>
      </c>
      <c r="AR137" s="13">
        <f t="shared" si="167"/>
        <v>1.5260537383488022E-2</v>
      </c>
      <c r="AS137" s="13">
        <f t="shared" si="168"/>
        <v>2.2081011556103138E-3</v>
      </c>
      <c r="AT137" s="13">
        <f t="shared" si="169"/>
        <v>1.499365612763569E-3</v>
      </c>
      <c r="AU137" s="14">
        <f t="shared" si="170"/>
        <v>1.2764873400737773E-3</v>
      </c>
    </row>
    <row r="138" spans="1:47" x14ac:dyDescent="0.35">
      <c r="A138" s="5">
        <v>7.4999999999999997E-2</v>
      </c>
      <c r="B138" s="5">
        <v>0.02</v>
      </c>
      <c r="C138" s="5">
        <f t="shared" si="138"/>
        <v>0.15</v>
      </c>
      <c r="D138" s="5">
        <v>9.81</v>
      </c>
      <c r="E138" s="5">
        <v>1000</v>
      </c>
      <c r="F138" s="5">
        <v>2650</v>
      </c>
      <c r="G138" s="5">
        <v>1.65</v>
      </c>
      <c r="H138" s="5">
        <v>9.9999999999999995E-7</v>
      </c>
      <c r="I138" s="12"/>
      <c r="J138" s="12"/>
      <c r="K138" s="12"/>
      <c r="L138" s="12">
        <f t="shared" si="171"/>
        <v>212.21904601130677</v>
      </c>
      <c r="M138" s="5">
        <f t="shared" si="139"/>
        <v>1.0816465138190967</v>
      </c>
      <c r="N138" s="5">
        <f t="shared" si="140"/>
        <v>8.7405778894472458E-2</v>
      </c>
      <c r="O138" s="12">
        <f t="shared" si="141"/>
        <v>0.17481155778894492</v>
      </c>
      <c r="P138" s="5">
        <f t="shared" si="142"/>
        <v>1897.1962050160116</v>
      </c>
      <c r="Q138" s="5">
        <v>4.7E-2</v>
      </c>
      <c r="R138" s="5">
        <f t="shared" si="143"/>
        <v>5.5131715547597548E-2</v>
      </c>
      <c r="S138" s="5">
        <f t="shared" si="144"/>
        <v>5.6000000000000001E-2</v>
      </c>
      <c r="T138" s="5">
        <f t="shared" si="145"/>
        <v>7.977443845417484E-2</v>
      </c>
      <c r="U138" s="5">
        <f t="shared" si="146"/>
        <v>8.7074722341604224E-2</v>
      </c>
      <c r="V138" s="5">
        <f t="shared" si="147"/>
        <v>2.1707984424686129</v>
      </c>
      <c r="W138" s="5">
        <f t="shared" si="148"/>
        <v>0.3895547355705582</v>
      </c>
      <c r="X138" s="5">
        <f t="shared" si="149"/>
        <v>0.34112748995075981</v>
      </c>
      <c r="Y138" s="5">
        <f t="shared" si="150"/>
        <v>8.0770977440298566</v>
      </c>
      <c r="Z138" s="12">
        <f t="shared" si="151"/>
        <v>4.5205550599332014</v>
      </c>
      <c r="AA138" s="12">
        <f t="shared" si="152"/>
        <v>3.7208958790755604</v>
      </c>
      <c r="AB138" s="12">
        <f t="shared" si="153"/>
        <v>5.8518612919311673E-2</v>
      </c>
      <c r="AC138" s="1">
        <f t="shared" si="154"/>
        <v>0.59035133934850104</v>
      </c>
      <c r="AD138" s="1">
        <f t="shared" si="155"/>
        <v>0.21111057960602422</v>
      </c>
      <c r="AE138" s="12">
        <f t="shared" si="156"/>
        <v>0.81642397642269393</v>
      </c>
      <c r="AF138" s="5">
        <f t="shared" si="157"/>
        <v>0.36554864565098583</v>
      </c>
      <c r="AG138" s="5">
        <f t="shared" si="158"/>
        <v>0.18277432282549291</v>
      </c>
      <c r="AH138" s="5">
        <v>0.16186329999999999</v>
      </c>
      <c r="AI138" s="5">
        <f t="shared" si="159"/>
        <v>0.12462941342105475</v>
      </c>
      <c r="AJ138" s="5">
        <f t="shared" si="160"/>
        <v>0.18753349275739781</v>
      </c>
      <c r="AK138" s="5">
        <v>2.728765E-2</v>
      </c>
      <c r="AL138" s="5">
        <f t="shared" si="161"/>
        <v>1.8667735586933614E-2</v>
      </c>
      <c r="AM138" s="5">
        <f t="shared" si="162"/>
        <v>1.5930595056598121E-2</v>
      </c>
      <c r="AN138" s="13">
        <f t="shared" si="163"/>
        <v>3.0207414163301076E-2</v>
      </c>
      <c r="AO138" s="13">
        <f t="shared" si="164"/>
        <v>1.5103707081650538E-2</v>
      </c>
      <c r="AP138" s="13">
        <f t="shared" si="165"/>
        <v>1.3375707444439453E-2</v>
      </c>
      <c r="AQ138" s="13">
        <f t="shared" si="166"/>
        <v>1.0298854483333311E-2</v>
      </c>
      <c r="AR138" s="13">
        <f t="shared" si="167"/>
        <v>1.5496985018573441E-2</v>
      </c>
      <c r="AS138" s="13">
        <f t="shared" si="168"/>
        <v>2.2549374888950016E-3</v>
      </c>
      <c r="AT138" s="13">
        <f t="shared" si="169"/>
        <v>1.5426237439924633E-3</v>
      </c>
      <c r="AU138" s="14">
        <f t="shared" si="170"/>
        <v>1.3164378762380963E-3</v>
      </c>
    </row>
    <row r="139" spans="1:47" x14ac:dyDescent="0.35">
      <c r="A139" s="5">
        <v>7.4999999999999997E-2</v>
      </c>
      <c r="B139" s="5">
        <v>0.02</v>
      </c>
      <c r="C139" s="5">
        <f t="shared" si="138"/>
        <v>0.15</v>
      </c>
      <c r="D139" s="5">
        <v>9.81</v>
      </c>
      <c r="E139" s="5">
        <v>1000</v>
      </c>
      <c r="F139" s="5">
        <v>2650</v>
      </c>
      <c r="G139" s="5">
        <v>1.65</v>
      </c>
      <c r="H139" s="5">
        <v>9.9999999999999995E-7</v>
      </c>
      <c r="I139" s="12"/>
      <c r="J139" s="12"/>
      <c r="K139" s="12"/>
      <c r="L139" s="12">
        <f t="shared" si="171"/>
        <v>213.66790043969874</v>
      </c>
      <c r="M139" s="5">
        <f t="shared" si="139"/>
        <v>1.0890310929648253</v>
      </c>
      <c r="N139" s="5">
        <f t="shared" si="140"/>
        <v>8.8002512562814175E-2</v>
      </c>
      <c r="O139" s="12">
        <f t="shared" si="141"/>
        <v>0.17600502512562835</v>
      </c>
      <c r="P139" s="5">
        <f t="shared" si="142"/>
        <v>1897.1962050160116</v>
      </c>
      <c r="Q139" s="5">
        <v>4.7E-2</v>
      </c>
      <c r="R139" s="5">
        <f t="shared" si="143"/>
        <v>5.5131715547597548E-2</v>
      </c>
      <c r="S139" s="5">
        <f t="shared" si="144"/>
        <v>5.6000000000000001E-2</v>
      </c>
      <c r="T139" s="5">
        <f t="shared" si="145"/>
        <v>7.977443845417484E-2</v>
      </c>
      <c r="U139" s="5">
        <f t="shared" si="146"/>
        <v>8.7074722341604224E-2</v>
      </c>
      <c r="V139" s="5">
        <f t="shared" si="147"/>
        <v>2.1924460063949169</v>
      </c>
      <c r="W139" s="5">
        <f t="shared" si="148"/>
        <v>0.3895547355705582</v>
      </c>
      <c r="X139" s="5">
        <f t="shared" si="149"/>
        <v>0.34112748995075981</v>
      </c>
      <c r="Y139" s="5">
        <f t="shared" si="150"/>
        <v>8.0954297829399238</v>
      </c>
      <c r="Z139" s="12">
        <f t="shared" si="151"/>
        <v>4.5205550599332014</v>
      </c>
      <c r="AA139" s="12">
        <f t="shared" si="152"/>
        <v>3.7420497017046741</v>
      </c>
      <c r="AB139" s="12">
        <f t="shared" si="153"/>
        <v>5.8518612919311673E-2</v>
      </c>
      <c r="AC139" s="1">
        <f t="shared" si="154"/>
        <v>0.5977609102368201</v>
      </c>
      <c r="AD139" s="1">
        <f t="shared" si="155"/>
        <v>0.21221831753962023</v>
      </c>
      <c r="AE139" s="12">
        <f t="shared" si="156"/>
        <v>0.81642397642269393</v>
      </c>
      <c r="AF139" s="5">
        <f t="shared" si="157"/>
        <v>0.37068066076292489</v>
      </c>
      <c r="AG139" s="5">
        <f t="shared" si="158"/>
        <v>0.18534033038146244</v>
      </c>
      <c r="AH139" s="5">
        <v>0.1650837</v>
      </c>
      <c r="AI139" s="5">
        <f t="shared" si="159"/>
        <v>0.12685581466140991</v>
      </c>
      <c r="AJ139" s="5">
        <f t="shared" si="160"/>
        <v>0.1903994420613086</v>
      </c>
      <c r="AK139" s="5">
        <v>2.7860670000000001E-2</v>
      </c>
      <c r="AL139" s="5">
        <f t="shared" si="161"/>
        <v>1.9199149944500629E-2</v>
      </c>
      <c r="AM139" s="5">
        <f t="shared" si="162"/>
        <v>1.6422682729453811E-2</v>
      </c>
      <c r="AN139" s="13">
        <f t="shared" si="163"/>
        <v>3.0631502469530711E-2</v>
      </c>
      <c r="AO139" s="13">
        <f t="shared" si="164"/>
        <v>1.5315751234765355E-2</v>
      </c>
      <c r="AP139" s="13">
        <f t="shared" si="165"/>
        <v>1.3641827857492152E-2</v>
      </c>
      <c r="AQ139" s="13">
        <f t="shared" si="166"/>
        <v>1.0482834988147728E-2</v>
      </c>
      <c r="AR139" s="13">
        <f t="shared" si="167"/>
        <v>1.5733815105688342E-2</v>
      </c>
      <c r="AS139" s="13">
        <f t="shared" si="168"/>
        <v>2.3022894697319958E-3</v>
      </c>
      <c r="AT139" s="13">
        <f t="shared" si="169"/>
        <v>1.5865376082136371E-3</v>
      </c>
      <c r="AU139" s="14">
        <f t="shared" si="170"/>
        <v>1.3571019473964919E-3</v>
      </c>
    </row>
    <row r="140" spans="1:47" x14ac:dyDescent="0.35">
      <c r="A140" s="5">
        <v>7.4999999999999997E-2</v>
      </c>
      <c r="B140" s="5">
        <v>0.02</v>
      </c>
      <c r="C140" s="5">
        <f t="shared" si="138"/>
        <v>0.15</v>
      </c>
      <c r="D140" s="5">
        <v>9.81</v>
      </c>
      <c r="E140" s="5">
        <v>1000</v>
      </c>
      <c r="F140" s="5">
        <v>2650</v>
      </c>
      <c r="G140" s="5">
        <v>1.65</v>
      </c>
      <c r="H140" s="5">
        <v>9.9999999999999995E-7</v>
      </c>
      <c r="I140" s="12"/>
      <c r="J140" s="12"/>
      <c r="K140" s="12"/>
      <c r="L140" s="12">
        <f t="shared" si="171"/>
        <v>215.11675486809071</v>
      </c>
      <c r="M140" s="5">
        <f t="shared" si="139"/>
        <v>1.096415672110554</v>
      </c>
      <c r="N140" s="5">
        <f t="shared" si="140"/>
        <v>8.8599246231155893E-2</v>
      </c>
      <c r="O140" s="12">
        <f t="shared" si="141"/>
        <v>0.17719849246231179</v>
      </c>
      <c r="P140" s="5">
        <f t="shared" si="142"/>
        <v>1897.1962050160116</v>
      </c>
      <c r="Q140" s="5">
        <v>4.7E-2</v>
      </c>
      <c r="R140" s="5">
        <f t="shared" si="143"/>
        <v>5.5131715547597548E-2</v>
      </c>
      <c r="S140" s="5">
        <f t="shared" si="144"/>
        <v>5.6000000000000001E-2</v>
      </c>
      <c r="T140" s="5">
        <f t="shared" si="145"/>
        <v>7.977443845417484E-2</v>
      </c>
      <c r="U140" s="5">
        <f t="shared" si="146"/>
        <v>8.7074722341604224E-2</v>
      </c>
      <c r="V140" s="5">
        <f t="shared" si="147"/>
        <v>2.214093570321221</v>
      </c>
      <c r="W140" s="5">
        <f t="shared" si="148"/>
        <v>0.3895547355705582</v>
      </c>
      <c r="X140" s="5">
        <f t="shared" si="149"/>
        <v>0.34112748995075981</v>
      </c>
      <c r="Y140" s="5">
        <f t="shared" si="150"/>
        <v>8.113596825130081</v>
      </c>
      <c r="Z140" s="12">
        <f t="shared" si="151"/>
        <v>4.5205550599332014</v>
      </c>
      <c r="AA140" s="12">
        <f t="shared" si="152"/>
        <v>3.7631414424216674</v>
      </c>
      <c r="AB140" s="12">
        <f t="shared" si="153"/>
        <v>5.8518612919311673E-2</v>
      </c>
      <c r="AC140" s="1">
        <f t="shared" si="154"/>
        <v>0.60520632390683304</v>
      </c>
      <c r="AD140" s="1">
        <f t="shared" si="155"/>
        <v>0.2133159173875494</v>
      </c>
      <c r="AE140" s="12">
        <f t="shared" si="156"/>
        <v>0.81642397642269393</v>
      </c>
      <c r="AF140" s="5">
        <f t="shared" si="157"/>
        <v>0.37583647008730819</v>
      </c>
      <c r="AG140" s="5">
        <f t="shared" si="158"/>
        <v>0.1879182350436541</v>
      </c>
      <c r="AH140" s="5">
        <v>0.1683344</v>
      </c>
      <c r="AI140" s="5">
        <f t="shared" si="159"/>
        <v>0.12910014219293248</v>
      </c>
      <c r="AJ140" s="5">
        <f t="shared" si="160"/>
        <v>0.1932697003391789</v>
      </c>
      <c r="AK140" s="5">
        <v>2.843992E-2</v>
      </c>
      <c r="AL140" s="5">
        <f t="shared" si="161"/>
        <v>1.973846438692382E-2</v>
      </c>
      <c r="AM140" s="5">
        <f t="shared" si="162"/>
        <v>1.6923389513859338E-2</v>
      </c>
      <c r="AN140" s="13">
        <f t="shared" si="163"/>
        <v>3.1057557030152321E-2</v>
      </c>
      <c r="AO140" s="13">
        <f t="shared" si="164"/>
        <v>1.5528778515076161E-2</v>
      </c>
      <c r="AP140" s="13">
        <f t="shared" si="165"/>
        <v>1.3910452136063263E-2</v>
      </c>
      <c r="AQ140" s="13">
        <f t="shared" si="166"/>
        <v>1.0668296846834329E-2</v>
      </c>
      <c r="AR140" s="13">
        <f t="shared" si="167"/>
        <v>1.5971001268424267E-2</v>
      </c>
      <c r="AS140" s="13">
        <f t="shared" si="168"/>
        <v>2.3501562717630404E-3</v>
      </c>
      <c r="AT140" s="13">
        <f t="shared" si="169"/>
        <v>1.6311043024699236E-3</v>
      </c>
      <c r="AU140" s="14">
        <f t="shared" si="170"/>
        <v>1.3984782659545241E-3</v>
      </c>
    </row>
    <row r="141" spans="1:47" x14ac:dyDescent="0.35">
      <c r="A141" s="5">
        <v>7.4999999999999997E-2</v>
      </c>
      <c r="B141" s="5">
        <v>0.02</v>
      </c>
      <c r="C141" s="5">
        <f t="shared" si="138"/>
        <v>0.15</v>
      </c>
      <c r="D141" s="5">
        <v>9.81</v>
      </c>
      <c r="E141" s="5">
        <v>1000</v>
      </c>
      <c r="F141" s="5">
        <v>2650</v>
      </c>
      <c r="G141" s="5">
        <v>1.65</v>
      </c>
      <c r="H141" s="5">
        <v>9.9999999999999995E-7</v>
      </c>
      <c r="I141" s="12"/>
      <c r="J141" s="12"/>
      <c r="K141" s="12"/>
      <c r="L141" s="12">
        <f t="shared" si="171"/>
        <v>216.56560929648268</v>
      </c>
      <c r="M141" s="5">
        <f t="shared" si="139"/>
        <v>1.1038002512562826</v>
      </c>
      <c r="N141" s="5">
        <f t="shared" si="140"/>
        <v>8.9195979899497596E-2</v>
      </c>
      <c r="O141" s="12">
        <f t="shared" si="141"/>
        <v>0.17839195979899519</v>
      </c>
      <c r="P141" s="5">
        <f t="shared" si="142"/>
        <v>1897.1962050160116</v>
      </c>
      <c r="Q141" s="5">
        <v>4.7E-2</v>
      </c>
      <c r="R141" s="5">
        <f t="shared" si="143"/>
        <v>5.5131715547597548E-2</v>
      </c>
      <c r="S141" s="5">
        <f t="shared" si="144"/>
        <v>5.6000000000000001E-2</v>
      </c>
      <c r="T141" s="5">
        <f t="shared" si="145"/>
        <v>7.977443845417484E-2</v>
      </c>
      <c r="U141" s="5">
        <f t="shared" si="146"/>
        <v>8.7074722341604224E-2</v>
      </c>
      <c r="V141" s="5">
        <f t="shared" si="147"/>
        <v>2.2357411342475251</v>
      </c>
      <c r="W141" s="5">
        <f t="shared" si="148"/>
        <v>0.3895547355705582</v>
      </c>
      <c r="X141" s="5">
        <f t="shared" si="149"/>
        <v>0.34112748995075981</v>
      </c>
      <c r="Y141" s="5">
        <f t="shared" si="150"/>
        <v>8.1316014573670081</v>
      </c>
      <c r="Z141" s="12">
        <f t="shared" si="151"/>
        <v>4.5205550599332014</v>
      </c>
      <c r="AA141" s="12">
        <f t="shared" si="152"/>
        <v>3.7841716767778606</v>
      </c>
      <c r="AB141" s="12">
        <f t="shared" si="153"/>
        <v>5.8518612919311673E-2</v>
      </c>
      <c r="AC141" s="1">
        <f t="shared" si="154"/>
        <v>0.61268747180591709</v>
      </c>
      <c r="AD141" s="1">
        <f t="shared" si="155"/>
        <v>0.21440351236652769</v>
      </c>
      <c r="AE141" s="12">
        <f t="shared" si="156"/>
        <v>0.81642397642269393</v>
      </c>
      <c r="AF141" s="5">
        <f t="shared" si="157"/>
        <v>0.38101596431567225</v>
      </c>
      <c r="AG141" s="5">
        <f t="shared" si="158"/>
        <v>0.19050798215783613</v>
      </c>
      <c r="AH141" s="5">
        <v>0.1716153</v>
      </c>
      <c r="AI141" s="5">
        <f t="shared" si="159"/>
        <v>0.13136234593815652</v>
      </c>
      <c r="AJ141" s="5">
        <f t="shared" si="160"/>
        <v>0.19614395530267476</v>
      </c>
      <c r="AK141" s="5">
        <v>2.9025430000000001E-2</v>
      </c>
      <c r="AL141" s="5">
        <f t="shared" si="161"/>
        <v>2.028564317683634E-2</v>
      </c>
      <c r="AM141" s="5">
        <f t="shared" si="162"/>
        <v>1.7432697719647856E-2</v>
      </c>
      <c r="AN141" s="13">
        <f t="shared" si="163"/>
        <v>3.1485568812370773E-2</v>
      </c>
      <c r="AO141" s="13">
        <f t="shared" si="164"/>
        <v>1.5742784406185387E-2</v>
      </c>
      <c r="AP141" s="13">
        <f t="shared" si="165"/>
        <v>1.4181572016570219E-2</v>
      </c>
      <c r="AQ141" s="13">
        <f t="shared" si="166"/>
        <v>1.0855235921200366E-2</v>
      </c>
      <c r="AR141" s="13">
        <f t="shared" si="167"/>
        <v>1.6208517700576883E-2</v>
      </c>
      <c r="AS141" s="13">
        <f t="shared" si="168"/>
        <v>2.3985403740629054E-3</v>
      </c>
      <c r="AT141" s="13">
        <f t="shared" si="169"/>
        <v>1.6763208735745055E-3</v>
      </c>
      <c r="AU141" s="14">
        <f t="shared" si="170"/>
        <v>1.4405653700706492E-3</v>
      </c>
    </row>
    <row r="142" spans="1:47" x14ac:dyDescent="0.35">
      <c r="A142" s="5">
        <v>7.4999999999999997E-2</v>
      </c>
      <c r="B142" s="5">
        <v>0.02</v>
      </c>
      <c r="C142" s="5">
        <f t="shared" si="138"/>
        <v>0.15</v>
      </c>
      <c r="D142" s="5">
        <v>9.81</v>
      </c>
      <c r="E142" s="5">
        <v>1000</v>
      </c>
      <c r="F142" s="5">
        <v>2650</v>
      </c>
      <c r="G142" s="5">
        <v>1.65</v>
      </c>
      <c r="H142" s="5">
        <v>9.9999999999999995E-7</v>
      </c>
      <c r="I142" s="12"/>
      <c r="J142" s="12"/>
      <c r="K142" s="12"/>
      <c r="L142" s="12">
        <f t="shared" si="171"/>
        <v>218.01446372487464</v>
      </c>
      <c r="M142" s="5">
        <f t="shared" si="139"/>
        <v>1.1111848304020113</v>
      </c>
      <c r="N142" s="5">
        <f t="shared" si="140"/>
        <v>8.9792713567839313E-2</v>
      </c>
      <c r="O142" s="12">
        <f t="shared" si="141"/>
        <v>0.17958542713567863</v>
      </c>
      <c r="P142" s="5">
        <f t="shared" si="142"/>
        <v>1897.1962050160116</v>
      </c>
      <c r="Q142" s="5">
        <v>4.7E-2</v>
      </c>
      <c r="R142" s="5">
        <f t="shared" si="143"/>
        <v>5.5131715547597548E-2</v>
      </c>
      <c r="S142" s="5">
        <f t="shared" si="144"/>
        <v>5.6000000000000001E-2</v>
      </c>
      <c r="T142" s="5">
        <f t="shared" si="145"/>
        <v>7.977443845417484E-2</v>
      </c>
      <c r="U142" s="5">
        <f t="shared" si="146"/>
        <v>8.7074722341604224E-2</v>
      </c>
      <c r="V142" s="5">
        <f t="shared" si="147"/>
        <v>2.2573886981738291</v>
      </c>
      <c r="W142" s="5">
        <f t="shared" si="148"/>
        <v>0.3895547355705582</v>
      </c>
      <c r="X142" s="5">
        <f t="shared" si="149"/>
        <v>0.34112748995075981</v>
      </c>
      <c r="Y142" s="5">
        <f t="shared" si="150"/>
        <v>8.1494462136027881</v>
      </c>
      <c r="Z142" s="12">
        <f t="shared" si="151"/>
        <v>4.5205550599332014</v>
      </c>
      <c r="AA142" s="12">
        <f t="shared" si="152"/>
        <v>3.8051409735359614</v>
      </c>
      <c r="AB142" s="12">
        <f t="shared" si="153"/>
        <v>5.8518612919311673E-2</v>
      </c>
      <c r="AC142" s="1">
        <f t="shared" si="154"/>
        <v>0.62020424676868424</v>
      </c>
      <c r="AD142" s="1">
        <f t="shared" si="155"/>
        <v>0.21548123369676114</v>
      </c>
      <c r="AE142" s="12">
        <f t="shared" si="156"/>
        <v>0.81642397642269393</v>
      </c>
      <c r="AF142" s="5">
        <f t="shared" si="157"/>
        <v>0.38621903563232457</v>
      </c>
      <c r="AG142" s="5">
        <f t="shared" si="158"/>
        <v>0.19310951781616228</v>
      </c>
      <c r="AH142" s="5">
        <v>0.17492630000000001</v>
      </c>
      <c r="AI142" s="5">
        <f t="shared" si="159"/>
        <v>0.13364237623768657</v>
      </c>
      <c r="AJ142" s="5">
        <f t="shared" si="160"/>
        <v>0.19902190146692178</v>
      </c>
      <c r="AK142" s="5">
        <v>2.961718E-2</v>
      </c>
      <c r="AL142" s="5">
        <f t="shared" si="161"/>
        <v>2.0840650085886626E-2</v>
      </c>
      <c r="AM142" s="5">
        <f t="shared" si="162"/>
        <v>1.7950587678331995E-2</v>
      </c>
      <c r="AN142" s="13">
        <f t="shared" si="163"/>
        <v>3.1915528906747301E-2</v>
      </c>
      <c r="AO142" s="13">
        <f t="shared" si="164"/>
        <v>1.595776445337365E-2</v>
      </c>
      <c r="AP142" s="13">
        <f t="shared" si="165"/>
        <v>1.445517923543045E-2</v>
      </c>
      <c r="AQ142" s="13">
        <f t="shared" si="166"/>
        <v>1.104364810760069E-2</v>
      </c>
      <c r="AR142" s="13">
        <f t="shared" si="167"/>
        <v>1.6446339158151361E-2</v>
      </c>
      <c r="AS142" s="13">
        <f t="shared" si="168"/>
        <v>2.4474401239150774E-3</v>
      </c>
      <c r="AT142" s="13">
        <f t="shared" si="169"/>
        <v>1.7221843277676378E-3</v>
      </c>
      <c r="AU142" s="14">
        <f t="shared" si="170"/>
        <v>1.4833616344231732E-3</v>
      </c>
    </row>
    <row r="143" spans="1:47" x14ac:dyDescent="0.35">
      <c r="A143" s="5">
        <v>7.4999999999999997E-2</v>
      </c>
      <c r="B143" s="5">
        <v>0.02</v>
      </c>
      <c r="C143" s="5">
        <f t="shared" si="138"/>
        <v>0.15</v>
      </c>
      <c r="D143" s="5">
        <v>9.81</v>
      </c>
      <c r="E143" s="5">
        <v>1000</v>
      </c>
      <c r="F143" s="5">
        <v>2650</v>
      </c>
      <c r="G143" s="5">
        <v>1.65</v>
      </c>
      <c r="H143" s="5">
        <v>9.9999999999999995E-7</v>
      </c>
      <c r="I143" s="12"/>
      <c r="J143" s="12"/>
      <c r="K143" s="12"/>
      <c r="L143" s="12">
        <f t="shared" si="171"/>
        <v>219.46331815326661</v>
      </c>
      <c r="M143" s="5">
        <f t="shared" si="139"/>
        <v>1.1185694095477401</v>
      </c>
      <c r="N143" s="5">
        <f t="shared" si="140"/>
        <v>9.0389447236181017E-2</v>
      </c>
      <c r="O143" s="12">
        <f t="shared" si="141"/>
        <v>0.18077889447236203</v>
      </c>
      <c r="P143" s="5">
        <f t="shared" si="142"/>
        <v>1897.1962050160116</v>
      </c>
      <c r="Q143" s="5">
        <v>4.7E-2</v>
      </c>
      <c r="R143" s="5">
        <f t="shared" si="143"/>
        <v>5.5131715547597548E-2</v>
      </c>
      <c r="S143" s="5">
        <f t="shared" si="144"/>
        <v>5.6000000000000001E-2</v>
      </c>
      <c r="T143" s="5">
        <f t="shared" si="145"/>
        <v>7.977443845417484E-2</v>
      </c>
      <c r="U143" s="5">
        <f t="shared" si="146"/>
        <v>8.7074722341604224E-2</v>
      </c>
      <c r="V143" s="5">
        <f t="shared" si="147"/>
        <v>2.2790362621001328</v>
      </c>
      <c r="W143" s="5">
        <f t="shared" si="148"/>
        <v>0.3895547355705582</v>
      </c>
      <c r="X143" s="5">
        <f t="shared" si="149"/>
        <v>0.34112748995075981</v>
      </c>
      <c r="Y143" s="5">
        <f t="shared" si="150"/>
        <v>8.1671335762415378</v>
      </c>
      <c r="Z143" s="12">
        <f t="shared" si="151"/>
        <v>4.5205550599332014</v>
      </c>
      <c r="AA143" s="12">
        <f t="shared" si="152"/>
        <v>3.8260498947232682</v>
      </c>
      <c r="AB143" s="12">
        <f t="shared" si="153"/>
        <v>5.8518612919311673E-2</v>
      </c>
      <c r="AC143" s="1">
        <f t="shared" si="154"/>
        <v>0.62775654298894479</v>
      </c>
      <c r="AD143" s="1">
        <f t="shared" si="155"/>
        <v>0.21654921062358098</v>
      </c>
      <c r="AE143" s="12">
        <f t="shared" si="156"/>
        <v>0.81642397642269393</v>
      </c>
      <c r="AF143" s="5">
        <f t="shared" si="157"/>
        <v>0.39144557768067145</v>
      </c>
      <c r="AG143" s="5">
        <f t="shared" si="158"/>
        <v>0.19572278884033573</v>
      </c>
      <c r="AH143" s="5">
        <v>0.17826739999999999</v>
      </c>
      <c r="AI143" s="5">
        <f t="shared" si="159"/>
        <v>0.13594018384804407</v>
      </c>
      <c r="AJ143" s="5">
        <f t="shared" si="160"/>
        <v>0.20190324005269211</v>
      </c>
      <c r="AK143" s="5">
        <v>3.0215200000000001E-2</v>
      </c>
      <c r="AL143" s="5">
        <f t="shared" si="161"/>
        <v>2.1403448506432658E-2</v>
      </c>
      <c r="AM143" s="5">
        <f t="shared" si="162"/>
        <v>1.8477037872356467E-2</v>
      </c>
      <c r="AN143" s="13">
        <f t="shared" si="163"/>
        <v>3.2347428524416959E-2</v>
      </c>
      <c r="AO143" s="13">
        <f t="shared" si="164"/>
        <v>1.6173714262208479E-2</v>
      </c>
      <c r="AP143" s="13">
        <f t="shared" si="165"/>
        <v>1.4731273792643952E-2</v>
      </c>
      <c r="AQ143" s="13">
        <f t="shared" si="166"/>
        <v>1.1233529336759791E-2</v>
      </c>
      <c r="AR143" s="13">
        <f t="shared" si="167"/>
        <v>1.6684440951279505E-2</v>
      </c>
      <c r="AS143" s="13">
        <f t="shared" si="168"/>
        <v>2.4968580003943267E-3</v>
      </c>
      <c r="AT143" s="13">
        <f t="shared" si="169"/>
        <v>1.7686916399465959E-3</v>
      </c>
      <c r="AU143" s="14">
        <f t="shared" si="170"/>
        <v>1.5268652808911479E-3</v>
      </c>
    </row>
    <row r="144" spans="1:47" x14ac:dyDescent="0.35">
      <c r="A144" s="5">
        <v>7.4999999999999997E-2</v>
      </c>
      <c r="B144" s="5">
        <v>0.02</v>
      </c>
      <c r="C144" s="5">
        <f t="shared" si="138"/>
        <v>0.15</v>
      </c>
      <c r="D144" s="5">
        <v>9.81</v>
      </c>
      <c r="E144" s="5">
        <v>1000</v>
      </c>
      <c r="F144" s="5">
        <v>2650</v>
      </c>
      <c r="G144" s="5">
        <v>1.65</v>
      </c>
      <c r="H144" s="5">
        <v>9.9999999999999995E-7</v>
      </c>
      <c r="I144" s="12"/>
      <c r="J144" s="12"/>
      <c r="K144" s="12"/>
      <c r="L144" s="12">
        <f t="shared" si="171"/>
        <v>220.91217258165858</v>
      </c>
      <c r="M144" s="5">
        <f t="shared" si="139"/>
        <v>1.1259539886934686</v>
      </c>
      <c r="N144" s="5">
        <f t="shared" si="140"/>
        <v>9.0986180904522734E-2</v>
      </c>
      <c r="O144" s="12">
        <f t="shared" si="141"/>
        <v>0.18197236180904547</v>
      </c>
      <c r="P144" s="5">
        <f t="shared" si="142"/>
        <v>1897.1962050160116</v>
      </c>
      <c r="Q144" s="5">
        <v>4.7E-2</v>
      </c>
      <c r="R144" s="5">
        <f t="shared" si="143"/>
        <v>5.5131715547597548E-2</v>
      </c>
      <c r="S144" s="5">
        <f t="shared" si="144"/>
        <v>5.6000000000000001E-2</v>
      </c>
      <c r="T144" s="5">
        <f t="shared" si="145"/>
        <v>7.977443845417484E-2</v>
      </c>
      <c r="U144" s="5">
        <f t="shared" si="146"/>
        <v>8.7074722341604224E-2</v>
      </c>
      <c r="V144" s="5">
        <f t="shared" si="147"/>
        <v>2.3006838260264368</v>
      </c>
      <c r="W144" s="5">
        <f t="shared" si="148"/>
        <v>0.3895547355705582</v>
      </c>
      <c r="X144" s="5">
        <f t="shared" si="149"/>
        <v>0.34112748995075981</v>
      </c>
      <c r="Y144" s="5">
        <f t="shared" si="150"/>
        <v>8.1846659773726547</v>
      </c>
      <c r="Z144" s="12">
        <f t="shared" si="151"/>
        <v>4.5205550599332014</v>
      </c>
      <c r="AA144" s="12">
        <f t="shared" si="152"/>
        <v>3.8468989956869573</v>
      </c>
      <c r="AB144" s="12">
        <f t="shared" si="153"/>
        <v>5.8518612919311673E-2</v>
      </c>
      <c r="AC144" s="1">
        <f t="shared" si="154"/>
        <v>0.63534425599235878</v>
      </c>
      <c r="AD144" s="1">
        <f t="shared" si="155"/>
        <v>0.21760757043975193</v>
      </c>
      <c r="AE144" s="12">
        <f t="shared" si="156"/>
        <v>0.81642397642269393</v>
      </c>
      <c r="AF144" s="5">
        <f t="shared" si="157"/>
        <v>0.3966954855306028</v>
      </c>
      <c r="AG144" s="5">
        <f t="shared" si="158"/>
        <v>0.1983477427653014</v>
      </c>
      <c r="AH144" s="5">
        <v>0.18163850000000001</v>
      </c>
      <c r="AI144" s="5">
        <f t="shared" si="159"/>
        <v>0.13825571993934899</v>
      </c>
      <c r="AJ144" s="5">
        <f t="shared" si="160"/>
        <v>0.20478767888772195</v>
      </c>
      <c r="AK144" s="5">
        <v>3.0819470000000002E-2</v>
      </c>
      <c r="AL144" s="5">
        <f t="shared" si="161"/>
        <v>2.197400155801222E-2</v>
      </c>
      <c r="AM144" s="5">
        <f t="shared" si="162"/>
        <v>1.9012025062946945E-2</v>
      </c>
      <c r="AN144" s="13">
        <f t="shared" si="163"/>
        <v>3.2781258994393464E-2</v>
      </c>
      <c r="AO144" s="13">
        <f t="shared" si="164"/>
        <v>1.6390629497196732E-2</v>
      </c>
      <c r="AP144" s="13">
        <f t="shared" si="165"/>
        <v>1.5009847424628164E-2</v>
      </c>
      <c r="AQ144" s="13">
        <f t="shared" si="166"/>
        <v>1.1424875573580216E-2</v>
      </c>
      <c r="AR144" s="13">
        <f t="shared" si="167"/>
        <v>1.6922798936065055E-2</v>
      </c>
      <c r="AS144" s="13">
        <f t="shared" si="168"/>
        <v>2.5467923507841396E-3</v>
      </c>
      <c r="AT144" s="13">
        <f t="shared" si="169"/>
        <v>1.8158397624639324E-3</v>
      </c>
      <c r="AU144" s="14">
        <f t="shared" si="170"/>
        <v>1.5710743891192687E-3</v>
      </c>
    </row>
    <row r="145" spans="1:47" x14ac:dyDescent="0.35">
      <c r="A145" s="5">
        <v>7.4999999999999997E-2</v>
      </c>
      <c r="B145" s="5">
        <v>0.02</v>
      </c>
      <c r="C145" s="5">
        <f t="shared" si="138"/>
        <v>0.15</v>
      </c>
      <c r="D145" s="5">
        <v>9.81</v>
      </c>
      <c r="E145" s="5">
        <v>1000</v>
      </c>
      <c r="F145" s="5">
        <v>2650</v>
      </c>
      <c r="G145" s="5">
        <v>1.65</v>
      </c>
      <c r="H145" s="5">
        <v>9.9999999999999995E-7</v>
      </c>
      <c r="I145" s="12"/>
      <c r="J145" s="12"/>
      <c r="K145" s="12"/>
      <c r="L145" s="12">
        <f t="shared" si="171"/>
        <v>222.36102701005055</v>
      </c>
      <c r="M145" s="5">
        <f t="shared" si="139"/>
        <v>1.1333385678391974</v>
      </c>
      <c r="N145" s="5">
        <f t="shared" si="140"/>
        <v>9.1582914572864452E-2</v>
      </c>
      <c r="O145" s="12">
        <f t="shared" si="141"/>
        <v>0.1831658291457289</v>
      </c>
      <c r="P145" s="5">
        <f t="shared" si="142"/>
        <v>1897.1962050160116</v>
      </c>
      <c r="Q145" s="5">
        <v>4.7E-2</v>
      </c>
      <c r="R145" s="5">
        <f t="shared" si="143"/>
        <v>5.5131715547597548E-2</v>
      </c>
      <c r="S145" s="5">
        <f t="shared" si="144"/>
        <v>5.6000000000000001E-2</v>
      </c>
      <c r="T145" s="5">
        <f t="shared" si="145"/>
        <v>7.977443845417484E-2</v>
      </c>
      <c r="U145" s="5">
        <f t="shared" si="146"/>
        <v>8.7074722341604224E-2</v>
      </c>
      <c r="V145" s="5">
        <f t="shared" si="147"/>
        <v>2.3223313899527409</v>
      </c>
      <c r="W145" s="5">
        <f t="shared" si="148"/>
        <v>0.3895547355705582</v>
      </c>
      <c r="X145" s="5">
        <f t="shared" si="149"/>
        <v>0.34112748995075981</v>
      </c>
      <c r="Y145" s="5">
        <f t="shared" si="150"/>
        <v>8.202045799971593</v>
      </c>
      <c r="Z145" s="12">
        <f t="shared" si="151"/>
        <v>4.5205550599332014</v>
      </c>
      <c r="AA145" s="12">
        <f t="shared" si="152"/>
        <v>3.8676888251512431</v>
      </c>
      <c r="AB145" s="12">
        <f t="shared" si="153"/>
        <v>5.8518612919311673E-2</v>
      </c>
      <c r="AC145" s="1">
        <f t="shared" si="154"/>
        <v>0.64296728260975988</v>
      </c>
      <c r="AD145" s="1">
        <f t="shared" si="155"/>
        <v>0.21865643850835803</v>
      </c>
      <c r="AE145" s="12">
        <f t="shared" si="156"/>
        <v>0.81642397642269393</v>
      </c>
      <c r="AF145" s="5">
        <f t="shared" si="157"/>
        <v>0.40196865564688511</v>
      </c>
      <c r="AG145" s="5">
        <f t="shared" si="158"/>
        <v>0.20098432782344255</v>
      </c>
      <c r="AH145" s="5">
        <v>0.1850395</v>
      </c>
      <c r="AI145" s="5">
        <f t="shared" si="159"/>
        <v>0.14058893609284703</v>
      </c>
      <c r="AJ145" s="5">
        <f t="shared" si="160"/>
        <v>0.20767493230734044</v>
      </c>
      <c r="AK145" s="5">
        <v>3.1430029999999998E-2</v>
      </c>
      <c r="AL145" s="5">
        <f t="shared" si="161"/>
        <v>2.2552272188557973E-2</v>
      </c>
      <c r="AM145" s="5">
        <f t="shared" si="162"/>
        <v>1.9555524416219525E-2</v>
      </c>
      <c r="AN145" s="13">
        <f t="shared" si="163"/>
        <v>3.3217011760957309E-2</v>
      </c>
      <c r="AO145" s="13">
        <f t="shared" si="164"/>
        <v>1.6608505880478654E-2</v>
      </c>
      <c r="AP145" s="13">
        <f t="shared" si="165"/>
        <v>1.5290891867800509E-2</v>
      </c>
      <c r="AQ145" s="13">
        <f t="shared" si="166"/>
        <v>1.1617682816938223E-2</v>
      </c>
      <c r="AR145" s="13">
        <f t="shared" si="167"/>
        <v>1.7161389506372065E-2</v>
      </c>
      <c r="AS145" s="13">
        <f t="shared" si="168"/>
        <v>2.5972464805175438E-3</v>
      </c>
      <c r="AT145" s="13">
        <f t="shared" si="169"/>
        <v>1.8636256334914692E-3</v>
      </c>
      <c r="AU145" s="14">
        <f t="shared" si="170"/>
        <v>1.6159869069390345E-3</v>
      </c>
    </row>
    <row r="146" spans="1:47" x14ac:dyDescent="0.35">
      <c r="A146" s="5">
        <v>7.4999999999999997E-2</v>
      </c>
      <c r="B146" s="5">
        <v>0.02</v>
      </c>
      <c r="C146" s="5">
        <f t="shared" si="138"/>
        <v>0.15</v>
      </c>
      <c r="D146" s="5">
        <v>9.81</v>
      </c>
      <c r="E146" s="5">
        <v>1000</v>
      </c>
      <c r="F146" s="5">
        <v>2650</v>
      </c>
      <c r="G146" s="5">
        <v>1.65</v>
      </c>
      <c r="H146" s="5">
        <v>9.9999999999999995E-7</v>
      </c>
      <c r="I146" s="12"/>
      <c r="J146" s="12"/>
      <c r="K146" s="12"/>
      <c r="L146" s="12">
        <f t="shared" si="171"/>
        <v>223.80988143844252</v>
      </c>
      <c r="M146" s="5">
        <f t="shared" si="139"/>
        <v>1.1407231469849262</v>
      </c>
      <c r="N146" s="5">
        <f t="shared" si="140"/>
        <v>9.2179648241206155E-2</v>
      </c>
      <c r="O146" s="12">
        <f t="shared" si="141"/>
        <v>0.18435929648241231</v>
      </c>
      <c r="P146" s="5">
        <f t="shared" si="142"/>
        <v>1897.1962050160116</v>
      </c>
      <c r="Q146" s="5">
        <v>4.7E-2</v>
      </c>
      <c r="R146" s="5">
        <f t="shared" si="143"/>
        <v>5.5131715547597548E-2</v>
      </c>
      <c r="S146" s="5">
        <f t="shared" si="144"/>
        <v>5.6000000000000001E-2</v>
      </c>
      <c r="T146" s="5">
        <f t="shared" si="145"/>
        <v>7.977443845417484E-2</v>
      </c>
      <c r="U146" s="5">
        <f t="shared" si="146"/>
        <v>8.7074722341604224E-2</v>
      </c>
      <c r="V146" s="5">
        <f t="shared" si="147"/>
        <v>2.3439789538790445</v>
      </c>
      <c r="W146" s="5">
        <f t="shared" si="148"/>
        <v>0.3895547355705582</v>
      </c>
      <c r="X146" s="5">
        <f t="shared" si="149"/>
        <v>0.34112748995075981</v>
      </c>
      <c r="Y146" s="5">
        <f t="shared" si="150"/>
        <v>8.2192753790690585</v>
      </c>
      <c r="Z146" s="12">
        <f t="shared" si="151"/>
        <v>4.5205550599332014</v>
      </c>
      <c r="AA146" s="12">
        <f t="shared" si="152"/>
        <v>3.8884199252762341</v>
      </c>
      <c r="AB146" s="12">
        <f t="shared" si="153"/>
        <v>5.8518612919311673E-2</v>
      </c>
      <c r="AC146" s="1">
        <f t="shared" si="154"/>
        <v>0.65062552095113402</v>
      </c>
      <c r="AD146" s="1">
        <f t="shared" si="155"/>
        <v>0.21969593828618783</v>
      </c>
      <c r="AE146" s="12">
        <f t="shared" si="156"/>
        <v>0.81642397642269393</v>
      </c>
      <c r="AF146" s="5">
        <f t="shared" si="157"/>
        <v>0.40726498585852933</v>
      </c>
      <c r="AG146" s="5">
        <f t="shared" si="158"/>
        <v>0.20363249292926466</v>
      </c>
      <c r="AH146" s="5">
        <v>0.18847050000000001</v>
      </c>
      <c r="AI146" s="5">
        <f t="shared" si="159"/>
        <v>0.14293978429829915</v>
      </c>
      <c r="AJ146" s="5">
        <f t="shared" si="160"/>
        <v>0.21056472105458043</v>
      </c>
      <c r="AK146" s="5">
        <v>3.2046850000000002E-2</v>
      </c>
      <c r="AL146" s="5">
        <f t="shared" si="161"/>
        <v>2.3138223270351043E-2</v>
      </c>
      <c r="AM146" s="5">
        <f t="shared" si="162"/>
        <v>2.0107509627241053E-2</v>
      </c>
      <c r="AN146" s="13">
        <f t="shared" si="163"/>
        <v>3.3654678381124438E-2</v>
      </c>
      <c r="AO146" s="13">
        <f t="shared" si="164"/>
        <v>1.6827339190562219E-2</v>
      </c>
      <c r="AP146" s="13">
        <f t="shared" si="165"/>
        <v>1.5574415385743565E-2</v>
      </c>
      <c r="AQ146" s="13">
        <f t="shared" si="166"/>
        <v>1.1811947099468067E-2</v>
      </c>
      <c r="AR146" s="13">
        <f t="shared" si="167"/>
        <v>1.7400189585570471E-2</v>
      </c>
      <c r="AS146" s="13">
        <f t="shared" si="168"/>
        <v>2.648217910519769E-3</v>
      </c>
      <c r="AT146" s="13">
        <f t="shared" si="169"/>
        <v>1.9120461849495016E-3</v>
      </c>
      <c r="AU146" s="14">
        <f t="shared" si="170"/>
        <v>1.6616006606205739E-3</v>
      </c>
    </row>
    <row r="147" spans="1:47" x14ac:dyDescent="0.35">
      <c r="A147" s="5">
        <v>7.4999999999999997E-2</v>
      </c>
      <c r="B147" s="5">
        <v>0.02</v>
      </c>
      <c r="C147" s="5">
        <f t="shared" si="138"/>
        <v>0.15</v>
      </c>
      <c r="D147" s="5">
        <v>9.81</v>
      </c>
      <c r="E147" s="5">
        <v>1000</v>
      </c>
      <c r="F147" s="5">
        <v>2650</v>
      </c>
      <c r="G147" s="5">
        <v>1.65</v>
      </c>
      <c r="H147" s="5">
        <v>9.9999999999999995E-7</v>
      </c>
      <c r="I147" s="12"/>
      <c r="J147" s="12"/>
      <c r="K147" s="12"/>
      <c r="L147" s="12">
        <f t="shared" si="171"/>
        <v>225.25873586683448</v>
      </c>
      <c r="M147" s="5">
        <f t="shared" si="139"/>
        <v>1.1481077261306547</v>
      </c>
      <c r="N147" s="5">
        <f t="shared" si="140"/>
        <v>9.2776381909547873E-2</v>
      </c>
      <c r="O147" s="12">
        <f t="shared" si="141"/>
        <v>0.18555276381909575</v>
      </c>
      <c r="P147" s="5">
        <f t="shared" si="142"/>
        <v>1897.1962050160116</v>
      </c>
      <c r="Q147" s="5">
        <v>4.7E-2</v>
      </c>
      <c r="R147" s="5">
        <f t="shared" si="143"/>
        <v>5.5131715547597548E-2</v>
      </c>
      <c r="S147" s="5">
        <f t="shared" si="144"/>
        <v>5.6000000000000001E-2</v>
      </c>
      <c r="T147" s="5">
        <f t="shared" si="145"/>
        <v>7.977443845417484E-2</v>
      </c>
      <c r="U147" s="5">
        <f t="shared" si="146"/>
        <v>8.7074722341604224E-2</v>
      </c>
      <c r="V147" s="5">
        <f t="shared" si="147"/>
        <v>2.3656265178053486</v>
      </c>
      <c r="W147" s="5">
        <f t="shared" si="148"/>
        <v>0.3895547355705582</v>
      </c>
      <c r="X147" s="5">
        <f t="shared" si="149"/>
        <v>0.34112748995075981</v>
      </c>
      <c r="Y147" s="5">
        <f t="shared" si="150"/>
        <v>8.2363570028894237</v>
      </c>
      <c r="Z147" s="12">
        <f t="shared" si="151"/>
        <v>4.5205550599332014</v>
      </c>
      <c r="AA147" s="12">
        <f t="shared" si="152"/>
        <v>3.9090928317182843</v>
      </c>
      <c r="AB147" s="12">
        <f t="shared" si="153"/>
        <v>5.8518612919311673E-2</v>
      </c>
      <c r="AC147" s="1">
        <f t="shared" si="154"/>
        <v>0.65831887038023174</v>
      </c>
      <c r="AD147" s="1">
        <f t="shared" si="155"/>
        <v>0.22072619134753868</v>
      </c>
      <c r="AE147" s="12">
        <f t="shared" si="156"/>
        <v>0.81642397642269393</v>
      </c>
      <c r="AF147" s="5">
        <f t="shared" si="157"/>
        <v>0.4125843753290912</v>
      </c>
      <c r="AG147" s="5">
        <f t="shared" si="158"/>
        <v>0.2062921876645456</v>
      </c>
      <c r="AH147" s="5">
        <v>0.1919313</v>
      </c>
      <c r="AI147" s="5">
        <f t="shared" si="159"/>
        <v>0.14530821695124255</v>
      </c>
      <c r="AJ147" s="5">
        <f t="shared" si="160"/>
        <v>0.21345677217993092</v>
      </c>
      <c r="AK147" s="5">
        <v>3.2669959999999998E-2</v>
      </c>
      <c r="AL147" s="5">
        <f t="shared" si="161"/>
        <v>2.3731817690731405E-2</v>
      </c>
      <c r="AM147" s="5">
        <f t="shared" si="162"/>
        <v>2.0667953041757586E-2</v>
      </c>
      <c r="AN147" s="13">
        <f t="shared" si="163"/>
        <v>3.4094250522192039E-2</v>
      </c>
      <c r="AO147" s="13">
        <f t="shared" si="164"/>
        <v>1.704712526109602E-2</v>
      </c>
      <c r="AP147" s="13">
        <f t="shared" si="165"/>
        <v>1.5860401451292184E-2</v>
      </c>
      <c r="AQ147" s="13">
        <f t="shared" si="166"/>
        <v>1.2007664487335661E-2</v>
      </c>
      <c r="AR147" s="13">
        <f t="shared" si="167"/>
        <v>1.763917661825206E-2</v>
      </c>
      <c r="AS147" s="13">
        <f t="shared" si="168"/>
        <v>2.6997091198655851E-3</v>
      </c>
      <c r="AT147" s="13">
        <f t="shared" si="169"/>
        <v>1.9610983500027244E-3</v>
      </c>
      <c r="AU147" s="14">
        <f t="shared" si="170"/>
        <v>1.7079133649317789E-3</v>
      </c>
    </row>
    <row r="148" spans="1:47" x14ac:dyDescent="0.35">
      <c r="A148" s="5">
        <v>7.4999999999999997E-2</v>
      </c>
      <c r="B148" s="5">
        <v>0.02</v>
      </c>
      <c r="C148" s="5">
        <f t="shared" si="138"/>
        <v>0.15</v>
      </c>
      <c r="D148" s="5">
        <v>9.81</v>
      </c>
      <c r="E148" s="5">
        <v>1000</v>
      </c>
      <c r="F148" s="5">
        <v>2650</v>
      </c>
      <c r="G148" s="5">
        <v>1.65</v>
      </c>
      <c r="H148" s="5">
        <v>9.9999999999999995E-7</v>
      </c>
      <c r="I148" s="12"/>
      <c r="J148" s="12"/>
      <c r="K148" s="12"/>
      <c r="L148" s="12">
        <f t="shared" si="171"/>
        <v>226.70759029522645</v>
      </c>
      <c r="M148" s="5">
        <f t="shared" si="139"/>
        <v>1.1554923052763835</v>
      </c>
      <c r="N148" s="5">
        <f t="shared" si="140"/>
        <v>9.337311557788959E-2</v>
      </c>
      <c r="O148" s="12">
        <f t="shared" si="141"/>
        <v>0.18674623115577918</v>
      </c>
      <c r="P148" s="5">
        <f t="shared" si="142"/>
        <v>1897.1962050160116</v>
      </c>
      <c r="Q148" s="5">
        <v>4.7E-2</v>
      </c>
      <c r="R148" s="5">
        <f t="shared" si="143"/>
        <v>5.5131715547597548E-2</v>
      </c>
      <c r="S148" s="5">
        <f t="shared" si="144"/>
        <v>5.6000000000000001E-2</v>
      </c>
      <c r="T148" s="5">
        <f t="shared" si="145"/>
        <v>7.977443845417484E-2</v>
      </c>
      <c r="U148" s="5">
        <f t="shared" si="146"/>
        <v>8.7074722341604224E-2</v>
      </c>
      <c r="V148" s="5">
        <f t="shared" si="147"/>
        <v>2.3872740817316531</v>
      </c>
      <c r="W148" s="5">
        <f t="shared" si="148"/>
        <v>0.3895547355705582</v>
      </c>
      <c r="X148" s="5">
        <f t="shared" si="149"/>
        <v>0.34112748995075981</v>
      </c>
      <c r="Y148" s="5">
        <f t="shared" si="150"/>
        <v>8.253292913959287</v>
      </c>
      <c r="Z148" s="12">
        <f t="shared" si="151"/>
        <v>4.5205550599332014</v>
      </c>
      <c r="AA148" s="12">
        <f t="shared" si="152"/>
        <v>3.9297080736917076</v>
      </c>
      <c r="AB148" s="12">
        <f t="shared" si="153"/>
        <v>5.8518612919311673E-2</v>
      </c>
      <c r="AC148" s="1">
        <f t="shared" si="154"/>
        <v>0.66604723148980449</v>
      </c>
      <c r="AD148" s="1">
        <f t="shared" si="155"/>
        <v>0.22174731740837236</v>
      </c>
      <c r="AE148" s="12">
        <f t="shared" si="156"/>
        <v>0.81642397642269393</v>
      </c>
      <c r="AF148" s="5">
        <f t="shared" si="157"/>
        <v>0.417926724527867</v>
      </c>
      <c r="AG148" s="5">
        <f t="shared" si="158"/>
        <v>0.2089633622639335</v>
      </c>
      <c r="AH148" s="5">
        <v>0.19542180000000001</v>
      </c>
      <c r="AI148" s="5">
        <f t="shared" si="159"/>
        <v>0.14769418685013735</v>
      </c>
      <c r="AJ148" s="5">
        <f t="shared" si="160"/>
        <v>0.21635081894087396</v>
      </c>
      <c r="AK148" s="5">
        <v>3.329936E-2</v>
      </c>
      <c r="AL148" s="5">
        <f t="shared" si="161"/>
        <v>2.4333018437604367E-2</v>
      </c>
      <c r="AM148" s="5">
        <f t="shared" si="162"/>
        <v>2.1236825775333923E-2</v>
      </c>
      <c r="AN148" s="13">
        <f t="shared" si="163"/>
        <v>3.4535719959358224E-2</v>
      </c>
      <c r="AO148" s="13">
        <f t="shared" si="164"/>
        <v>1.7267859979679112E-2</v>
      </c>
      <c r="AP148" s="13">
        <f t="shared" si="165"/>
        <v>1.6148841800863803E-2</v>
      </c>
      <c r="AQ148" s="13">
        <f t="shared" si="166"/>
        <v>1.220483108000278E-2</v>
      </c>
      <c r="AR148" s="13">
        <f t="shared" si="167"/>
        <v>1.7878328561928617E-2</v>
      </c>
      <c r="AS148" s="13">
        <f t="shared" si="168"/>
        <v>2.7517201085549927E-3</v>
      </c>
      <c r="AT148" s="13">
        <f t="shared" si="169"/>
        <v>2.0107790701261326E-3</v>
      </c>
      <c r="AU148" s="14">
        <f t="shared" si="170"/>
        <v>1.7549226329834967E-3</v>
      </c>
    </row>
    <row r="149" spans="1:47" x14ac:dyDescent="0.35">
      <c r="A149" s="5">
        <v>7.4999999999999997E-2</v>
      </c>
      <c r="B149" s="5">
        <v>0.02</v>
      </c>
      <c r="C149" s="5">
        <f t="shared" si="138"/>
        <v>0.15</v>
      </c>
      <c r="D149" s="5">
        <v>9.81</v>
      </c>
      <c r="E149" s="5">
        <v>1000</v>
      </c>
      <c r="F149" s="5">
        <v>2650</v>
      </c>
      <c r="G149" s="5">
        <v>1.65</v>
      </c>
      <c r="H149" s="5">
        <v>9.9999999999999995E-7</v>
      </c>
      <c r="I149" s="12"/>
      <c r="J149" s="12"/>
      <c r="K149" s="12"/>
      <c r="L149" s="12">
        <f t="shared" si="171"/>
        <v>228.15644472361842</v>
      </c>
      <c r="M149" s="5">
        <f t="shared" si="139"/>
        <v>1.1628768844221122</v>
      </c>
      <c r="N149" s="5">
        <f t="shared" si="140"/>
        <v>9.3969849246231293E-2</v>
      </c>
      <c r="O149" s="12">
        <f t="shared" si="141"/>
        <v>0.18793969849246259</v>
      </c>
      <c r="P149" s="5">
        <f t="shared" si="142"/>
        <v>1897.1962050160116</v>
      </c>
      <c r="Q149" s="5">
        <v>4.7E-2</v>
      </c>
      <c r="R149" s="5">
        <f t="shared" si="143"/>
        <v>5.5131715547597548E-2</v>
      </c>
      <c r="S149" s="5">
        <f t="shared" si="144"/>
        <v>5.6000000000000001E-2</v>
      </c>
      <c r="T149" s="5">
        <f t="shared" si="145"/>
        <v>7.977443845417484E-2</v>
      </c>
      <c r="U149" s="5">
        <f t="shared" si="146"/>
        <v>8.7074722341604224E-2</v>
      </c>
      <c r="V149" s="5">
        <f t="shared" si="147"/>
        <v>2.4089216456579567</v>
      </c>
      <c r="W149" s="5">
        <f t="shared" si="148"/>
        <v>0.3895547355705582</v>
      </c>
      <c r="X149" s="5">
        <f t="shared" si="149"/>
        <v>0.34112748995075981</v>
      </c>
      <c r="Y149" s="5">
        <f t="shared" si="150"/>
        <v>8.2700853101868894</v>
      </c>
      <c r="Z149" s="12">
        <f t="shared" si="151"/>
        <v>4.5205550599332014</v>
      </c>
      <c r="AA149" s="12">
        <f t="shared" si="152"/>
        <v>3.9502661740316567</v>
      </c>
      <c r="AB149" s="12">
        <f t="shared" si="153"/>
        <v>5.8518612919311673E-2</v>
      </c>
      <c r="AC149" s="1">
        <f t="shared" si="154"/>
        <v>0.67381050607744053</v>
      </c>
      <c r="AD149" s="1">
        <f t="shared" si="155"/>
        <v>0.22275943435076082</v>
      </c>
      <c r="AE149" s="12">
        <f t="shared" si="156"/>
        <v>0.81642397642269393</v>
      </c>
      <c r="AF149" s="5">
        <f t="shared" si="157"/>
        <v>0.42329193520195679</v>
      </c>
      <c r="AG149" s="5">
        <f t="shared" si="158"/>
        <v>0.2116459676009784</v>
      </c>
      <c r="AH149" s="5">
        <v>0.19894210000000001</v>
      </c>
      <c r="AI149" s="5">
        <f t="shared" si="159"/>
        <v>0.15009764719341054</v>
      </c>
      <c r="AJ149" s="5">
        <f t="shared" si="160"/>
        <v>0.21924660070134783</v>
      </c>
      <c r="AK149" s="5">
        <v>3.3935050000000001E-2</v>
      </c>
      <c r="AL149" s="5">
        <f t="shared" si="161"/>
        <v>2.4941788679802269E-2</v>
      </c>
      <c r="AM149" s="5">
        <f t="shared" si="162"/>
        <v>2.1814097829673404E-2</v>
      </c>
      <c r="AN149" s="13">
        <f t="shared" si="163"/>
        <v>3.4979078573413473E-2</v>
      </c>
      <c r="AO149" s="13">
        <f t="shared" si="164"/>
        <v>1.7489539286706737E-2</v>
      </c>
      <c r="AP149" s="13">
        <f t="shared" si="165"/>
        <v>1.6439744698040992E-2</v>
      </c>
      <c r="AQ149" s="13">
        <f t="shared" si="166"/>
        <v>1.2403443009982794E-2</v>
      </c>
      <c r="AR149" s="13">
        <f t="shared" si="167"/>
        <v>1.8117623878723975E-2</v>
      </c>
      <c r="AS149" s="13">
        <f t="shared" si="168"/>
        <v>2.8042508765879917E-3</v>
      </c>
      <c r="AT149" s="13">
        <f t="shared" si="169"/>
        <v>2.0610853017457753E-3</v>
      </c>
      <c r="AU149" s="14">
        <f t="shared" si="170"/>
        <v>1.8026259858417138E-3</v>
      </c>
    </row>
    <row r="150" spans="1:47" x14ac:dyDescent="0.35">
      <c r="A150" s="5">
        <v>7.4999999999999997E-2</v>
      </c>
      <c r="B150" s="5">
        <v>0.02</v>
      </c>
      <c r="C150" s="5">
        <f t="shared" si="138"/>
        <v>0.15</v>
      </c>
      <c r="D150" s="5">
        <v>9.81</v>
      </c>
      <c r="E150" s="5">
        <v>1000</v>
      </c>
      <c r="F150" s="5">
        <v>2650</v>
      </c>
      <c r="G150" s="5">
        <v>1.65</v>
      </c>
      <c r="H150" s="5">
        <v>9.9999999999999995E-7</v>
      </c>
      <c r="I150" s="12"/>
      <c r="J150" s="12"/>
      <c r="K150" s="12"/>
      <c r="L150" s="12">
        <f t="shared" si="171"/>
        <v>229.60529915201039</v>
      </c>
      <c r="M150" s="5">
        <f t="shared" si="139"/>
        <v>1.1702614635678408</v>
      </c>
      <c r="N150" s="5">
        <f t="shared" si="140"/>
        <v>9.4566582914573011E-2</v>
      </c>
      <c r="O150" s="12">
        <f t="shared" si="141"/>
        <v>0.18913316582914602</v>
      </c>
      <c r="P150" s="5">
        <f t="shared" si="142"/>
        <v>1897.1962050160116</v>
      </c>
      <c r="Q150" s="5">
        <v>4.7E-2</v>
      </c>
      <c r="R150" s="5">
        <f t="shared" si="143"/>
        <v>5.5131715547597548E-2</v>
      </c>
      <c r="S150" s="5">
        <f t="shared" si="144"/>
        <v>5.6000000000000001E-2</v>
      </c>
      <c r="T150" s="5">
        <f t="shared" si="145"/>
        <v>7.977443845417484E-2</v>
      </c>
      <c r="U150" s="5">
        <f t="shared" si="146"/>
        <v>8.7074722341604224E-2</v>
      </c>
      <c r="V150" s="5">
        <f t="shared" si="147"/>
        <v>2.4305692095842608</v>
      </c>
      <c r="W150" s="5">
        <f t="shared" si="148"/>
        <v>0.3895547355705582</v>
      </c>
      <c r="X150" s="5">
        <f t="shared" si="149"/>
        <v>0.34112748995075981</v>
      </c>
      <c r="Y150" s="5">
        <f t="shared" si="150"/>
        <v>8.2867363459132619</v>
      </c>
      <c r="Z150" s="12">
        <f t="shared" si="151"/>
        <v>4.5205550599332014</v>
      </c>
      <c r="AA150" s="12">
        <f t="shared" si="152"/>
        <v>3.9707676492580584</v>
      </c>
      <c r="AB150" s="12">
        <f t="shared" si="153"/>
        <v>5.8518612919311673E-2</v>
      </c>
      <c r="AC150" s="1">
        <f t="shared" si="154"/>
        <v>0.68160859712199062</v>
      </c>
      <c r="AD150" s="1">
        <f t="shared" si="155"/>
        <v>0.22376265824755592</v>
      </c>
      <c r="AE150" s="12">
        <f t="shared" si="156"/>
        <v>0.81642397642269393</v>
      </c>
      <c r="AF150" s="5">
        <f t="shared" si="157"/>
        <v>0.42867991034915243</v>
      </c>
      <c r="AG150" s="5">
        <f t="shared" si="158"/>
        <v>0.21433995517457621</v>
      </c>
      <c r="AH150" s="5">
        <v>0.20249210000000001</v>
      </c>
      <c r="AI150" s="5">
        <f t="shared" si="159"/>
        <v>0.15251855157640401</v>
      </c>
      <c r="AJ150" s="5">
        <f t="shared" si="160"/>
        <v>0.22214386283125825</v>
      </c>
      <c r="AK150" s="5">
        <v>3.4577040000000003E-2</v>
      </c>
      <c r="AL150" s="5">
        <f t="shared" si="161"/>
        <v>2.5558091842378724E-2</v>
      </c>
      <c r="AM150" s="5">
        <f t="shared" si="162"/>
        <v>2.2399738205912428E-2</v>
      </c>
      <c r="AN150" s="13">
        <f t="shared" si="163"/>
        <v>3.5424318348500225E-2</v>
      </c>
      <c r="AO150" s="13">
        <f t="shared" si="164"/>
        <v>1.7712159174250112E-2</v>
      </c>
      <c r="AP150" s="13">
        <f t="shared" si="165"/>
        <v>1.6733101879241177E-2</v>
      </c>
      <c r="AQ150" s="13">
        <f t="shared" si="166"/>
        <v>1.2603496442588468E-2</v>
      </c>
      <c r="AR150" s="13">
        <f t="shared" si="167"/>
        <v>1.8357041527070052E-2</v>
      </c>
      <c r="AS150" s="13">
        <f t="shared" si="168"/>
        <v>2.8573022503228392E-3</v>
      </c>
      <c r="AT150" s="13">
        <f t="shared" si="169"/>
        <v>2.1120140224607578E-3</v>
      </c>
      <c r="AU150" s="14">
        <f t="shared" si="170"/>
        <v>1.8510208618897411E-3</v>
      </c>
    </row>
    <row r="151" spans="1:47" x14ac:dyDescent="0.35">
      <c r="A151" s="5">
        <v>7.4999999999999997E-2</v>
      </c>
      <c r="B151" s="5">
        <v>0.02</v>
      </c>
      <c r="C151" s="5">
        <f t="shared" si="138"/>
        <v>0.15</v>
      </c>
      <c r="D151" s="5">
        <v>9.81</v>
      </c>
      <c r="E151" s="5">
        <v>1000</v>
      </c>
      <c r="F151" s="5">
        <v>2650</v>
      </c>
      <c r="G151" s="5">
        <v>1.65</v>
      </c>
      <c r="H151" s="5">
        <v>9.9999999999999995E-7</v>
      </c>
      <c r="I151" s="12"/>
      <c r="J151" s="12"/>
      <c r="K151" s="12"/>
      <c r="L151" s="12">
        <f t="shared" si="171"/>
        <v>231.05415358040236</v>
      </c>
      <c r="M151" s="5">
        <f t="shared" si="139"/>
        <v>1.1776460427135695</v>
      </c>
      <c r="N151" s="5">
        <f t="shared" si="140"/>
        <v>9.5163316582914714E-2</v>
      </c>
      <c r="O151" s="12">
        <f t="shared" si="141"/>
        <v>0.19032663316582943</v>
      </c>
      <c r="P151" s="5">
        <f t="shared" si="142"/>
        <v>1897.1962050160116</v>
      </c>
      <c r="Q151" s="5">
        <v>4.7E-2</v>
      </c>
      <c r="R151" s="5">
        <f t="shared" si="143"/>
        <v>5.5131715547597548E-2</v>
      </c>
      <c r="S151" s="5">
        <f t="shared" si="144"/>
        <v>5.6000000000000001E-2</v>
      </c>
      <c r="T151" s="5">
        <f t="shared" si="145"/>
        <v>7.977443845417484E-2</v>
      </c>
      <c r="U151" s="5">
        <f t="shared" si="146"/>
        <v>8.7074722341604224E-2</v>
      </c>
      <c r="V151" s="5">
        <f t="shared" si="147"/>
        <v>2.4522167735105644</v>
      </c>
      <c r="W151" s="5">
        <f t="shared" si="148"/>
        <v>0.3895547355705582</v>
      </c>
      <c r="X151" s="5">
        <f t="shared" si="149"/>
        <v>0.34112748995075981</v>
      </c>
      <c r="Y151" s="5">
        <f t="shared" si="150"/>
        <v>8.3032481329358543</v>
      </c>
      <c r="Z151" s="12">
        <f t="shared" si="151"/>
        <v>4.5205550599332014</v>
      </c>
      <c r="AA151" s="12">
        <f t="shared" si="152"/>
        <v>3.9912130096404601</v>
      </c>
      <c r="AB151" s="12">
        <f t="shared" si="153"/>
        <v>5.8518612919311673E-2</v>
      </c>
      <c r="AC151" s="1">
        <f t="shared" si="154"/>
        <v>0.68944140876056681</v>
      </c>
      <c r="AD151" s="1">
        <f t="shared" si="155"/>
        <v>0.22475710338723603</v>
      </c>
      <c r="AE151" s="12">
        <f t="shared" si="156"/>
        <v>0.81642397642269393</v>
      </c>
      <c r="AF151" s="5">
        <f t="shared" si="157"/>
        <v>0.43409055419162762</v>
      </c>
      <c r="AG151" s="5">
        <f t="shared" si="158"/>
        <v>0.21704527709581381</v>
      </c>
      <c r="AH151" s="5">
        <v>0.2060717</v>
      </c>
      <c r="AI151" s="5">
        <f t="shared" si="159"/>
        <v>0.15495685398824038</v>
      </c>
      <c r="AJ151" s="5">
        <f t="shared" si="160"/>
        <v>0.22515128868586406</v>
      </c>
      <c r="AK151" s="5">
        <v>3.5225340000000001E-2</v>
      </c>
      <c r="AL151" s="5">
        <f t="shared" si="161"/>
        <v>2.618189167692762E-2</v>
      </c>
      <c r="AM151" s="5">
        <f t="shared" si="162"/>
        <v>2.2993715014708475E-2</v>
      </c>
      <c r="AN151" s="13">
        <f t="shared" si="163"/>
        <v>3.5871431369938721E-2</v>
      </c>
      <c r="AO151" s="13">
        <f t="shared" si="164"/>
        <v>1.793571568496936E-2</v>
      </c>
      <c r="AP151" s="13">
        <f t="shared" si="165"/>
        <v>1.7028905080881791E-2</v>
      </c>
      <c r="AQ151" s="13">
        <f t="shared" si="166"/>
        <v>1.2804987575672956E-2</v>
      </c>
      <c r="AR151" s="13">
        <f t="shared" si="167"/>
        <v>1.8605562645767439E-2</v>
      </c>
      <c r="AS151" s="13">
        <f t="shared" si="168"/>
        <v>2.9108750561177912E-3</v>
      </c>
      <c r="AT151" s="13">
        <f t="shared" si="169"/>
        <v>2.1635622368541118E-3</v>
      </c>
      <c r="AU151" s="14">
        <f t="shared" si="170"/>
        <v>1.9001046259254286E-3</v>
      </c>
    </row>
    <row r="152" spans="1:47" x14ac:dyDescent="0.35">
      <c r="A152" s="5">
        <v>7.4999999999999997E-2</v>
      </c>
      <c r="B152" s="5">
        <v>0.02</v>
      </c>
      <c r="C152" s="5">
        <f t="shared" si="138"/>
        <v>0.15</v>
      </c>
      <c r="D152" s="5">
        <v>9.81</v>
      </c>
      <c r="E152" s="5">
        <v>1000</v>
      </c>
      <c r="F152" s="5">
        <v>2650</v>
      </c>
      <c r="G152" s="5">
        <v>1.65</v>
      </c>
      <c r="H152" s="5">
        <v>9.9999999999999995E-7</v>
      </c>
      <c r="I152" s="12"/>
      <c r="J152" s="12"/>
      <c r="K152" s="12"/>
      <c r="L152" s="12">
        <f t="shared" si="171"/>
        <v>232.50300800879432</v>
      </c>
      <c r="M152" s="5">
        <f t="shared" si="139"/>
        <v>1.1850306218592981</v>
      </c>
      <c r="N152" s="5">
        <f t="shared" si="140"/>
        <v>9.5760050251256432E-2</v>
      </c>
      <c r="O152" s="12">
        <f t="shared" si="141"/>
        <v>0.19152010050251286</v>
      </c>
      <c r="P152" s="5">
        <f t="shared" si="142"/>
        <v>1897.1962050160116</v>
      </c>
      <c r="Q152" s="5">
        <v>4.7E-2</v>
      </c>
      <c r="R152" s="5">
        <f t="shared" si="143"/>
        <v>5.5131715547597548E-2</v>
      </c>
      <c r="S152" s="5">
        <f t="shared" si="144"/>
        <v>5.6000000000000001E-2</v>
      </c>
      <c r="T152" s="5">
        <f t="shared" si="145"/>
        <v>7.977443845417484E-2</v>
      </c>
      <c r="U152" s="5">
        <f t="shared" si="146"/>
        <v>8.7074722341604224E-2</v>
      </c>
      <c r="V152" s="5">
        <f t="shared" si="147"/>
        <v>2.4738643374368685</v>
      </c>
      <c r="W152" s="5">
        <f t="shared" si="148"/>
        <v>0.3895547355705582</v>
      </c>
      <c r="X152" s="5">
        <f t="shared" si="149"/>
        <v>0.34112748995075981</v>
      </c>
      <c r="Y152" s="5">
        <f t="shared" si="150"/>
        <v>8.3196227415053734</v>
      </c>
      <c r="Z152" s="12">
        <f t="shared" si="151"/>
        <v>4.5205550599332014</v>
      </c>
      <c r="AA152" s="12">
        <f t="shared" si="152"/>
        <v>4.0116027592636438</v>
      </c>
      <c r="AB152" s="12">
        <f t="shared" si="153"/>
        <v>5.8518612919311673E-2</v>
      </c>
      <c r="AC152" s="1">
        <f t="shared" si="154"/>
        <v>0.69730884626609579</v>
      </c>
      <c r="AD152" s="1">
        <f t="shared" si="155"/>
        <v>0.22574288229887793</v>
      </c>
      <c r="AE152" s="12">
        <f t="shared" si="156"/>
        <v>0.81642397642269393</v>
      </c>
      <c r="AF152" s="5">
        <f t="shared" si="157"/>
        <v>0.43952377215039434</v>
      </c>
      <c r="AG152" s="5">
        <f t="shared" si="158"/>
        <v>0.21976188607519717</v>
      </c>
      <c r="AH152" s="5">
        <v>0.2096808</v>
      </c>
      <c r="AI152" s="5">
        <f t="shared" si="159"/>
        <v>0.15741250880861363</v>
      </c>
      <c r="AJ152" s="5">
        <f t="shared" si="160"/>
        <v>0.22941342285448998</v>
      </c>
      <c r="AK152" s="5">
        <v>3.5879939999999999E-2</v>
      </c>
      <c r="AL152" s="5">
        <f t="shared" si="161"/>
        <v>2.6813152327034122E-2</v>
      </c>
      <c r="AM152" s="5">
        <f t="shared" si="162"/>
        <v>2.3595995582964963E-2</v>
      </c>
      <c r="AN152" s="13">
        <f t="shared" si="163"/>
        <v>3.6320409822116193E-2</v>
      </c>
      <c r="AO152" s="13">
        <f t="shared" si="164"/>
        <v>1.8160204911058096E-2</v>
      </c>
      <c r="AP152" s="13">
        <f t="shared" si="165"/>
        <v>1.7327146039380268E-2</v>
      </c>
      <c r="AQ152" s="13">
        <f t="shared" si="166"/>
        <v>1.3007912639364603E-2</v>
      </c>
      <c r="AR152" s="13">
        <f t="shared" si="167"/>
        <v>1.8957767621994227E-2</v>
      </c>
      <c r="AS152" s="13">
        <f t="shared" si="168"/>
        <v>2.9649684676145917E-3</v>
      </c>
      <c r="AT152" s="13">
        <f t="shared" si="169"/>
        <v>2.2157269819013908E-3</v>
      </c>
      <c r="AU152" s="14">
        <f t="shared" si="170"/>
        <v>1.949874577980462E-3</v>
      </c>
    </row>
    <row r="153" spans="1:47" x14ac:dyDescent="0.35">
      <c r="A153" s="5">
        <v>7.4999999999999997E-2</v>
      </c>
      <c r="B153" s="5">
        <v>0.02</v>
      </c>
      <c r="C153" s="5">
        <f t="shared" si="138"/>
        <v>0.15</v>
      </c>
      <c r="D153" s="5">
        <v>9.81</v>
      </c>
      <c r="E153" s="5">
        <v>1000</v>
      </c>
      <c r="F153" s="5">
        <v>2650</v>
      </c>
      <c r="G153" s="5">
        <v>1.65</v>
      </c>
      <c r="H153" s="5">
        <v>9.9999999999999995E-7</v>
      </c>
      <c r="I153" s="12"/>
      <c r="J153" s="12"/>
      <c r="K153" s="12"/>
      <c r="L153" s="12">
        <f t="shared" si="171"/>
        <v>233.95186243718629</v>
      </c>
      <c r="M153" s="5">
        <f t="shared" si="139"/>
        <v>1.1924152010050268</v>
      </c>
      <c r="N153" s="5">
        <f t="shared" si="140"/>
        <v>9.6356783919598149E-2</v>
      </c>
      <c r="O153" s="12">
        <f t="shared" si="141"/>
        <v>0.1927135678391963</v>
      </c>
      <c r="P153" s="5">
        <f t="shared" si="142"/>
        <v>1897.1962050160116</v>
      </c>
      <c r="Q153" s="5">
        <v>4.7E-2</v>
      </c>
      <c r="R153" s="5">
        <f t="shared" si="143"/>
        <v>5.5131715547597548E-2</v>
      </c>
      <c r="S153" s="5">
        <f t="shared" si="144"/>
        <v>5.6000000000000001E-2</v>
      </c>
      <c r="T153" s="5">
        <f t="shared" si="145"/>
        <v>7.977443845417484E-2</v>
      </c>
      <c r="U153" s="5">
        <f t="shared" si="146"/>
        <v>8.7074722341604224E-2</v>
      </c>
      <c r="V153" s="5">
        <f t="shared" si="147"/>
        <v>2.4955119013631726</v>
      </c>
      <c r="W153" s="5">
        <f t="shared" si="148"/>
        <v>0.3895547355705582</v>
      </c>
      <c r="X153" s="5">
        <f t="shared" si="149"/>
        <v>0.34112748995075981</v>
      </c>
      <c r="Y153" s="5">
        <f t="shared" si="150"/>
        <v>8.3358622012965871</v>
      </c>
      <c r="Z153" s="12">
        <f t="shared" si="151"/>
        <v>4.5205550599332014</v>
      </c>
      <c r="AA153" s="12">
        <f t="shared" si="152"/>
        <v>4.0319373960939071</v>
      </c>
      <c r="AB153" s="12">
        <f t="shared" si="153"/>
        <v>5.8518612919311673E-2</v>
      </c>
      <c r="AC153" s="1">
        <f t="shared" si="154"/>
        <v>0.7052108160254158</v>
      </c>
      <c r="AD153" s="1">
        <f t="shared" si="155"/>
        <v>0.22672010577720467</v>
      </c>
      <c r="AE153" s="12">
        <f t="shared" si="156"/>
        <v>0.81642397642269393</v>
      </c>
      <c r="AF153" s="5">
        <f t="shared" si="157"/>
        <v>0.44497947082050088</v>
      </c>
      <c r="AG153" s="5">
        <f t="shared" si="158"/>
        <v>0.22248973541025044</v>
      </c>
      <c r="AH153" s="5">
        <v>0.21331939999999999</v>
      </c>
      <c r="AI153" s="5">
        <f t="shared" si="159"/>
        <v>0.1598854708045111</v>
      </c>
      <c r="AJ153" s="5">
        <f t="shared" si="160"/>
        <v>0.23372900883461833</v>
      </c>
      <c r="AK153" s="5">
        <v>3.6540870000000003E-2</v>
      </c>
      <c r="AL153" s="5">
        <f t="shared" si="161"/>
        <v>2.7451838388976534E-2</v>
      </c>
      <c r="AM153" s="5">
        <f t="shared" si="162"/>
        <v>2.4206546557058874E-2</v>
      </c>
      <c r="AN153" s="13">
        <f t="shared" si="163"/>
        <v>3.6771245986437336E-2</v>
      </c>
      <c r="AO153" s="13">
        <f t="shared" si="164"/>
        <v>1.8385622993218668E-2</v>
      </c>
      <c r="AP153" s="13">
        <f t="shared" si="165"/>
        <v>1.7627824754736607E-2</v>
      </c>
      <c r="AQ153" s="13">
        <f t="shared" si="166"/>
        <v>1.3212267895796059E-2</v>
      </c>
      <c r="AR153" s="13">
        <f t="shared" si="167"/>
        <v>1.9314389632799155E-2</v>
      </c>
      <c r="AS153" s="13">
        <f t="shared" si="168"/>
        <v>3.0195849638880116E-3</v>
      </c>
      <c r="AT153" s="13">
        <f t="shared" si="169"/>
        <v>2.2685053319868201E-3</v>
      </c>
      <c r="AU153" s="14">
        <f t="shared" si="170"/>
        <v>2.0003279618506643E-3</v>
      </c>
    </row>
    <row r="154" spans="1:47" x14ac:dyDescent="0.35">
      <c r="A154" s="5">
        <v>7.4999999999999997E-2</v>
      </c>
      <c r="B154" s="5">
        <v>0.02</v>
      </c>
      <c r="C154" s="5">
        <f t="shared" si="138"/>
        <v>0.15</v>
      </c>
      <c r="D154" s="5">
        <v>9.81</v>
      </c>
      <c r="E154" s="5">
        <v>1000</v>
      </c>
      <c r="F154" s="5">
        <v>2650</v>
      </c>
      <c r="G154" s="5">
        <v>1.65</v>
      </c>
      <c r="H154" s="5">
        <v>9.9999999999999995E-7</v>
      </c>
      <c r="I154" s="12"/>
      <c r="J154" s="12"/>
      <c r="K154" s="12"/>
      <c r="L154" s="12">
        <f t="shared" si="171"/>
        <v>235.40071686557826</v>
      </c>
      <c r="M154" s="5">
        <f t="shared" si="139"/>
        <v>1.1997997801507556</v>
      </c>
      <c r="N154" s="5">
        <f t="shared" si="140"/>
        <v>9.6953517587939853E-2</v>
      </c>
      <c r="O154" s="12">
        <f t="shared" si="141"/>
        <v>0.19390703517587971</v>
      </c>
      <c r="P154" s="5">
        <f t="shared" si="142"/>
        <v>1897.1962050160116</v>
      </c>
      <c r="Q154" s="5">
        <v>4.7E-2</v>
      </c>
      <c r="R154" s="5">
        <f t="shared" si="143"/>
        <v>5.5131715547597548E-2</v>
      </c>
      <c r="S154" s="5">
        <f t="shared" si="144"/>
        <v>5.6000000000000001E-2</v>
      </c>
      <c r="T154" s="5">
        <f t="shared" si="145"/>
        <v>7.977443845417484E-2</v>
      </c>
      <c r="U154" s="5">
        <f t="shared" si="146"/>
        <v>8.7074722341604224E-2</v>
      </c>
      <c r="V154" s="5">
        <f t="shared" si="147"/>
        <v>2.5171594652894762</v>
      </c>
      <c r="W154" s="5">
        <f t="shared" si="148"/>
        <v>0.3895547355705582</v>
      </c>
      <c r="X154" s="5">
        <f t="shared" si="149"/>
        <v>0.34112748995075981</v>
      </c>
      <c r="Y154" s="5">
        <f t="shared" si="150"/>
        <v>8.3519685023538202</v>
      </c>
      <c r="Z154" s="12">
        <f t="shared" si="151"/>
        <v>4.5205550599332014</v>
      </c>
      <c r="AA154" s="12">
        <f t="shared" si="152"/>
        <v>4.0522174120458958</v>
      </c>
      <c r="AB154" s="12">
        <f t="shared" si="153"/>
        <v>5.8518612919311673E-2</v>
      </c>
      <c r="AC154" s="1">
        <f t="shared" si="154"/>
        <v>0.71314722551790111</v>
      </c>
      <c r="AD154" s="1">
        <f t="shared" si="155"/>
        <v>0.2276888829076758</v>
      </c>
      <c r="AE154" s="12">
        <f t="shared" si="156"/>
        <v>0.81642397642269393</v>
      </c>
      <c r="AF154" s="5">
        <f t="shared" si="157"/>
        <v>0.45045755794694053</v>
      </c>
      <c r="AG154" s="5">
        <f t="shared" si="158"/>
        <v>0.22522877897347027</v>
      </c>
      <c r="AH154" s="5">
        <v>0.2169875</v>
      </c>
      <c r="AI154" s="5">
        <f t="shared" si="159"/>
        <v>0.16237569512687924</v>
      </c>
      <c r="AJ154" s="5">
        <f t="shared" si="160"/>
        <v>0.23809837971395598</v>
      </c>
      <c r="AK154" s="5">
        <v>3.7208110000000003E-2</v>
      </c>
      <c r="AL154" s="5">
        <f t="shared" si="161"/>
        <v>2.8097914967808762E-2</v>
      </c>
      <c r="AM154" s="5">
        <f t="shared" si="162"/>
        <v>2.4825334002459464E-2</v>
      </c>
      <c r="AN154" s="13">
        <f t="shared" si="163"/>
        <v>3.7223932239333492E-2</v>
      </c>
      <c r="AO154" s="13">
        <f t="shared" si="164"/>
        <v>1.8611966119666746E-2</v>
      </c>
      <c r="AP154" s="13">
        <f t="shared" si="165"/>
        <v>1.7930941226950804E-2</v>
      </c>
      <c r="AQ154" s="13">
        <f t="shared" si="166"/>
        <v>1.3418049638828752E-2</v>
      </c>
      <c r="AR154" s="13">
        <f t="shared" si="167"/>
        <v>1.9675456203159906E-2</v>
      </c>
      <c r="AS154" s="13">
        <f t="shared" si="168"/>
        <v>3.074722892221536E-3</v>
      </c>
      <c r="AT154" s="13">
        <f t="shared" si="169"/>
        <v>2.3218944035377164E-3</v>
      </c>
      <c r="AU154" s="14">
        <f t="shared" si="170"/>
        <v>2.0514619733280675E-3</v>
      </c>
    </row>
    <row r="155" spans="1:47" x14ac:dyDescent="0.35">
      <c r="A155" s="5">
        <v>7.4999999999999997E-2</v>
      </c>
      <c r="B155" s="5">
        <v>0.02</v>
      </c>
      <c r="C155" s="5">
        <f t="shared" si="138"/>
        <v>0.15</v>
      </c>
      <c r="D155" s="5">
        <v>9.81</v>
      </c>
      <c r="E155" s="5">
        <v>1000</v>
      </c>
      <c r="F155" s="5">
        <v>2650</v>
      </c>
      <c r="G155" s="5">
        <v>1.65</v>
      </c>
      <c r="H155" s="5">
        <v>9.9999999999999995E-7</v>
      </c>
      <c r="I155" s="12"/>
      <c r="J155" s="12"/>
      <c r="K155" s="12"/>
      <c r="L155" s="12">
        <f t="shared" si="171"/>
        <v>236.84957129397023</v>
      </c>
      <c r="M155" s="5">
        <f t="shared" si="139"/>
        <v>1.2071843592964842</v>
      </c>
      <c r="N155" s="5">
        <f t="shared" si="140"/>
        <v>9.755025125628157E-2</v>
      </c>
      <c r="O155" s="12">
        <f t="shared" si="141"/>
        <v>0.19510050251256314</v>
      </c>
      <c r="P155" s="5">
        <f t="shared" si="142"/>
        <v>1897.1962050160116</v>
      </c>
      <c r="Q155" s="5">
        <v>4.7E-2</v>
      </c>
      <c r="R155" s="5">
        <f t="shared" si="143"/>
        <v>5.5131715547597548E-2</v>
      </c>
      <c r="S155" s="5">
        <f t="shared" si="144"/>
        <v>5.6000000000000001E-2</v>
      </c>
      <c r="T155" s="5">
        <f t="shared" si="145"/>
        <v>7.977443845417484E-2</v>
      </c>
      <c r="U155" s="5">
        <f t="shared" si="146"/>
        <v>8.7074722341604224E-2</v>
      </c>
      <c r="V155" s="5">
        <f t="shared" si="147"/>
        <v>2.5388070292157807</v>
      </c>
      <c r="W155" s="5">
        <f t="shared" si="148"/>
        <v>0.3895547355705582</v>
      </c>
      <c r="X155" s="5">
        <f t="shared" si="149"/>
        <v>0.34112748995075981</v>
      </c>
      <c r="Y155" s="5">
        <f t="shared" si="150"/>
        <v>8.3679435960118287</v>
      </c>
      <c r="Z155" s="12">
        <f t="shared" si="151"/>
        <v>4.5205550599332014</v>
      </c>
      <c r="AA155" s="12">
        <f t="shared" si="152"/>
        <v>4.0724432930498944</v>
      </c>
      <c r="AB155" s="12">
        <f t="shared" si="153"/>
        <v>5.8518612919311673E-2</v>
      </c>
      <c r="AC155" s="1">
        <f t="shared" si="154"/>
        <v>0.72111798329460197</v>
      </c>
      <c r="AD155" s="1">
        <f t="shared" si="155"/>
        <v>0.2286493210915754</v>
      </c>
      <c r="AE155" s="12">
        <f t="shared" si="156"/>
        <v>0.81642397642269393</v>
      </c>
      <c r="AF155" s="5">
        <f t="shared" si="157"/>
        <v>0.45595794240124804</v>
      </c>
      <c r="AG155" s="5">
        <f t="shared" si="158"/>
        <v>0.22797897120062402</v>
      </c>
      <c r="AH155" s="5">
        <v>0.22068489999999999</v>
      </c>
      <c r="AI155" s="5">
        <f t="shared" si="159"/>
        <v>0.16488313730723675</v>
      </c>
      <c r="AJ155" s="5">
        <f t="shared" si="160"/>
        <v>0.24252186858021002</v>
      </c>
      <c r="AK155" s="5">
        <v>3.7881680000000001E-2</v>
      </c>
      <c r="AL155" s="5">
        <f t="shared" si="161"/>
        <v>2.875134772896213E-2</v>
      </c>
      <c r="AM155" s="5">
        <f t="shared" si="162"/>
        <v>2.5452323499647659E-2</v>
      </c>
      <c r="AN155" s="13">
        <f t="shared" si="163"/>
        <v>3.7678461050328696E-2</v>
      </c>
      <c r="AO155" s="13">
        <f t="shared" si="164"/>
        <v>1.8839230525164348E-2</v>
      </c>
      <c r="AP155" s="13">
        <f t="shared" si="165"/>
        <v>1.8236478928857724E-2</v>
      </c>
      <c r="AQ155" s="13">
        <f t="shared" si="166"/>
        <v>1.3625254193773013E-2</v>
      </c>
      <c r="AR155" s="13">
        <f t="shared" si="167"/>
        <v>2.0040994858054186E-2</v>
      </c>
      <c r="AS155" s="13">
        <f t="shared" si="168"/>
        <v>3.130383905331679E-3</v>
      </c>
      <c r="AT155" s="13">
        <f t="shared" si="169"/>
        <v>2.3758913592886476E-3</v>
      </c>
      <c r="AU155" s="14">
        <f t="shared" si="170"/>
        <v>2.1032737681272928E-3</v>
      </c>
    </row>
    <row r="156" spans="1:47" x14ac:dyDescent="0.35">
      <c r="A156" s="5">
        <v>7.4999999999999997E-2</v>
      </c>
      <c r="B156" s="5">
        <v>0.02</v>
      </c>
      <c r="C156" s="5">
        <f t="shared" si="138"/>
        <v>0.15</v>
      </c>
      <c r="D156" s="5">
        <v>9.81</v>
      </c>
      <c r="E156" s="5">
        <v>1000</v>
      </c>
      <c r="F156" s="5">
        <v>2650</v>
      </c>
      <c r="G156" s="5">
        <v>1.65</v>
      </c>
      <c r="H156" s="5">
        <v>9.9999999999999995E-7</v>
      </c>
      <c r="I156" s="12"/>
      <c r="J156" s="12"/>
      <c r="K156" s="12"/>
      <c r="L156" s="12">
        <f t="shared" si="171"/>
        <v>238.2984257223622</v>
      </c>
      <c r="M156" s="5">
        <f t="shared" si="139"/>
        <v>1.2145689384422129</v>
      </c>
      <c r="N156" s="5">
        <f t="shared" si="140"/>
        <v>9.8146984924623273E-2</v>
      </c>
      <c r="O156" s="12">
        <f t="shared" si="141"/>
        <v>0.19629396984924655</v>
      </c>
      <c r="P156" s="5">
        <f t="shared" si="142"/>
        <v>1897.1962050160116</v>
      </c>
      <c r="Q156" s="5">
        <v>4.7E-2</v>
      </c>
      <c r="R156" s="5">
        <f t="shared" si="143"/>
        <v>5.5131715547597548E-2</v>
      </c>
      <c r="S156" s="5">
        <f t="shared" si="144"/>
        <v>5.6000000000000001E-2</v>
      </c>
      <c r="T156" s="5">
        <f t="shared" si="145"/>
        <v>7.977443845417484E-2</v>
      </c>
      <c r="U156" s="5">
        <f t="shared" si="146"/>
        <v>8.7074722341604224E-2</v>
      </c>
      <c r="V156" s="5">
        <f t="shared" si="147"/>
        <v>2.5604545931420843</v>
      </c>
      <c r="W156" s="5">
        <f t="shared" si="148"/>
        <v>0.3895547355705582</v>
      </c>
      <c r="X156" s="5">
        <f t="shared" si="149"/>
        <v>0.34112748995075981</v>
      </c>
      <c r="Y156" s="5">
        <f t="shared" si="150"/>
        <v>8.3837893957926912</v>
      </c>
      <c r="Z156" s="12">
        <f t="shared" si="151"/>
        <v>4.5205550599332014</v>
      </c>
      <c r="AA156" s="12">
        <f t="shared" si="152"/>
        <v>4.09261551911945</v>
      </c>
      <c r="AB156" s="12">
        <f t="shared" si="153"/>
        <v>5.8518612919311673E-2</v>
      </c>
      <c r="AC156" s="1">
        <f t="shared" si="154"/>
        <v>0.72912299895788113</v>
      </c>
      <c r="AD156" s="1">
        <f t="shared" si="155"/>
        <v>0.22960152607106579</v>
      </c>
      <c r="AE156" s="12">
        <f t="shared" si="156"/>
        <v>0.81642397642269393</v>
      </c>
      <c r="AF156" s="5">
        <f t="shared" si="157"/>
        <v>0.46148053415875728</v>
      </c>
      <c r="AG156" s="5">
        <f t="shared" si="158"/>
        <v>0.23074026707937864</v>
      </c>
      <c r="AH156" s="5">
        <v>0.22441169999999999</v>
      </c>
      <c r="AI156" s="5">
        <f t="shared" si="159"/>
        <v>0.16740775325424162</v>
      </c>
      <c r="AJ156" s="5">
        <f t="shared" si="160"/>
        <v>0.24699980852108727</v>
      </c>
      <c r="AK156" s="5">
        <v>3.856159E-2</v>
      </c>
      <c r="AL156" s="5">
        <f t="shared" si="161"/>
        <v>2.9412102945512594E-2</v>
      </c>
      <c r="AM156" s="5">
        <f t="shared" si="162"/>
        <v>2.6087480236265403E-2</v>
      </c>
      <c r="AN156" s="13">
        <f t="shared" si="163"/>
        <v>3.8134824980160333E-2</v>
      </c>
      <c r="AO156" s="13">
        <f t="shared" si="164"/>
        <v>1.9067412490080166E-2</v>
      </c>
      <c r="AP156" s="13">
        <f t="shared" si="165"/>
        <v>1.8544446124039937E-2</v>
      </c>
      <c r="AQ156" s="13">
        <f t="shared" si="166"/>
        <v>1.3833877917104389E-2</v>
      </c>
      <c r="AR156" s="13">
        <f t="shared" si="167"/>
        <v>2.0411033122459673E-2</v>
      </c>
      <c r="AS156" s="13">
        <f t="shared" si="168"/>
        <v>3.1865688295766984E-3</v>
      </c>
      <c r="AT156" s="13">
        <f t="shared" si="169"/>
        <v>2.4304934121873976E-3</v>
      </c>
      <c r="AU156" s="14">
        <f t="shared" si="170"/>
        <v>2.1557604695003887E-3</v>
      </c>
    </row>
    <row r="157" spans="1:47" x14ac:dyDescent="0.35">
      <c r="A157" s="5">
        <v>7.4999999999999997E-2</v>
      </c>
      <c r="B157" s="5">
        <v>0.02</v>
      </c>
      <c r="C157" s="5">
        <f t="shared" si="138"/>
        <v>0.15</v>
      </c>
      <c r="D157" s="5">
        <v>9.81</v>
      </c>
      <c r="E157" s="5">
        <v>1000</v>
      </c>
      <c r="F157" s="5">
        <v>2650</v>
      </c>
      <c r="G157" s="5">
        <v>1.65</v>
      </c>
      <c r="H157" s="5">
        <v>9.9999999999999995E-7</v>
      </c>
      <c r="I157" s="12"/>
      <c r="J157" s="12"/>
      <c r="K157" s="12"/>
      <c r="L157" s="12">
        <f t="shared" si="171"/>
        <v>239.74728015075416</v>
      </c>
      <c r="M157" s="5">
        <f t="shared" si="139"/>
        <v>1.2219535175879417</v>
      </c>
      <c r="N157" s="5">
        <f t="shared" si="140"/>
        <v>9.8743718592964991E-2</v>
      </c>
      <c r="O157" s="12">
        <f t="shared" si="141"/>
        <v>0.19748743718592998</v>
      </c>
      <c r="P157" s="5">
        <f t="shared" si="142"/>
        <v>1897.1962050160116</v>
      </c>
      <c r="Q157" s="5">
        <v>4.7E-2</v>
      </c>
      <c r="R157" s="5">
        <f t="shared" si="143"/>
        <v>5.5131715547597548E-2</v>
      </c>
      <c r="S157" s="5">
        <f t="shared" si="144"/>
        <v>5.6000000000000001E-2</v>
      </c>
      <c r="T157" s="5">
        <f t="shared" si="145"/>
        <v>7.977443845417484E-2</v>
      </c>
      <c r="U157" s="5">
        <f t="shared" si="146"/>
        <v>8.7074722341604224E-2</v>
      </c>
      <c r="V157" s="5">
        <f t="shared" si="147"/>
        <v>2.5821021570683884</v>
      </c>
      <c r="W157" s="5">
        <f t="shared" si="148"/>
        <v>0.3895547355705582</v>
      </c>
      <c r="X157" s="5">
        <f t="shared" si="149"/>
        <v>0.34112748995075981</v>
      </c>
      <c r="Y157" s="5">
        <f t="shared" si="150"/>
        <v>8.3995077782794585</v>
      </c>
      <c r="Z157" s="12">
        <f t="shared" si="151"/>
        <v>4.5205550599332014</v>
      </c>
      <c r="AA157" s="12">
        <f t="shared" si="152"/>
        <v>4.112734564419279</v>
      </c>
      <c r="AB157" s="12">
        <f t="shared" si="153"/>
        <v>5.8518612919311673E-2</v>
      </c>
      <c r="AC157" s="1">
        <f t="shared" si="154"/>
        <v>0.73716218314154092</v>
      </c>
      <c r="AD157" s="1">
        <f t="shared" si="155"/>
        <v>0.23054560195417631</v>
      </c>
      <c r="AE157" s="12">
        <f t="shared" si="156"/>
        <v>0.81642397642269393</v>
      </c>
      <c r="AF157" s="5">
        <f t="shared" si="157"/>
        <v>0.46702524427649661</v>
      </c>
      <c r="AG157" s="5">
        <f t="shared" si="158"/>
        <v>0.2335126221382483</v>
      </c>
      <c r="AH157" s="5">
        <v>0.2281677</v>
      </c>
      <c r="AI157" s="5">
        <f t="shared" si="159"/>
        <v>0.16994949925022132</v>
      </c>
      <c r="AJ157" s="5">
        <f t="shared" si="160"/>
        <v>0.25153253262429498</v>
      </c>
      <c r="AK157" s="5">
        <v>3.9247829999999997E-2</v>
      </c>
      <c r="AL157" s="5">
        <f t="shared" si="161"/>
        <v>3.008014754126604E-2</v>
      </c>
      <c r="AM157" s="5">
        <f t="shared" si="162"/>
        <v>2.6730769095444053E-2</v>
      </c>
      <c r="AN157" s="13">
        <f t="shared" si="163"/>
        <v>3.8593016678952485E-2</v>
      </c>
      <c r="AO157" s="13">
        <f t="shared" si="164"/>
        <v>1.9296508339476243E-2</v>
      </c>
      <c r="AP157" s="13">
        <f t="shared" si="165"/>
        <v>1.8854826285332301E-2</v>
      </c>
      <c r="AQ157" s="13">
        <f t="shared" si="166"/>
        <v>1.4043917196176915E-2</v>
      </c>
      <c r="AR157" s="13">
        <f t="shared" si="167"/>
        <v>2.0785598521354084E-2</v>
      </c>
      <c r="AS157" s="13">
        <f t="shared" si="168"/>
        <v>3.2432768385983364E-3</v>
      </c>
      <c r="AT157" s="13">
        <f t="shared" si="169"/>
        <v>2.4856978289553551E-3</v>
      </c>
      <c r="AU157" s="14">
        <f t="shared" si="170"/>
        <v>2.2089191755359189E-3</v>
      </c>
    </row>
    <row r="158" spans="1:47" x14ac:dyDescent="0.35">
      <c r="A158" s="5">
        <v>7.4999999999999997E-2</v>
      </c>
      <c r="B158" s="5">
        <v>0.02</v>
      </c>
      <c r="C158" s="5">
        <f t="shared" si="138"/>
        <v>0.15</v>
      </c>
      <c r="D158" s="5">
        <v>9.81</v>
      </c>
      <c r="E158" s="5">
        <v>1000</v>
      </c>
      <c r="F158" s="5">
        <v>2650</v>
      </c>
      <c r="G158" s="5">
        <v>1.65</v>
      </c>
      <c r="H158" s="5">
        <v>9.9999999999999995E-7</v>
      </c>
      <c r="I158" s="12"/>
      <c r="J158" s="12"/>
      <c r="K158" s="12"/>
      <c r="L158" s="12">
        <f t="shared" si="171"/>
        <v>241.19613457914613</v>
      </c>
      <c r="M158" s="5">
        <f t="shared" si="139"/>
        <v>1.2293380967336702</v>
      </c>
      <c r="N158" s="5">
        <f t="shared" si="140"/>
        <v>9.9340452261306708E-2</v>
      </c>
      <c r="O158" s="12">
        <f t="shared" si="141"/>
        <v>0.19868090452261342</v>
      </c>
      <c r="P158" s="5">
        <f t="shared" si="142"/>
        <v>1897.1962050160116</v>
      </c>
      <c r="Q158" s="5">
        <v>4.7E-2</v>
      </c>
      <c r="R158" s="5">
        <f t="shared" si="143"/>
        <v>5.5131715547597548E-2</v>
      </c>
      <c r="S158" s="5">
        <f t="shared" si="144"/>
        <v>5.6000000000000001E-2</v>
      </c>
      <c r="T158" s="5">
        <f t="shared" si="145"/>
        <v>7.977443845417484E-2</v>
      </c>
      <c r="U158" s="5">
        <f t="shared" si="146"/>
        <v>8.7074722341604224E-2</v>
      </c>
      <c r="V158" s="5">
        <f t="shared" si="147"/>
        <v>2.6037497209946925</v>
      </c>
      <c r="W158" s="5">
        <f t="shared" si="148"/>
        <v>0.3895547355705582</v>
      </c>
      <c r="X158" s="5">
        <f t="shared" si="149"/>
        <v>0.34112748995075981</v>
      </c>
      <c r="Y158" s="5">
        <f t="shared" si="150"/>
        <v>8.4151005839671189</v>
      </c>
      <c r="Z158" s="12">
        <f t="shared" si="151"/>
        <v>4.5205550599332014</v>
      </c>
      <c r="AA158" s="12">
        <f t="shared" si="152"/>
        <v>4.1328008973333423</v>
      </c>
      <c r="AB158" s="12">
        <f t="shared" si="153"/>
        <v>5.8518612919311673E-2</v>
      </c>
      <c r="AC158" s="1">
        <f t="shared" si="154"/>
        <v>0.74523544749142179</v>
      </c>
      <c r="AD158" s="1">
        <f t="shared" si="155"/>
        <v>0.23148165123969899</v>
      </c>
      <c r="AE158" s="12">
        <f t="shared" si="156"/>
        <v>0.81642397642269393</v>
      </c>
      <c r="AF158" s="5">
        <f t="shared" si="157"/>
        <v>0.47259198487169746</v>
      </c>
      <c r="AG158" s="5">
        <f t="shared" si="158"/>
        <v>0.23629599243584873</v>
      </c>
      <c r="AH158" s="5">
        <v>0.23195289999999999</v>
      </c>
      <c r="AI158" s="5">
        <f t="shared" si="159"/>
        <v>0.17250833194767032</v>
      </c>
      <c r="AJ158" s="5">
        <f t="shared" si="160"/>
        <v>0.25612037397753984</v>
      </c>
      <c r="AK158" s="5">
        <v>3.9940410000000003E-2</v>
      </c>
      <c r="AL158" s="5">
        <f t="shared" si="161"/>
        <v>3.0755449129818743E-2</v>
      </c>
      <c r="AM158" s="5">
        <f t="shared" si="162"/>
        <v>2.7382154740277942E-2</v>
      </c>
      <c r="AN158" s="13">
        <f t="shared" si="163"/>
        <v>3.9053028884440025E-2</v>
      </c>
      <c r="AO158" s="13">
        <f t="shared" si="164"/>
        <v>1.9526514442220012E-2</v>
      </c>
      <c r="AP158" s="13">
        <f t="shared" si="165"/>
        <v>1.9167619412734822E-2</v>
      </c>
      <c r="AQ158" s="13">
        <f t="shared" si="166"/>
        <v>1.4255368448933678E-2</v>
      </c>
      <c r="AR158" s="13">
        <f t="shared" si="167"/>
        <v>2.1164718579715084E-2</v>
      </c>
      <c r="AS158" s="13">
        <f t="shared" si="168"/>
        <v>3.3005087587548508E-3</v>
      </c>
      <c r="AT158" s="13">
        <f t="shared" si="169"/>
        <v>2.5415019333153068E-3</v>
      </c>
      <c r="AU158" s="14">
        <f t="shared" si="170"/>
        <v>2.2627469661395064E-3</v>
      </c>
    </row>
    <row r="159" spans="1:47" x14ac:dyDescent="0.35">
      <c r="A159" s="5">
        <v>7.4999999999999997E-2</v>
      </c>
      <c r="B159" s="5">
        <v>0.02</v>
      </c>
      <c r="C159" s="5">
        <f t="shared" si="138"/>
        <v>0.15</v>
      </c>
      <c r="D159" s="5">
        <v>9.81</v>
      </c>
      <c r="E159" s="5">
        <v>1000</v>
      </c>
      <c r="F159" s="5">
        <v>2650</v>
      </c>
      <c r="G159" s="5">
        <v>1.65</v>
      </c>
      <c r="H159" s="5">
        <v>9.9999999999999995E-7</v>
      </c>
      <c r="I159" s="12"/>
      <c r="J159" s="12"/>
      <c r="K159" s="12"/>
      <c r="L159" s="12">
        <f t="shared" si="171"/>
        <v>242.6449890075381</v>
      </c>
      <c r="M159" s="5">
        <f t="shared" si="139"/>
        <v>1.236722675879399</v>
      </c>
      <c r="N159" s="5">
        <f t="shared" si="140"/>
        <v>9.9937185929648412E-2</v>
      </c>
      <c r="O159" s="12">
        <f t="shared" si="141"/>
        <v>0.19987437185929682</v>
      </c>
      <c r="P159" s="5">
        <f t="shared" si="142"/>
        <v>1897.1962050160116</v>
      </c>
      <c r="Q159" s="5">
        <v>4.7E-2</v>
      </c>
      <c r="R159" s="5">
        <f t="shared" si="143"/>
        <v>5.5131715547597548E-2</v>
      </c>
      <c r="S159" s="5">
        <f t="shared" si="144"/>
        <v>5.6000000000000001E-2</v>
      </c>
      <c r="T159" s="5">
        <f t="shared" si="145"/>
        <v>7.977443845417484E-2</v>
      </c>
      <c r="U159" s="5">
        <f t="shared" si="146"/>
        <v>8.7074722341604224E-2</v>
      </c>
      <c r="V159" s="5">
        <f t="shared" si="147"/>
        <v>2.6253972849209961</v>
      </c>
      <c r="W159" s="5">
        <f t="shared" si="148"/>
        <v>0.3895547355705582</v>
      </c>
      <c r="X159" s="5">
        <f t="shared" si="149"/>
        <v>0.34112748995075981</v>
      </c>
      <c r="Y159" s="5">
        <f t="shared" si="150"/>
        <v>8.4305696180915763</v>
      </c>
      <c r="Z159" s="12">
        <f t="shared" si="151"/>
        <v>4.5205550599332014</v>
      </c>
      <c r="AA159" s="12">
        <f t="shared" si="152"/>
        <v>4.1528149805330408</v>
      </c>
      <c r="AB159" s="12">
        <f t="shared" si="153"/>
        <v>5.8518612919311673E-2</v>
      </c>
      <c r="AC159" s="1">
        <f t="shared" si="154"/>
        <v>0.75334270464646469</v>
      </c>
      <c r="AD159" s="1">
        <f t="shared" si="155"/>
        <v>0.23240977484196215</v>
      </c>
      <c r="AE159" s="12">
        <f t="shared" si="156"/>
        <v>0.81642397642269393</v>
      </c>
      <c r="AF159" s="5">
        <f t="shared" si="157"/>
        <v>0.47818066910089918</v>
      </c>
      <c r="AG159" s="5">
        <f t="shared" si="158"/>
        <v>0.23909033455044959</v>
      </c>
      <c r="AH159" s="5">
        <v>0.23576730000000001</v>
      </c>
      <c r="AI159" s="5">
        <f t="shared" si="159"/>
        <v>0.17508420836571964</v>
      </c>
      <c r="AJ159" s="5">
        <f t="shared" si="160"/>
        <v>0.26076366566852888</v>
      </c>
      <c r="AK159" s="5">
        <v>4.0639349999999998E-2</v>
      </c>
      <c r="AL159" s="5">
        <f t="shared" si="161"/>
        <v>3.1437976049753617E-2</v>
      </c>
      <c r="AM159" s="5">
        <f t="shared" si="162"/>
        <v>2.8041601694426564E-2</v>
      </c>
      <c r="AN159" s="13">
        <f t="shared" si="163"/>
        <v>3.9514854420241871E-2</v>
      </c>
      <c r="AO159" s="13">
        <f t="shared" si="164"/>
        <v>1.9757427210120936E-2</v>
      </c>
      <c r="AP159" s="13">
        <f t="shared" si="165"/>
        <v>1.9482825506247498E-2</v>
      </c>
      <c r="AQ159" s="13">
        <f t="shared" si="166"/>
        <v>1.446822812361508E-2</v>
      </c>
      <c r="AR159" s="13">
        <f t="shared" si="167"/>
        <v>2.1548420822520377E-2</v>
      </c>
      <c r="AS159" s="13">
        <f t="shared" si="168"/>
        <v>3.3582662427627543E-3</v>
      </c>
      <c r="AT159" s="13">
        <f t="shared" si="169"/>
        <v>2.5979031088999094E-3</v>
      </c>
      <c r="AU159" s="14">
        <f t="shared" si="170"/>
        <v>2.3172409096944607E-3</v>
      </c>
    </row>
    <row r="160" spans="1:47" x14ac:dyDescent="0.35">
      <c r="A160" s="5">
        <v>7.4999999999999997E-2</v>
      </c>
      <c r="B160" s="5">
        <v>0.02</v>
      </c>
      <c r="C160" s="5">
        <f t="shared" si="138"/>
        <v>0.15</v>
      </c>
      <c r="D160" s="5">
        <v>9.81</v>
      </c>
      <c r="E160" s="5">
        <v>1000</v>
      </c>
      <c r="F160" s="5">
        <v>2650</v>
      </c>
      <c r="G160" s="5">
        <v>1.65</v>
      </c>
      <c r="H160" s="5">
        <v>9.9999999999999995E-7</v>
      </c>
      <c r="I160" s="12"/>
      <c r="J160" s="12"/>
      <c r="K160" s="12"/>
      <c r="L160" s="12">
        <f t="shared" si="171"/>
        <v>244.09384343593007</v>
      </c>
      <c r="M160" s="5">
        <f t="shared" si="139"/>
        <v>1.2441072550251278</v>
      </c>
      <c r="N160" s="5">
        <f t="shared" si="140"/>
        <v>0.10053391959799013</v>
      </c>
      <c r="O160" s="12">
        <f t="shared" si="141"/>
        <v>0.20106783919598026</v>
      </c>
      <c r="P160" s="5">
        <f t="shared" si="142"/>
        <v>1897.1962050160116</v>
      </c>
      <c r="Q160" s="5">
        <v>4.7E-2</v>
      </c>
      <c r="R160" s="5">
        <f t="shared" si="143"/>
        <v>5.5131715547597548E-2</v>
      </c>
      <c r="S160" s="5">
        <f t="shared" si="144"/>
        <v>5.6000000000000001E-2</v>
      </c>
      <c r="T160" s="5">
        <f t="shared" si="145"/>
        <v>7.977443845417484E-2</v>
      </c>
      <c r="U160" s="5">
        <f t="shared" si="146"/>
        <v>8.7074722341604224E-2</v>
      </c>
      <c r="V160" s="5">
        <f t="shared" si="147"/>
        <v>2.6470448488473002</v>
      </c>
      <c r="W160" s="5">
        <f t="shared" si="148"/>
        <v>0.3895547355705582</v>
      </c>
      <c r="X160" s="5">
        <f t="shared" si="149"/>
        <v>0.34112748995075981</v>
      </c>
      <c r="Y160" s="5">
        <f t="shared" si="150"/>
        <v>8.4459166514371642</v>
      </c>
      <c r="Z160" s="12">
        <f t="shared" si="151"/>
        <v>4.5205550599332014</v>
      </c>
      <c r="AA160" s="12">
        <f t="shared" si="152"/>
        <v>4.1727772710454127</v>
      </c>
      <c r="AB160" s="12">
        <f t="shared" si="153"/>
        <v>5.8518612919311673E-2</v>
      </c>
      <c r="AC160" s="1">
        <f t="shared" si="154"/>
        <v>0.76148386822021841</v>
      </c>
      <c r="AD160" s="1">
        <f t="shared" si="155"/>
        <v>0.23333007211546225</v>
      </c>
      <c r="AE160" s="12">
        <f t="shared" si="156"/>
        <v>0.81642397642269393</v>
      </c>
      <c r="AF160" s="5">
        <f t="shared" si="157"/>
        <v>0.48379121113962337</v>
      </c>
      <c r="AG160" s="5">
        <f t="shared" si="158"/>
        <v>0.24189560556981168</v>
      </c>
      <c r="AH160" s="5">
        <v>0.23961080000000001</v>
      </c>
      <c r="AI160" s="5">
        <f t="shared" si="159"/>
        <v>0.17767708588658471</v>
      </c>
      <c r="AJ160" s="5">
        <f t="shared" si="160"/>
        <v>0.26546274078496918</v>
      </c>
      <c r="AK160" s="5">
        <v>4.1344640000000002E-2</v>
      </c>
      <c r="AL160" s="5">
        <f t="shared" si="161"/>
        <v>3.2127697396136093E-2</v>
      </c>
      <c r="AM160" s="5">
        <f t="shared" si="162"/>
        <v>2.870907441884454E-2</v>
      </c>
      <c r="AN160" s="13">
        <f t="shared" si="163"/>
        <v>3.9978486194181387E-2</v>
      </c>
      <c r="AO160" s="13">
        <f t="shared" si="164"/>
        <v>1.9989243097090693E-2</v>
      </c>
      <c r="AP160" s="13">
        <f t="shared" si="165"/>
        <v>1.9800436302287755E-2</v>
      </c>
      <c r="AQ160" s="13">
        <f t="shared" si="166"/>
        <v>1.4682492698465307E-2</v>
      </c>
      <c r="AR160" s="13">
        <f t="shared" si="167"/>
        <v>2.1936732774747662E-2</v>
      </c>
      <c r="AS160" s="13">
        <f t="shared" si="168"/>
        <v>3.4165484642637908E-3</v>
      </c>
      <c r="AT160" s="13">
        <f t="shared" si="169"/>
        <v>2.6548988018543773E-3</v>
      </c>
      <c r="AU160" s="14">
        <f t="shared" si="170"/>
        <v>2.372398069402423E-3</v>
      </c>
    </row>
    <row r="161" spans="1:47" x14ac:dyDescent="0.35">
      <c r="A161" s="5">
        <v>7.4999999999999997E-2</v>
      </c>
      <c r="B161" s="5">
        <v>0.02</v>
      </c>
      <c r="C161" s="5">
        <f t="shared" si="138"/>
        <v>0.15</v>
      </c>
      <c r="D161" s="5">
        <v>9.81</v>
      </c>
      <c r="E161" s="5">
        <v>1000</v>
      </c>
      <c r="F161" s="5">
        <v>2650</v>
      </c>
      <c r="G161" s="5">
        <v>1.65</v>
      </c>
      <c r="H161" s="5">
        <v>9.9999999999999995E-7</v>
      </c>
      <c r="I161" s="12"/>
      <c r="J161" s="12"/>
      <c r="K161" s="12"/>
      <c r="L161" s="12">
        <f t="shared" si="171"/>
        <v>245.54269786432204</v>
      </c>
      <c r="M161" s="5">
        <f t="shared" si="139"/>
        <v>1.2514918341708563</v>
      </c>
      <c r="N161" s="5">
        <f t="shared" si="140"/>
        <v>0.10113065326633183</v>
      </c>
      <c r="O161" s="12">
        <f t="shared" si="141"/>
        <v>0.20226130653266366</v>
      </c>
      <c r="P161" s="5">
        <f t="shared" si="142"/>
        <v>1897.1962050160116</v>
      </c>
      <c r="Q161" s="5">
        <v>4.7E-2</v>
      </c>
      <c r="R161" s="5">
        <f t="shared" si="143"/>
        <v>5.5131715547597548E-2</v>
      </c>
      <c r="S161" s="5">
        <f t="shared" si="144"/>
        <v>5.6000000000000001E-2</v>
      </c>
      <c r="T161" s="5">
        <f t="shared" si="145"/>
        <v>7.977443845417484E-2</v>
      </c>
      <c r="U161" s="5">
        <f t="shared" si="146"/>
        <v>8.7074722341604224E-2</v>
      </c>
      <c r="V161" s="5">
        <f t="shared" si="147"/>
        <v>2.6686924127736038</v>
      </c>
      <c r="W161" s="5">
        <f t="shared" si="148"/>
        <v>0.3895547355705582</v>
      </c>
      <c r="X161" s="5">
        <f t="shared" si="149"/>
        <v>0.34112748995075981</v>
      </c>
      <c r="Y161" s="5">
        <f t="shared" si="150"/>
        <v>8.4611434211233956</v>
      </c>
      <c r="Z161" s="12">
        <f t="shared" si="151"/>
        <v>4.5205550599332014</v>
      </c>
      <c r="AA161" s="12">
        <f t="shared" si="152"/>
        <v>4.1926882203213394</v>
      </c>
      <c r="AB161" s="12">
        <f t="shared" si="153"/>
        <v>5.8518612919311673E-2</v>
      </c>
      <c r="AC161" s="1">
        <f t="shared" si="154"/>
        <v>0.76965885278278978</v>
      </c>
      <c r="AD161" s="1">
        <f t="shared" si="155"/>
        <v>0.23424264087933078</v>
      </c>
      <c r="AE161" s="12">
        <f t="shared" si="156"/>
        <v>0.81642397642269393</v>
      </c>
      <c r="AF161" s="5">
        <f t="shared" si="157"/>
        <v>0.48942352616260038</v>
      </c>
      <c r="AG161" s="5">
        <f t="shared" si="158"/>
        <v>0.24471176308130019</v>
      </c>
      <c r="AH161" s="5">
        <v>0.24348330000000001</v>
      </c>
      <c r="AI161" s="5">
        <f t="shared" si="159"/>
        <v>0.18028692225199675</v>
      </c>
      <c r="AJ161" s="5">
        <f t="shared" si="160"/>
        <v>0.27021793241456754</v>
      </c>
      <c r="AK161" s="5">
        <v>4.2056280000000001E-2</v>
      </c>
      <c r="AL161" s="5">
        <f t="shared" si="161"/>
        <v>3.2824583048473834E-2</v>
      </c>
      <c r="AM161" s="5">
        <f t="shared" si="162"/>
        <v>2.9384537384652177E-2</v>
      </c>
      <c r="AN161" s="13">
        <f t="shared" si="163"/>
        <v>4.0443917196652371E-2</v>
      </c>
      <c r="AO161" s="13">
        <f t="shared" si="164"/>
        <v>2.0221958598326185E-2</v>
      </c>
      <c r="AP161" s="13">
        <f t="shared" si="165"/>
        <v>2.0120443537273026E-2</v>
      </c>
      <c r="AQ161" s="13">
        <f t="shared" si="166"/>
        <v>1.4898158681437422E-2</v>
      </c>
      <c r="AR161" s="13">
        <f t="shared" si="167"/>
        <v>2.2329681961374619E-2</v>
      </c>
      <c r="AS161" s="13">
        <f t="shared" si="168"/>
        <v>3.4753554232579598E-3</v>
      </c>
      <c r="AT161" s="13">
        <f t="shared" si="169"/>
        <v>2.7124865231469551E-3</v>
      </c>
      <c r="AU161" s="14">
        <f t="shared" si="170"/>
        <v>2.4282155093050838E-3</v>
      </c>
    </row>
    <row r="162" spans="1:47" x14ac:dyDescent="0.35">
      <c r="A162" s="5">
        <v>7.4999999999999997E-2</v>
      </c>
      <c r="B162" s="5">
        <v>0.02</v>
      </c>
      <c r="C162" s="5">
        <f t="shared" ref="C162:C193" si="172">2*A162</f>
        <v>0.15</v>
      </c>
      <c r="D162" s="5">
        <v>9.81</v>
      </c>
      <c r="E162" s="5">
        <v>1000</v>
      </c>
      <c r="F162" s="5">
        <v>2650</v>
      </c>
      <c r="G162" s="5">
        <v>1.65</v>
      </c>
      <c r="H162" s="5">
        <v>9.9999999999999995E-7</v>
      </c>
      <c r="I162" s="12"/>
      <c r="J162" s="12"/>
      <c r="K162" s="12"/>
      <c r="L162" s="12">
        <f t="shared" si="171"/>
        <v>246.991552292714</v>
      </c>
      <c r="M162" s="5">
        <f t="shared" ref="M162:M193" si="173">L162/ (E162*D162*B162)</f>
        <v>1.2588764133165851</v>
      </c>
      <c r="N162" s="5">
        <f t="shared" ref="N162:N193" si="174">L162/ (D162* E162 * G162 * C162)</f>
        <v>0.10172738693467355</v>
      </c>
      <c r="O162" s="12">
        <f t="shared" ref="O162:O193" si="175">L162/ (D162* E162 * G162 * A162)</f>
        <v>0.2034547738693471</v>
      </c>
      <c r="P162" s="5">
        <f t="shared" ref="P162:P193" si="176">A162 * (G162 * D162 / H162^2)^(1/3)</f>
        <v>1897.1962050160116</v>
      </c>
      <c r="Q162" s="5">
        <v>4.7E-2</v>
      </c>
      <c r="R162" s="5">
        <f t="shared" ref="R162:R193" si="177">0.3 / (1 + 1.2 * P162) + 0.055 * (1 - EXP(-0.02 * P162))</f>
        <v>5.5131715547597548E-2</v>
      </c>
      <c r="S162" s="5">
        <f t="shared" ref="S162:S193" si="178">IF(P162 &lt;= 4, 0.24 / P162, IF(P162 &lt;= 10, 0.14 * P162^(-0.64), IF(P162 &lt;= 20, 0.04 * P162^(-0.1), IF(P162 &lt;= 150, 0.013 * P162^(0.29), 0.056))))</f>
        <v>5.6000000000000001E-2</v>
      </c>
      <c r="T162" s="5">
        <f t="shared" ref="T162:T193" si="179">1.5*B162^0.75</f>
        <v>7.977443845417484E-2</v>
      </c>
      <c r="U162" s="5">
        <f t="shared" ref="U162:U193" si="180" xml:space="preserve"> (5 * B162 + 0.06) * (C162/A162)^(4.4 * SQRT(B162) - 1.5)</f>
        <v>8.7074722341604224E-2</v>
      </c>
      <c r="V162" s="5">
        <f t="shared" ref="V162:V193" si="181">O162/R162-1</f>
        <v>2.6903399766999083</v>
      </c>
      <c r="W162" s="5">
        <f t="shared" ref="W162:W193" si="182">2.45 * SQRT(R162) / (G162 + 1)^0.4</f>
        <v>0.3895547355705582</v>
      </c>
      <c r="X162" s="5">
        <f t="shared" ref="X162:X193" si="183" xml:space="preserve"> R162 * G162 * A162 / B162</f>
        <v>0.34112748995075981</v>
      </c>
      <c r="Y162" s="5">
        <f t="shared" ref="Y162:Y193" si="184" xml:space="preserve"> 6.5 * 2.5 * (M162 / C162) / SQRT(6.5^2 + 2.5^2 * (M162 / C162)^(5/3))</f>
        <v>8.4762516313714205</v>
      </c>
      <c r="Z162" s="12">
        <f t="shared" ref="Z162:Z193" si="185" xml:space="preserve"> 6.5 * 2.5 * (X162 / C162) / SQRT(6.5^2 + 2.5^2 * (X162 / C162)^(5/3))</f>
        <v>4.5205550599332014</v>
      </c>
      <c r="AA162" s="12">
        <f t="shared" ref="AA162:AA193" si="186">Y162 *SQRT(D162 * M162* B162)</f>
        <v>4.2125482743036224</v>
      </c>
      <c r="AB162" s="12">
        <f t="shared" ref="AB162:AB193" si="187" xml:space="preserve"> Z162 * R162^(3/2)</f>
        <v>5.8518612919311673E-2</v>
      </c>
      <c r="AC162" s="1">
        <f t="shared" ref="AC162:AC193" si="188">L162*AA162 / (E162 * (D162 * G162* A162)^(3/2))</f>
        <v>0.7778675738432147</v>
      </c>
      <c r="AD162" s="1">
        <f t="shared" ref="AD162:AD193" si="189">(0.92 - 0.25 * SQRT(AB162 / AC162))^9</f>
        <v>0.23514757744161693</v>
      </c>
      <c r="AE162" s="12">
        <f t="shared" ref="AE162:AE193" si="190">SQRT(2/3 + 36 / P162^3) - SQRT(36 / P162^3)</f>
        <v>0.81642397642269393</v>
      </c>
      <c r="AF162" s="5">
        <f t="shared" ref="AF162:AF193" si="191">IF(O162 &gt; Q162, 8 * (O162 - Q162)^(3/2), 0)</f>
        <v>0.49507753032453106</v>
      </c>
      <c r="AG162" s="5">
        <f t="shared" ref="AG162:AG193" si="192">IF(O162 &gt; Q162, 4 * (O162 - Q162)^(3/2), 0)</f>
        <v>0.24753876516226553</v>
      </c>
      <c r="AH162" s="5">
        <v>0.24738479999999999</v>
      </c>
      <c r="AI162" s="5">
        <f t="shared" ref="AI162:AI193" si="193" xml:space="preserve"> IF(AD162 * AC162 &lt; 0.00001, 0, AD162 * AC162)</f>
        <v>0.18291367555962001</v>
      </c>
      <c r="AJ162" s="5">
        <f t="shared" ref="AJ162:AJ193" si="194" xml:space="preserve"> IF(O162&gt;= 0.19, 40 * AE162* O162^3, (AE162 * EXP(-0.391 / O162)) / 0.465)</f>
        <v>0.27502957364503122</v>
      </c>
      <c r="AK162" s="5">
        <v>4.2774300000000001E-2</v>
      </c>
      <c r="AL162" s="5">
        <f t="shared" ref="AL162:AL193" si="195" xml:space="preserve"> 14 * N162^2.5 / (1 + (T162 / N162)^4)</f>
        <v>3.3528603695306275E-2</v>
      </c>
      <c r="AM162" s="5">
        <f t="shared" ref="AM162:AM193" si="196" xml:space="preserve"> 14 * N162^2.5 / (1 + (U162 / N162)^4)</f>
        <v>3.0067955142174169E-2</v>
      </c>
      <c r="AN162" s="13">
        <f t="shared" ref="AN162:AN193" si="197" xml:space="preserve"> AF162 * SQRT(G162 * D162 * A162^3)</f>
        <v>4.0911140499029303E-2</v>
      </c>
      <c r="AO162" s="13">
        <f t="shared" ref="AO162:AO193" si="198" xml:space="preserve"> AG162 * SQRT(G162 * D162 * A162^3)</f>
        <v>2.0455570249514651E-2</v>
      </c>
      <c r="AP162" s="13">
        <f t="shared" ref="AP162:AP193" si="199">AH162 * SQRT(G162 * D162 * A162^3)</f>
        <v>2.0442847211203315E-2</v>
      </c>
      <c r="AQ162" s="13">
        <f t="shared" ref="AQ162:AQ193" si="200" xml:space="preserve"> AI162 * SQRT(G162 * D162 * A162^3)</f>
        <v>1.5115222609897318E-2</v>
      </c>
      <c r="AR162" s="13">
        <f t="shared" ref="AR162:AR193" si="201" xml:space="preserve"> AJ162 * SQRT(G162 * D162 * A162^3)</f>
        <v>2.2727295907378962E-2</v>
      </c>
      <c r="AS162" s="13">
        <f t="shared" ref="AS162:AS193" si="202" xml:space="preserve"> AK162 * SQRT(G162 * D162 * A162^3)</f>
        <v>3.5346895988200323E-3</v>
      </c>
      <c r="AT162" s="13">
        <f t="shared" ref="AT162:AT193" si="203" xml:space="preserve"> AL162* SQRT(G162 * D162 * A162^3)</f>
        <v>2.7706638506008979E-3</v>
      </c>
      <c r="AU162" s="14">
        <f t="shared" ref="AU162:AU193" si="204" xml:space="preserve"> AM162* SQRT(G162 * D162 * A162^3)</f>
        <v>2.4846902999892538E-3</v>
      </c>
    </row>
    <row r="163" spans="1:47" x14ac:dyDescent="0.35">
      <c r="A163" s="5">
        <v>7.4999999999999997E-2</v>
      </c>
      <c r="B163" s="5">
        <v>0.02</v>
      </c>
      <c r="C163" s="5">
        <f t="shared" si="172"/>
        <v>0.15</v>
      </c>
      <c r="D163" s="5">
        <v>9.81</v>
      </c>
      <c r="E163" s="5">
        <v>1000</v>
      </c>
      <c r="F163" s="5">
        <v>2650</v>
      </c>
      <c r="G163" s="5">
        <v>1.65</v>
      </c>
      <c r="H163" s="5">
        <v>9.9999999999999995E-7</v>
      </c>
      <c r="I163" s="12"/>
      <c r="J163" s="12"/>
      <c r="K163" s="12"/>
      <c r="L163" s="12">
        <f t="shared" ref="L163:L194" si="205">L162 + ($K$2 - $J$2) / 199</f>
        <v>248.44040672110597</v>
      </c>
      <c r="M163" s="5">
        <f t="shared" si="173"/>
        <v>1.2662609924623136</v>
      </c>
      <c r="N163" s="5">
        <f t="shared" si="174"/>
        <v>0.10232412060301527</v>
      </c>
      <c r="O163" s="12">
        <f t="shared" si="175"/>
        <v>0.20464824120603053</v>
      </c>
      <c r="P163" s="5">
        <f t="shared" si="176"/>
        <v>1897.1962050160116</v>
      </c>
      <c r="Q163" s="5">
        <v>4.7E-2</v>
      </c>
      <c r="R163" s="5">
        <f t="shared" si="177"/>
        <v>5.5131715547597548E-2</v>
      </c>
      <c r="S163" s="5">
        <f t="shared" si="178"/>
        <v>5.6000000000000001E-2</v>
      </c>
      <c r="T163" s="5">
        <f t="shared" si="179"/>
        <v>7.977443845417484E-2</v>
      </c>
      <c r="U163" s="5">
        <f t="shared" si="180"/>
        <v>8.7074722341604224E-2</v>
      </c>
      <c r="V163" s="5">
        <f t="shared" si="181"/>
        <v>2.7119875406262124</v>
      </c>
      <c r="W163" s="5">
        <f t="shared" si="182"/>
        <v>0.3895547355705582</v>
      </c>
      <c r="X163" s="5">
        <f t="shared" si="183"/>
        <v>0.34112748995075981</v>
      </c>
      <c r="Y163" s="5">
        <f t="shared" si="184"/>
        <v>8.4912429542508043</v>
      </c>
      <c r="Z163" s="12">
        <f t="shared" si="185"/>
        <v>4.5205550599332014</v>
      </c>
      <c r="AA163" s="12">
        <f t="shared" si="186"/>
        <v>4.2323578734949194</v>
      </c>
      <c r="AB163" s="12">
        <f t="shared" si="187"/>
        <v>5.8518612919311673E-2</v>
      </c>
      <c r="AC163" s="1">
        <f t="shared" si="188"/>
        <v>0.78610994783224541</v>
      </c>
      <c r="AD163" s="1">
        <f t="shared" si="189"/>
        <v>0.23604497662337193</v>
      </c>
      <c r="AE163" s="12">
        <f t="shared" si="190"/>
        <v>0.81642397642269393</v>
      </c>
      <c r="AF163" s="5">
        <f t="shared" si="191"/>
        <v>0.5007531407413609</v>
      </c>
      <c r="AG163" s="5">
        <f t="shared" si="192"/>
        <v>0.25037657037068045</v>
      </c>
      <c r="AH163" s="5">
        <v>0.25131530000000002</v>
      </c>
      <c r="AI163" s="5">
        <f t="shared" si="193"/>
        <v>0.18555730425946249</v>
      </c>
      <c r="AJ163" s="5">
        <f t="shared" si="194"/>
        <v>0.27989799756406691</v>
      </c>
      <c r="AK163" s="5">
        <v>4.3498679999999998E-2</v>
      </c>
      <c r="AL163" s="5">
        <f t="shared" si="195"/>
        <v>3.4239730855588457E-2</v>
      </c>
      <c r="AM163" s="5">
        <f t="shared" si="196"/>
        <v>3.0759292386184484E-2</v>
      </c>
      <c r="AN163" s="13">
        <f t="shared" si="197"/>
        <v>4.1380149252119899E-2</v>
      </c>
      <c r="AO163" s="13">
        <f t="shared" si="198"/>
        <v>2.069007462605995E-2</v>
      </c>
      <c r="AP163" s="13">
        <f t="shared" si="199"/>
        <v>2.0767647324078622E-2</v>
      </c>
      <c r="AQ163" s="13">
        <f t="shared" si="200"/>
        <v>1.5333681050327091E-2</v>
      </c>
      <c r="AR163" s="13">
        <f t="shared" si="201"/>
        <v>2.3129602137738365E-2</v>
      </c>
      <c r="AS163" s="13">
        <f t="shared" si="202"/>
        <v>3.5945493382334944E-3</v>
      </c>
      <c r="AT163" s="13">
        <f t="shared" si="203"/>
        <v>2.8294284306615387E-3</v>
      </c>
      <c r="AU163" s="14">
        <f t="shared" si="204"/>
        <v>2.5418195239784291E-3</v>
      </c>
    </row>
    <row r="164" spans="1:47" x14ac:dyDescent="0.35">
      <c r="A164" s="5">
        <v>7.4999999999999997E-2</v>
      </c>
      <c r="B164" s="5">
        <v>0.02</v>
      </c>
      <c r="C164" s="5">
        <f t="shared" si="172"/>
        <v>0.15</v>
      </c>
      <c r="D164" s="5">
        <v>9.81</v>
      </c>
      <c r="E164" s="5">
        <v>1000</v>
      </c>
      <c r="F164" s="5">
        <v>2650</v>
      </c>
      <c r="G164" s="5">
        <v>1.65</v>
      </c>
      <c r="H164" s="5">
        <v>9.9999999999999995E-7</v>
      </c>
      <c r="I164" s="12"/>
      <c r="J164" s="12"/>
      <c r="K164" s="12"/>
      <c r="L164" s="12">
        <f t="shared" si="205"/>
        <v>249.88926114949794</v>
      </c>
      <c r="M164" s="5">
        <f t="shared" si="173"/>
        <v>1.2736455716080424</v>
      </c>
      <c r="N164" s="5">
        <f t="shared" si="174"/>
        <v>0.10292085427135697</v>
      </c>
      <c r="O164" s="12">
        <f t="shared" si="175"/>
        <v>0.20584170854271394</v>
      </c>
      <c r="P164" s="5">
        <f t="shared" si="176"/>
        <v>1897.1962050160116</v>
      </c>
      <c r="Q164" s="5">
        <v>4.7E-2</v>
      </c>
      <c r="R164" s="5">
        <f t="shared" si="177"/>
        <v>5.5131715547597548E-2</v>
      </c>
      <c r="S164" s="5">
        <f t="shared" si="178"/>
        <v>5.6000000000000001E-2</v>
      </c>
      <c r="T164" s="5">
        <f t="shared" si="179"/>
        <v>7.977443845417484E-2</v>
      </c>
      <c r="U164" s="5">
        <f t="shared" si="180"/>
        <v>8.7074722341604224E-2</v>
      </c>
      <c r="V164" s="5">
        <f t="shared" si="181"/>
        <v>2.733635104552516</v>
      </c>
      <c r="W164" s="5">
        <f t="shared" si="182"/>
        <v>0.3895547355705582</v>
      </c>
      <c r="X164" s="5">
        <f t="shared" si="183"/>
        <v>0.34112748995075981</v>
      </c>
      <c r="Y164" s="5">
        <f t="shared" si="184"/>
        <v>8.506119030407163</v>
      </c>
      <c r="Z164" s="12">
        <f t="shared" si="185"/>
        <v>4.5205550599332014</v>
      </c>
      <c r="AA164" s="12">
        <f t="shared" si="186"/>
        <v>4.2521174530254822</v>
      </c>
      <c r="AB164" s="12">
        <f t="shared" si="187"/>
        <v>5.8518612919311673E-2</v>
      </c>
      <c r="AC164" s="1">
        <f t="shared" si="188"/>
        <v>0.79438589208554078</v>
      </c>
      <c r="AD164" s="1">
        <f t="shared" si="189"/>
        <v>0.23693493178251263</v>
      </c>
      <c r="AE164" s="12">
        <f t="shared" si="190"/>
        <v>0.81642397642269393</v>
      </c>
      <c r="AF164" s="5">
        <f t="shared" si="191"/>
        <v>0.50645027547205212</v>
      </c>
      <c r="AG164" s="5">
        <f t="shared" si="192"/>
        <v>0.25322513773602606</v>
      </c>
      <c r="AH164" s="5">
        <v>0.25527460000000002</v>
      </c>
      <c r="AI164" s="5">
        <f t="shared" si="193"/>
        <v>0.18821776715027805</v>
      </c>
      <c r="AJ164" s="5">
        <f t="shared" si="194"/>
        <v>0.28482353725938153</v>
      </c>
      <c r="AK164" s="5">
        <v>4.422943E-2</v>
      </c>
      <c r="AL164" s="5">
        <f t="shared" si="195"/>
        <v>3.4957936897033588E-2</v>
      </c>
      <c r="AM164" s="5">
        <f t="shared" si="196"/>
        <v>3.14585140174082E-2</v>
      </c>
      <c r="AN164" s="13">
        <f t="shared" si="197"/>
        <v>4.1850936684658842E-2</v>
      </c>
      <c r="AO164" s="13">
        <f t="shared" si="198"/>
        <v>2.0925468342329421E-2</v>
      </c>
      <c r="AP164" s="13">
        <f t="shared" si="199"/>
        <v>2.1094827348733802E-2</v>
      </c>
      <c r="AQ164" s="13">
        <f t="shared" si="200"/>
        <v>1.5553530598027755E-2</v>
      </c>
      <c r="AR164" s="13">
        <f t="shared" si="201"/>
        <v>2.3536628177430508E-2</v>
      </c>
      <c r="AS164" s="13">
        <f t="shared" si="202"/>
        <v>3.6549354678566031E-3</v>
      </c>
      <c r="AT164" s="13">
        <f t="shared" si="203"/>
        <v>2.8887779799120421E-3</v>
      </c>
      <c r="AU164" s="14">
        <f t="shared" si="204"/>
        <v>2.5996002808150445E-3</v>
      </c>
    </row>
    <row r="165" spans="1:47" x14ac:dyDescent="0.35">
      <c r="A165" s="5">
        <v>7.4999999999999997E-2</v>
      </c>
      <c r="B165" s="5">
        <v>0.02</v>
      </c>
      <c r="C165" s="5">
        <f t="shared" si="172"/>
        <v>0.15</v>
      </c>
      <c r="D165" s="5">
        <v>9.81</v>
      </c>
      <c r="E165" s="5">
        <v>1000</v>
      </c>
      <c r="F165" s="5">
        <v>2650</v>
      </c>
      <c r="G165" s="5">
        <v>1.65</v>
      </c>
      <c r="H165" s="5">
        <v>9.9999999999999995E-7</v>
      </c>
      <c r="I165" s="12"/>
      <c r="J165" s="12"/>
      <c r="K165" s="12"/>
      <c r="L165" s="12">
        <f t="shared" si="205"/>
        <v>251.33811557788991</v>
      </c>
      <c r="M165" s="5">
        <f t="shared" si="173"/>
        <v>1.2810301507537711</v>
      </c>
      <c r="N165" s="5">
        <f t="shared" si="174"/>
        <v>0.10351758793969869</v>
      </c>
      <c r="O165" s="12">
        <f t="shared" si="175"/>
        <v>0.20703517587939738</v>
      </c>
      <c r="P165" s="5">
        <f t="shared" si="176"/>
        <v>1897.1962050160116</v>
      </c>
      <c r="Q165" s="5">
        <v>4.7E-2</v>
      </c>
      <c r="R165" s="5">
        <f t="shared" si="177"/>
        <v>5.5131715547597548E-2</v>
      </c>
      <c r="S165" s="5">
        <f t="shared" si="178"/>
        <v>5.6000000000000001E-2</v>
      </c>
      <c r="T165" s="5">
        <f t="shared" si="179"/>
        <v>7.977443845417484E-2</v>
      </c>
      <c r="U165" s="5">
        <f t="shared" si="180"/>
        <v>8.7074722341604224E-2</v>
      </c>
      <c r="V165" s="5">
        <f t="shared" si="181"/>
        <v>2.7552826684788201</v>
      </c>
      <c r="W165" s="5">
        <f t="shared" si="182"/>
        <v>0.3895547355705582</v>
      </c>
      <c r="X165" s="5">
        <f t="shared" si="183"/>
        <v>0.34112748995075981</v>
      </c>
      <c r="Y165" s="5">
        <f t="shared" si="184"/>
        <v>8.5208814697711741</v>
      </c>
      <c r="Z165" s="12">
        <f t="shared" si="185"/>
        <v>4.5205550599332014</v>
      </c>
      <c r="AA165" s="12">
        <f t="shared" si="186"/>
        <v>4.2718274427206318</v>
      </c>
      <c r="AB165" s="12">
        <f t="shared" si="187"/>
        <v>5.8518612919311673E-2</v>
      </c>
      <c r="AC165" s="1">
        <f t="shared" si="188"/>
        <v>0.80269532482725026</v>
      </c>
      <c r="AD165" s="1">
        <f t="shared" si="189"/>
        <v>0.23781753483746074</v>
      </c>
      <c r="AE165" s="12">
        <f t="shared" si="190"/>
        <v>0.81642397642269393</v>
      </c>
      <c r="AF165" s="5">
        <f t="shared" si="191"/>
        <v>0.51216885350083596</v>
      </c>
      <c r="AG165" s="5">
        <f t="shared" si="192"/>
        <v>0.25608442675041798</v>
      </c>
      <c r="AH165" s="5">
        <v>0.25926270000000001</v>
      </c>
      <c r="AI165" s="5">
        <f t="shared" si="193"/>
        <v>0.19089502337597145</v>
      </c>
      <c r="AJ165" s="5">
        <f t="shared" si="194"/>
        <v>0.28980652581868238</v>
      </c>
      <c r="AK165" s="5">
        <v>4.4966569999999997E-2</v>
      </c>
      <c r="AL165" s="5">
        <f t="shared" si="195"/>
        <v>3.5683195051576508E-2</v>
      </c>
      <c r="AM165" s="5">
        <f t="shared" si="196"/>
        <v>3.2165585200340151E-2</v>
      </c>
      <c r="AN165" s="13">
        <f t="shared" si="197"/>
        <v>4.2323496101841197E-2</v>
      </c>
      <c r="AO165" s="13">
        <f t="shared" si="198"/>
        <v>2.1161748050920599E-2</v>
      </c>
      <c r="AP165" s="13">
        <f t="shared" si="199"/>
        <v>2.142438728516886E-2</v>
      </c>
      <c r="AQ165" s="13">
        <f t="shared" si="200"/>
        <v>1.5774767876822138E-2</v>
      </c>
      <c r="AR165" s="13">
        <f t="shared" si="201"/>
        <v>2.3948401551433122E-2</v>
      </c>
      <c r="AS165" s="13">
        <f t="shared" si="202"/>
        <v>3.7158496404058722E-3</v>
      </c>
      <c r="AT165" s="13">
        <f t="shared" si="203"/>
        <v>2.948710286351242E-3</v>
      </c>
      <c r="AU165" s="14">
        <f t="shared" si="204"/>
        <v>2.658029691838368E-3</v>
      </c>
    </row>
    <row r="166" spans="1:47" x14ac:dyDescent="0.35">
      <c r="A166" s="5">
        <v>7.4999999999999997E-2</v>
      </c>
      <c r="B166" s="5">
        <v>0.02</v>
      </c>
      <c r="C166" s="5">
        <f t="shared" si="172"/>
        <v>0.15</v>
      </c>
      <c r="D166" s="5">
        <v>9.81</v>
      </c>
      <c r="E166" s="5">
        <v>1000</v>
      </c>
      <c r="F166" s="5">
        <v>2650</v>
      </c>
      <c r="G166" s="5">
        <v>1.65</v>
      </c>
      <c r="H166" s="5">
        <v>9.9999999999999995E-7</v>
      </c>
      <c r="I166" s="12"/>
      <c r="J166" s="12"/>
      <c r="K166" s="12"/>
      <c r="L166" s="12">
        <f t="shared" si="205"/>
        <v>252.78697000628188</v>
      </c>
      <c r="M166" s="5">
        <f t="shared" si="173"/>
        <v>1.2884147298994997</v>
      </c>
      <c r="N166" s="5">
        <f t="shared" si="174"/>
        <v>0.10411432160804039</v>
      </c>
      <c r="O166" s="12">
        <f t="shared" si="175"/>
        <v>0.20822864321608078</v>
      </c>
      <c r="P166" s="5">
        <f t="shared" si="176"/>
        <v>1897.1962050160116</v>
      </c>
      <c r="Q166" s="5">
        <v>4.7E-2</v>
      </c>
      <c r="R166" s="5">
        <f t="shared" si="177"/>
        <v>5.5131715547597548E-2</v>
      </c>
      <c r="S166" s="5">
        <f t="shared" si="178"/>
        <v>5.6000000000000001E-2</v>
      </c>
      <c r="T166" s="5">
        <f t="shared" si="179"/>
        <v>7.977443845417484E-2</v>
      </c>
      <c r="U166" s="5">
        <f t="shared" si="180"/>
        <v>8.7074722341604224E-2</v>
      </c>
      <c r="V166" s="5">
        <f t="shared" si="181"/>
        <v>2.7769302324051237</v>
      </c>
      <c r="W166" s="5">
        <f t="shared" si="182"/>
        <v>0.3895547355705582</v>
      </c>
      <c r="X166" s="5">
        <f t="shared" si="183"/>
        <v>0.34112748995075981</v>
      </c>
      <c r="Y166" s="5">
        <f t="shared" si="184"/>
        <v>8.5355318522494859</v>
      </c>
      <c r="Z166" s="12">
        <f t="shared" si="185"/>
        <v>4.5205550599332014</v>
      </c>
      <c r="AA166" s="12">
        <f t="shared" si="186"/>
        <v>4.2914882671679369</v>
      </c>
      <c r="AB166" s="12">
        <f t="shared" si="187"/>
        <v>5.8518612919311673E-2</v>
      </c>
      <c r="AC166" s="1">
        <f t="shared" si="188"/>
        <v>0.8110381651539772</v>
      </c>
      <c r="AD166" s="1">
        <f t="shared" si="189"/>
        <v>0.23869287629053659</v>
      </c>
      <c r="AE166" s="12">
        <f t="shared" si="190"/>
        <v>0.81642397642269393</v>
      </c>
      <c r="AF166" s="5">
        <f t="shared" si="191"/>
        <v>0.51790879471993034</v>
      </c>
      <c r="AG166" s="5">
        <f t="shared" si="192"/>
        <v>0.25895439735996517</v>
      </c>
      <c r="AH166" s="5">
        <v>0.2632796</v>
      </c>
      <c r="AI166" s="5">
        <f t="shared" si="193"/>
        <v>0.19358903242200207</v>
      </c>
      <c r="AJ166" s="5">
        <f t="shared" si="194"/>
        <v>0.29484729632967599</v>
      </c>
      <c r="AK166" s="5">
        <v>4.5710090000000002E-2</v>
      </c>
      <c r="AL166" s="5">
        <f t="shared" si="195"/>
        <v>3.6415479428117237E-2</v>
      </c>
      <c r="AM166" s="5">
        <f t="shared" si="196"/>
        <v>3.2880471417448667E-2</v>
      </c>
      <c r="AN166" s="13">
        <f t="shared" si="197"/>
        <v>4.2797820883894236E-2</v>
      </c>
      <c r="AO166" s="13">
        <f t="shared" si="198"/>
        <v>2.1398910441947118E-2</v>
      </c>
      <c r="AP166" s="13">
        <f t="shared" si="199"/>
        <v>2.1756327133383799E-2</v>
      </c>
      <c r="AQ166" s="13">
        <f t="shared" si="200"/>
        <v>1.599738953875773E-2</v>
      </c>
      <c r="AR166" s="13">
        <f t="shared" si="201"/>
        <v>2.4364949784723856E-2</v>
      </c>
      <c r="AS166" s="13">
        <f t="shared" si="202"/>
        <v>3.7772910295230449E-3</v>
      </c>
      <c r="AT166" s="13">
        <f t="shared" si="203"/>
        <v>3.0092232104467135E-3</v>
      </c>
      <c r="AU166" s="14">
        <f t="shared" si="204"/>
        <v>2.7171049046636688E-3</v>
      </c>
    </row>
    <row r="167" spans="1:47" x14ac:dyDescent="0.35">
      <c r="A167" s="5">
        <v>7.4999999999999997E-2</v>
      </c>
      <c r="B167" s="5">
        <v>0.02</v>
      </c>
      <c r="C167" s="5">
        <f t="shared" si="172"/>
        <v>0.15</v>
      </c>
      <c r="D167" s="5">
        <v>9.81</v>
      </c>
      <c r="E167" s="5">
        <v>1000</v>
      </c>
      <c r="F167" s="5">
        <v>2650</v>
      </c>
      <c r="G167" s="5">
        <v>1.65</v>
      </c>
      <c r="H167" s="5">
        <v>9.9999999999999995E-7</v>
      </c>
      <c r="I167" s="12"/>
      <c r="J167" s="12"/>
      <c r="K167" s="12"/>
      <c r="L167" s="12">
        <f t="shared" si="205"/>
        <v>254.23582443467384</v>
      </c>
      <c r="M167" s="5">
        <f t="shared" si="173"/>
        <v>1.2957993090452284</v>
      </c>
      <c r="N167" s="5">
        <f t="shared" si="174"/>
        <v>0.10471105527638211</v>
      </c>
      <c r="O167" s="12">
        <f t="shared" si="175"/>
        <v>0.20942211055276422</v>
      </c>
      <c r="P167" s="5">
        <f t="shared" si="176"/>
        <v>1897.1962050160116</v>
      </c>
      <c r="Q167" s="5">
        <v>4.7E-2</v>
      </c>
      <c r="R167" s="5">
        <f t="shared" si="177"/>
        <v>5.5131715547597548E-2</v>
      </c>
      <c r="S167" s="5">
        <f t="shared" si="178"/>
        <v>5.6000000000000001E-2</v>
      </c>
      <c r="T167" s="5">
        <f t="shared" si="179"/>
        <v>7.977443845417484E-2</v>
      </c>
      <c r="U167" s="5">
        <f t="shared" si="180"/>
        <v>8.7074722341604224E-2</v>
      </c>
      <c r="V167" s="5">
        <f t="shared" si="181"/>
        <v>2.7985777963314278</v>
      </c>
      <c r="W167" s="5">
        <f t="shared" si="182"/>
        <v>0.3895547355705582</v>
      </c>
      <c r="X167" s="5">
        <f t="shared" si="183"/>
        <v>0.34112748995075981</v>
      </c>
      <c r="Y167" s="5">
        <f t="shared" si="184"/>
        <v>8.5500717283980059</v>
      </c>
      <c r="Z167" s="12">
        <f t="shared" si="185"/>
        <v>4.5205550599332014</v>
      </c>
      <c r="AA167" s="12">
        <f t="shared" si="186"/>
        <v>4.3111003457840615</v>
      </c>
      <c r="AB167" s="12">
        <f t="shared" si="187"/>
        <v>5.8518612919311673E-2</v>
      </c>
      <c r="AC167" s="1">
        <f t="shared" si="188"/>
        <v>0.8194143330191177</v>
      </c>
      <c r="AD167" s="1">
        <f t="shared" si="189"/>
        <v>0.23956104525110214</v>
      </c>
      <c r="AE167" s="12">
        <f t="shared" si="190"/>
        <v>0.81642397642269393</v>
      </c>
      <c r="AF167" s="5">
        <f t="shared" si="191"/>
        <v>0.52367001991270334</v>
      </c>
      <c r="AG167" s="5">
        <f t="shared" si="192"/>
        <v>0.26183500995635167</v>
      </c>
      <c r="AH167" s="5">
        <v>0.26732519999999999</v>
      </c>
      <c r="AI167" s="5">
        <f t="shared" si="193"/>
        <v>0.19629975411179454</v>
      </c>
      <c r="AJ167" s="5">
        <f t="shared" si="194"/>
        <v>0.29994618188006977</v>
      </c>
      <c r="AK167" s="5">
        <v>4.6460000000000001E-2</v>
      </c>
      <c r="AL167" s="5">
        <f t="shared" si="195"/>
        <v>3.7154765022703026E-2</v>
      </c>
      <c r="AM167" s="5">
        <f t="shared" si="196"/>
        <v>3.3603138519843145E-2</v>
      </c>
      <c r="AN167" s="13">
        <f t="shared" si="197"/>
        <v>4.3273904484686175E-2</v>
      </c>
      <c r="AO167" s="13">
        <f t="shared" si="198"/>
        <v>2.1636952242343088E-2</v>
      </c>
      <c r="AP167" s="13">
        <f t="shared" si="199"/>
        <v>2.2090638629796041E-2</v>
      </c>
      <c r="AQ167" s="13">
        <f t="shared" si="200"/>
        <v>1.6221392263810044E-2</v>
      </c>
      <c r="AR167" s="13">
        <f t="shared" si="201"/>
        <v>2.4786300402280442E-2</v>
      </c>
      <c r="AS167" s="13">
        <f t="shared" si="202"/>
        <v>3.8392604615663777E-3</v>
      </c>
      <c r="AT167" s="13">
        <f t="shared" si="203"/>
        <v>3.0703146859761758E-3</v>
      </c>
      <c r="AU167" s="14">
        <f t="shared" si="204"/>
        <v>2.776823097369176E-3</v>
      </c>
    </row>
    <row r="168" spans="1:47" x14ac:dyDescent="0.35">
      <c r="A168" s="5">
        <v>7.4999999999999997E-2</v>
      </c>
      <c r="B168" s="5">
        <v>0.02</v>
      </c>
      <c r="C168" s="5">
        <f t="shared" si="172"/>
        <v>0.15</v>
      </c>
      <c r="D168" s="5">
        <v>9.81</v>
      </c>
      <c r="E168" s="5">
        <v>1000</v>
      </c>
      <c r="F168" s="5">
        <v>2650</v>
      </c>
      <c r="G168" s="5">
        <v>1.65</v>
      </c>
      <c r="H168" s="5">
        <v>9.9999999999999995E-7</v>
      </c>
      <c r="I168" s="12"/>
      <c r="J168" s="12"/>
      <c r="K168" s="12"/>
      <c r="L168" s="12">
        <f t="shared" si="205"/>
        <v>255.68467886306581</v>
      </c>
      <c r="M168" s="5">
        <f t="shared" si="173"/>
        <v>1.3031838881909572</v>
      </c>
      <c r="N168" s="5">
        <f t="shared" si="174"/>
        <v>0.10530778894472383</v>
      </c>
      <c r="O168" s="12">
        <f t="shared" si="175"/>
        <v>0.21061557788944765</v>
      </c>
      <c r="P168" s="5">
        <f t="shared" si="176"/>
        <v>1897.1962050160116</v>
      </c>
      <c r="Q168" s="5">
        <v>4.7E-2</v>
      </c>
      <c r="R168" s="5">
        <f t="shared" si="177"/>
        <v>5.5131715547597548E-2</v>
      </c>
      <c r="S168" s="5">
        <f t="shared" si="178"/>
        <v>5.6000000000000001E-2</v>
      </c>
      <c r="T168" s="5">
        <f t="shared" si="179"/>
        <v>7.977443845417484E-2</v>
      </c>
      <c r="U168" s="5">
        <f t="shared" si="180"/>
        <v>8.7074722341604224E-2</v>
      </c>
      <c r="V168" s="5">
        <f t="shared" si="181"/>
        <v>2.8202253602577319</v>
      </c>
      <c r="W168" s="5">
        <f t="shared" si="182"/>
        <v>0.3895547355705582</v>
      </c>
      <c r="X168" s="5">
        <f t="shared" si="183"/>
        <v>0.34112748995075981</v>
      </c>
      <c r="Y168" s="5">
        <f t="shared" si="184"/>
        <v>8.5645026200780876</v>
      </c>
      <c r="Z168" s="12">
        <f t="shared" si="185"/>
        <v>4.5205550599332014</v>
      </c>
      <c r="AA168" s="12">
        <f t="shared" si="186"/>
        <v>4.3306640928812232</v>
      </c>
      <c r="AB168" s="12">
        <f t="shared" si="187"/>
        <v>5.8518612919311673E-2</v>
      </c>
      <c r="AC168" s="1">
        <f t="shared" si="188"/>
        <v>0.82782374921755941</v>
      </c>
      <c r="AD168" s="1">
        <f t="shared" si="189"/>
        <v>0.24042212945844016</v>
      </c>
      <c r="AE168" s="12">
        <f t="shared" si="190"/>
        <v>0.81642397642269393</v>
      </c>
      <c r="AF168" s="5">
        <f t="shared" si="191"/>
        <v>0.52945245073727276</v>
      </c>
      <c r="AG168" s="5">
        <f t="shared" si="192"/>
        <v>0.26472622536863638</v>
      </c>
      <c r="AH168" s="5">
        <v>0.27139940000000001</v>
      </c>
      <c r="AI168" s="5">
        <f t="shared" si="193"/>
        <v>0.19902714860315537</v>
      </c>
      <c r="AJ168" s="5">
        <f t="shared" si="194"/>
        <v>0.30510351555757048</v>
      </c>
      <c r="AK168" s="5">
        <v>4.7216300000000003E-2</v>
      </c>
      <c r="AL168" s="5">
        <f t="shared" si="195"/>
        <v>3.7901027726300864E-2</v>
      </c>
      <c r="AM168" s="5">
        <f t="shared" si="196"/>
        <v>3.4333552774487505E-2</v>
      </c>
      <c r="AN168" s="13">
        <f t="shared" si="197"/>
        <v>4.3751740430370889E-2</v>
      </c>
      <c r="AO168" s="13">
        <f t="shared" si="198"/>
        <v>2.1875870215185445E-2</v>
      </c>
      <c r="AP168" s="13">
        <f t="shared" si="199"/>
        <v>2.2427313510823031E-2</v>
      </c>
      <c r="AQ168" s="13">
        <f t="shared" si="200"/>
        <v>1.6446772759586534E-2</v>
      </c>
      <c r="AR168" s="13">
        <f t="shared" si="201"/>
        <v>2.5212480929080554E-2</v>
      </c>
      <c r="AS168" s="13">
        <f t="shared" si="202"/>
        <v>3.901757936535871E-3</v>
      </c>
      <c r="AT168" s="13">
        <f t="shared" si="203"/>
        <v>3.1319827206697788E-3</v>
      </c>
      <c r="AU168" s="14">
        <f t="shared" si="204"/>
        <v>2.8371814823975995E-3</v>
      </c>
    </row>
    <row r="169" spans="1:47" x14ac:dyDescent="0.35">
      <c r="A169" s="5">
        <v>7.4999999999999997E-2</v>
      </c>
      <c r="B169" s="5">
        <v>0.02</v>
      </c>
      <c r="C169" s="5">
        <f t="shared" si="172"/>
        <v>0.15</v>
      </c>
      <c r="D169" s="5">
        <v>9.81</v>
      </c>
      <c r="E169" s="5">
        <v>1000</v>
      </c>
      <c r="F169" s="5">
        <v>2650</v>
      </c>
      <c r="G169" s="5">
        <v>1.65</v>
      </c>
      <c r="H169" s="5">
        <v>9.9999999999999995E-7</v>
      </c>
      <c r="I169" s="12"/>
      <c r="J169" s="12"/>
      <c r="K169" s="12"/>
      <c r="L169" s="12">
        <f t="shared" si="205"/>
        <v>257.13353329145775</v>
      </c>
      <c r="M169" s="5">
        <f t="shared" si="173"/>
        <v>1.3105684673366857</v>
      </c>
      <c r="N169" s="5">
        <f t="shared" si="174"/>
        <v>0.10590452261306552</v>
      </c>
      <c r="O169" s="12">
        <f t="shared" si="175"/>
        <v>0.21180904522613103</v>
      </c>
      <c r="P169" s="5">
        <f t="shared" si="176"/>
        <v>1897.1962050160116</v>
      </c>
      <c r="Q169" s="5">
        <v>4.7E-2</v>
      </c>
      <c r="R169" s="5">
        <f t="shared" si="177"/>
        <v>5.5131715547597548E-2</v>
      </c>
      <c r="S169" s="5">
        <f t="shared" si="178"/>
        <v>5.6000000000000001E-2</v>
      </c>
      <c r="T169" s="5">
        <f t="shared" si="179"/>
        <v>7.977443845417484E-2</v>
      </c>
      <c r="U169" s="5">
        <f t="shared" si="180"/>
        <v>8.7074722341604224E-2</v>
      </c>
      <c r="V169" s="5">
        <f t="shared" si="181"/>
        <v>2.841872924184035</v>
      </c>
      <c r="W169" s="5">
        <f t="shared" si="182"/>
        <v>0.3895547355705582</v>
      </c>
      <c r="X169" s="5">
        <f t="shared" si="183"/>
        <v>0.34112748995075981</v>
      </c>
      <c r="Y169" s="5">
        <f t="shared" si="184"/>
        <v>8.5788260210960345</v>
      </c>
      <c r="Z169" s="12">
        <f t="shared" si="185"/>
        <v>4.5205550599332014</v>
      </c>
      <c r="AA169" s="12">
        <f t="shared" si="186"/>
        <v>4.3501799177332394</v>
      </c>
      <c r="AB169" s="12">
        <f t="shared" si="187"/>
        <v>5.8518612919311673E-2</v>
      </c>
      <c r="AC169" s="1">
        <f t="shared" si="188"/>
        <v>0.83626633537073247</v>
      </c>
      <c r="AD169" s="1">
        <f t="shared" si="189"/>
        <v>0.24127621530436466</v>
      </c>
      <c r="AE169" s="12">
        <f t="shared" si="190"/>
        <v>0.81642397642269393</v>
      </c>
      <c r="AF169" s="5">
        <f t="shared" si="191"/>
        <v>0.53525600971052534</v>
      </c>
      <c r="AG169" s="5">
        <f t="shared" si="192"/>
        <v>0.26762800485526267</v>
      </c>
      <c r="AH169" s="5">
        <v>0.27550219999999997</v>
      </c>
      <c r="AI169" s="5">
        <f t="shared" si="193"/>
        <v>0.20177117638470088</v>
      </c>
      <c r="AJ169" s="5">
        <f t="shared" si="194"/>
        <v>0.31031963044988481</v>
      </c>
      <c r="AK169" s="5">
        <v>4.7979000000000001E-2</v>
      </c>
      <c r="AL169" s="5">
        <f t="shared" si="195"/>
        <v>3.8654244330311463E-2</v>
      </c>
      <c r="AM169" s="5">
        <f t="shared" si="196"/>
        <v>3.5071680908051094E-2</v>
      </c>
      <c r="AN169" s="13">
        <f t="shared" si="197"/>
        <v>4.4231322318067347E-2</v>
      </c>
      <c r="AO169" s="13">
        <f t="shared" si="198"/>
        <v>2.2115661159033673E-2</v>
      </c>
      <c r="AP169" s="13">
        <f t="shared" si="199"/>
        <v>2.2766351776464751E-2</v>
      </c>
      <c r="AQ169" s="13">
        <f t="shared" si="200"/>
        <v>1.6673527761031374E-2</v>
      </c>
      <c r="AR169" s="13">
        <f t="shared" si="201"/>
        <v>2.5643518890101861E-2</v>
      </c>
      <c r="AS169" s="13">
        <f t="shared" si="202"/>
        <v>3.964784280789781E-3</v>
      </c>
      <c r="AT169" s="13">
        <f t="shared" si="203"/>
        <v>3.1942253966657582E-3</v>
      </c>
      <c r="AU169" s="14">
        <f t="shared" si="204"/>
        <v>2.8981773101797881E-3</v>
      </c>
    </row>
    <row r="170" spans="1:47" x14ac:dyDescent="0.35">
      <c r="A170" s="5">
        <v>7.4999999999999997E-2</v>
      </c>
      <c r="B170" s="5">
        <v>0.02</v>
      </c>
      <c r="C170" s="5">
        <f t="shared" si="172"/>
        <v>0.15</v>
      </c>
      <c r="D170" s="5">
        <v>9.81</v>
      </c>
      <c r="E170" s="5">
        <v>1000</v>
      </c>
      <c r="F170" s="5">
        <v>2650</v>
      </c>
      <c r="G170" s="5">
        <v>1.65</v>
      </c>
      <c r="H170" s="5">
        <v>9.9999999999999995E-7</v>
      </c>
      <c r="I170" s="12"/>
      <c r="J170" s="12"/>
      <c r="K170" s="12"/>
      <c r="L170" s="12">
        <f t="shared" si="205"/>
        <v>258.58238771984969</v>
      </c>
      <c r="M170" s="5">
        <f t="shared" si="173"/>
        <v>1.3179530464824143</v>
      </c>
      <c r="N170" s="5">
        <f t="shared" si="174"/>
        <v>0.10650125628140722</v>
      </c>
      <c r="O170" s="12">
        <f t="shared" si="175"/>
        <v>0.21300251256281444</v>
      </c>
      <c r="P170" s="5">
        <f t="shared" si="176"/>
        <v>1897.1962050160116</v>
      </c>
      <c r="Q170" s="5">
        <v>4.7E-2</v>
      </c>
      <c r="R170" s="5">
        <f t="shared" si="177"/>
        <v>5.5131715547597548E-2</v>
      </c>
      <c r="S170" s="5">
        <f t="shared" si="178"/>
        <v>5.6000000000000001E-2</v>
      </c>
      <c r="T170" s="5">
        <f t="shared" si="179"/>
        <v>7.977443845417484E-2</v>
      </c>
      <c r="U170" s="5">
        <f t="shared" si="180"/>
        <v>8.7074722341604224E-2</v>
      </c>
      <c r="V170" s="5">
        <f t="shared" si="181"/>
        <v>2.8635204881103387</v>
      </c>
      <c r="W170" s="5">
        <f t="shared" si="182"/>
        <v>0.3895547355705582</v>
      </c>
      <c r="X170" s="5">
        <f t="shared" si="183"/>
        <v>0.34112748995075981</v>
      </c>
      <c r="Y170" s="5">
        <f t="shared" si="184"/>
        <v>8.5930433978264666</v>
      </c>
      <c r="Z170" s="12">
        <f t="shared" si="185"/>
        <v>4.5205550599332014</v>
      </c>
      <c r="AA170" s="12">
        <f t="shared" si="186"/>
        <v>4.3696482246411525</v>
      </c>
      <c r="AB170" s="12">
        <f t="shared" si="187"/>
        <v>5.8518612919311673E-2</v>
      </c>
      <c r="AC170" s="1">
        <f t="shared" si="188"/>
        <v>0.84474201391200876</v>
      </c>
      <c r="AD170" s="1">
        <f t="shared" si="189"/>
        <v>0.24212338785555323</v>
      </c>
      <c r="AE170" s="12">
        <f t="shared" si="190"/>
        <v>0.81642397642269393</v>
      </c>
      <c r="AF170" s="5">
        <f t="shared" si="191"/>
        <v>0.54108062019253989</v>
      </c>
      <c r="AG170" s="5">
        <f t="shared" si="192"/>
        <v>0.27054031009626994</v>
      </c>
      <c r="AH170" s="5">
        <v>0.27963359999999998</v>
      </c>
      <c r="AI170" s="5">
        <f t="shared" si="193"/>
        <v>0.20453179827229845</v>
      </c>
      <c r="AJ170" s="5">
        <f t="shared" si="194"/>
        <v>0.31559485964472012</v>
      </c>
      <c r="AK170" s="5">
        <v>4.8748109999999997E-2</v>
      </c>
      <c r="AL170" s="5">
        <f t="shared" si="195"/>
        <v>3.9414392529970178E-2</v>
      </c>
      <c r="AM170" s="5">
        <f t="shared" si="196"/>
        <v>3.581749014749197E-2</v>
      </c>
      <c r="AN170" s="13">
        <f t="shared" si="197"/>
        <v>4.4712643814572371E-2</v>
      </c>
      <c r="AO170" s="13">
        <f t="shared" si="198"/>
        <v>2.2356321907286186E-2</v>
      </c>
      <c r="AP170" s="13">
        <f t="shared" si="199"/>
        <v>2.3107753426721216E-2</v>
      </c>
      <c r="AQ170" s="13">
        <f t="shared" si="200"/>
        <v>1.690165403013142E-2</v>
      </c>
      <c r="AR170" s="13">
        <f t="shared" si="201"/>
        <v>2.6079441810322089E-2</v>
      </c>
      <c r="AS170" s="13">
        <f t="shared" si="202"/>
        <v>4.0283403206863655E-3</v>
      </c>
      <c r="AT170" s="13">
        <f t="shared" si="203"/>
        <v>3.2570408707914699E-3</v>
      </c>
      <c r="AU170" s="14">
        <f t="shared" si="204"/>
        <v>2.9598078724883598E-3</v>
      </c>
    </row>
    <row r="171" spans="1:47" x14ac:dyDescent="0.35">
      <c r="A171" s="5">
        <v>7.4999999999999997E-2</v>
      </c>
      <c r="B171" s="5">
        <v>0.02</v>
      </c>
      <c r="C171" s="5">
        <f t="shared" si="172"/>
        <v>0.15</v>
      </c>
      <c r="D171" s="5">
        <v>9.81</v>
      </c>
      <c r="E171" s="5">
        <v>1000</v>
      </c>
      <c r="F171" s="5">
        <v>2650</v>
      </c>
      <c r="G171" s="5">
        <v>1.65</v>
      </c>
      <c r="H171" s="5">
        <v>9.9999999999999995E-7</v>
      </c>
      <c r="I171" s="12"/>
      <c r="J171" s="12"/>
      <c r="K171" s="12"/>
      <c r="L171" s="12">
        <f t="shared" si="205"/>
        <v>260.03124214824163</v>
      </c>
      <c r="M171" s="5">
        <f t="shared" si="173"/>
        <v>1.3253376256281428</v>
      </c>
      <c r="N171" s="5">
        <f t="shared" si="174"/>
        <v>0.10709798994974892</v>
      </c>
      <c r="O171" s="12">
        <f t="shared" si="175"/>
        <v>0.21419597989949785</v>
      </c>
      <c r="P171" s="5">
        <f t="shared" si="176"/>
        <v>1897.1962050160116</v>
      </c>
      <c r="Q171" s="5">
        <v>4.7E-2</v>
      </c>
      <c r="R171" s="5">
        <f t="shared" si="177"/>
        <v>5.5131715547597548E-2</v>
      </c>
      <c r="S171" s="5">
        <f t="shared" si="178"/>
        <v>5.6000000000000001E-2</v>
      </c>
      <c r="T171" s="5">
        <f t="shared" si="179"/>
        <v>7.977443845417484E-2</v>
      </c>
      <c r="U171" s="5">
        <f t="shared" si="180"/>
        <v>8.7074722341604224E-2</v>
      </c>
      <c r="V171" s="5">
        <f t="shared" si="181"/>
        <v>2.8851680520366427</v>
      </c>
      <c r="W171" s="5">
        <f t="shared" si="182"/>
        <v>0.3895547355705582</v>
      </c>
      <c r="X171" s="5">
        <f t="shared" si="183"/>
        <v>0.34112748995075981</v>
      </c>
      <c r="Y171" s="5">
        <f t="shared" si="184"/>
        <v>8.6071561898198627</v>
      </c>
      <c r="Z171" s="12">
        <f t="shared" si="185"/>
        <v>4.5205550599332014</v>
      </c>
      <c r="AA171" s="12">
        <f t="shared" si="186"/>
        <v>4.3890694129983432</v>
      </c>
      <c r="AB171" s="12">
        <f t="shared" si="187"/>
        <v>5.8518612919311673E-2</v>
      </c>
      <c r="AC171" s="1">
        <f t="shared" si="188"/>
        <v>0.85325070807242742</v>
      </c>
      <c r="AD171" s="1">
        <f t="shared" si="189"/>
        <v>0.24296373087559595</v>
      </c>
      <c r="AE171" s="12">
        <f t="shared" si="190"/>
        <v>0.81642397642269393</v>
      </c>
      <c r="AF171" s="5">
        <f t="shared" si="191"/>
        <v>0.54692620637140477</v>
      </c>
      <c r="AG171" s="5">
        <f t="shared" si="192"/>
        <v>0.27346310318570238</v>
      </c>
      <c r="AH171" s="5">
        <v>0.28379339999999997</v>
      </c>
      <c r="AI171" s="5">
        <f t="shared" si="193"/>
        <v>0.20730897540552093</v>
      </c>
      <c r="AJ171" s="5">
        <f t="shared" si="194"/>
        <v>0.32092953622978326</v>
      </c>
      <c r="AK171" s="5">
        <v>4.9523619999999997E-2</v>
      </c>
      <c r="AL171" s="5">
        <f t="shared" si="195"/>
        <v>4.0181450925775915E-2</v>
      </c>
      <c r="AM171" s="5">
        <f t="shared" si="196"/>
        <v>3.6570948257472077E-2</v>
      </c>
      <c r="AN171" s="13">
        <f t="shared" si="197"/>
        <v>4.5195698655106052E-2</v>
      </c>
      <c r="AO171" s="13">
        <f t="shared" si="198"/>
        <v>2.2597849327553026E-2</v>
      </c>
      <c r="AP171" s="13">
        <f t="shared" si="199"/>
        <v>2.3451501934427282E-2</v>
      </c>
      <c r="AQ171" s="13">
        <f t="shared" si="200"/>
        <v>1.7131148355623182E-2</v>
      </c>
      <c r="AR171" s="13">
        <f t="shared" si="201"/>
        <v>2.6520277214718925E-2</v>
      </c>
      <c r="AS171" s="13">
        <f t="shared" si="202"/>
        <v>4.0924252298673676E-3</v>
      </c>
      <c r="AT171" s="13">
        <f t="shared" si="203"/>
        <v>3.320427374681472E-3</v>
      </c>
      <c r="AU171" s="14">
        <f t="shared" si="204"/>
        <v>3.0220705055295383E-3</v>
      </c>
    </row>
    <row r="172" spans="1:47" x14ac:dyDescent="0.35">
      <c r="A172" s="5">
        <v>7.4999999999999997E-2</v>
      </c>
      <c r="B172" s="5">
        <v>0.02</v>
      </c>
      <c r="C172" s="5">
        <f t="shared" si="172"/>
        <v>0.15</v>
      </c>
      <c r="D172" s="5">
        <v>9.81</v>
      </c>
      <c r="E172" s="5">
        <v>1000</v>
      </c>
      <c r="F172" s="5">
        <v>2650</v>
      </c>
      <c r="G172" s="5">
        <v>1.65</v>
      </c>
      <c r="H172" s="5">
        <v>9.9999999999999995E-7</v>
      </c>
      <c r="I172" s="12"/>
      <c r="J172" s="12"/>
      <c r="K172" s="12"/>
      <c r="L172" s="12">
        <f t="shared" si="205"/>
        <v>261.48009657663357</v>
      </c>
      <c r="M172" s="5">
        <f t="shared" si="173"/>
        <v>1.3327222047738714</v>
      </c>
      <c r="N172" s="5">
        <f t="shared" si="174"/>
        <v>0.10769472361809063</v>
      </c>
      <c r="O172" s="12">
        <f t="shared" si="175"/>
        <v>0.21538944723618125</v>
      </c>
      <c r="P172" s="5">
        <f t="shared" si="176"/>
        <v>1897.1962050160116</v>
      </c>
      <c r="Q172" s="5">
        <v>4.7E-2</v>
      </c>
      <c r="R172" s="5">
        <f t="shared" si="177"/>
        <v>5.5131715547597548E-2</v>
      </c>
      <c r="S172" s="5">
        <f t="shared" si="178"/>
        <v>5.6000000000000001E-2</v>
      </c>
      <c r="T172" s="5">
        <f t="shared" si="179"/>
        <v>7.977443845417484E-2</v>
      </c>
      <c r="U172" s="5">
        <f t="shared" si="180"/>
        <v>8.7074722341604224E-2</v>
      </c>
      <c r="V172" s="5">
        <f t="shared" si="181"/>
        <v>2.9068156159629464</v>
      </c>
      <c r="W172" s="5">
        <f t="shared" si="182"/>
        <v>0.3895547355705582</v>
      </c>
      <c r="X172" s="5">
        <f t="shared" si="183"/>
        <v>0.34112748995075981</v>
      </c>
      <c r="Y172" s="5">
        <f t="shared" si="184"/>
        <v>8.6211658103948512</v>
      </c>
      <c r="Z172" s="12">
        <f t="shared" si="185"/>
        <v>4.5205550599332014</v>
      </c>
      <c r="AA172" s="12">
        <f t="shared" si="186"/>
        <v>4.408443877355178</v>
      </c>
      <c r="AB172" s="12">
        <f t="shared" si="187"/>
        <v>5.8518612919311673E-2</v>
      </c>
      <c r="AC172" s="1">
        <f t="shared" si="188"/>
        <v>0.86179234186675369</v>
      </c>
      <c r="AD172" s="1">
        <f t="shared" si="189"/>
        <v>0.24379732684675476</v>
      </c>
      <c r="AE172" s="12">
        <f t="shared" si="190"/>
        <v>0.81642397642269393</v>
      </c>
      <c r="AF172" s="5">
        <f t="shared" si="191"/>
        <v>0.5527926932484144</v>
      </c>
      <c r="AG172" s="5">
        <f t="shared" si="192"/>
        <v>0.2763963466242072</v>
      </c>
      <c r="AH172" s="5">
        <v>0.28798170000000001</v>
      </c>
      <c r="AI172" s="5">
        <f t="shared" si="193"/>
        <v>0.21010266924411916</v>
      </c>
      <c r="AJ172" s="5">
        <f t="shared" si="194"/>
        <v>0.32632399329278133</v>
      </c>
      <c r="AK172" s="5">
        <v>5.0305549999999997E-2</v>
      </c>
      <c r="AL172" s="5">
        <f t="shared" si="195"/>
        <v>4.09553990230851E-2</v>
      </c>
      <c r="AM172" s="5">
        <f t="shared" si="196"/>
        <v>3.7332023574707912E-2</v>
      </c>
      <c r="AN172" s="13">
        <f t="shared" si="197"/>
        <v>4.5680480642088427E-2</v>
      </c>
      <c r="AO172" s="13">
        <f t="shared" si="198"/>
        <v>2.2840240321044213E-2</v>
      </c>
      <c r="AP172" s="13">
        <f t="shared" si="199"/>
        <v>2.3797605563165521E-2</v>
      </c>
      <c r="AQ172" s="13">
        <f t="shared" si="200"/>
        <v>1.7362007552701352E-2</v>
      </c>
      <c r="AR172" s="13">
        <f t="shared" si="201"/>
        <v>2.6966052628270065E-2</v>
      </c>
      <c r="AS172" s="13">
        <f t="shared" si="202"/>
        <v>4.1570406610493002E-3</v>
      </c>
      <c r="AT172" s="13">
        <f t="shared" si="203"/>
        <v>3.3843832147439704E-3</v>
      </c>
      <c r="AU172" s="14">
        <f t="shared" si="204"/>
        <v>3.0849625927817474E-3</v>
      </c>
    </row>
    <row r="173" spans="1:47" x14ac:dyDescent="0.35">
      <c r="A173" s="5">
        <v>7.4999999999999997E-2</v>
      </c>
      <c r="B173" s="5">
        <v>0.02</v>
      </c>
      <c r="C173" s="5">
        <f t="shared" si="172"/>
        <v>0.15</v>
      </c>
      <c r="D173" s="5">
        <v>9.81</v>
      </c>
      <c r="E173" s="5">
        <v>1000</v>
      </c>
      <c r="F173" s="5">
        <v>2650</v>
      </c>
      <c r="G173" s="5">
        <v>1.65</v>
      </c>
      <c r="H173" s="5">
        <v>9.9999999999999995E-7</v>
      </c>
      <c r="I173" s="12"/>
      <c r="J173" s="12"/>
      <c r="K173" s="12"/>
      <c r="L173" s="12">
        <f t="shared" si="205"/>
        <v>262.92895100502551</v>
      </c>
      <c r="M173" s="5">
        <f t="shared" si="173"/>
        <v>1.3401067839195999</v>
      </c>
      <c r="N173" s="5">
        <f t="shared" si="174"/>
        <v>0.10829145728643233</v>
      </c>
      <c r="O173" s="12">
        <f t="shared" si="175"/>
        <v>0.21658291457286466</v>
      </c>
      <c r="P173" s="5">
        <f t="shared" si="176"/>
        <v>1897.1962050160116</v>
      </c>
      <c r="Q173" s="5">
        <v>4.7E-2</v>
      </c>
      <c r="R173" s="5">
        <f t="shared" si="177"/>
        <v>5.5131715547597548E-2</v>
      </c>
      <c r="S173" s="5">
        <f t="shared" si="178"/>
        <v>5.6000000000000001E-2</v>
      </c>
      <c r="T173" s="5">
        <f t="shared" si="179"/>
        <v>7.977443845417484E-2</v>
      </c>
      <c r="U173" s="5">
        <f t="shared" si="180"/>
        <v>8.7074722341604224E-2</v>
      </c>
      <c r="V173" s="5">
        <f t="shared" si="181"/>
        <v>2.92846317988925</v>
      </c>
      <c r="W173" s="5">
        <f t="shared" si="182"/>
        <v>0.3895547355705582</v>
      </c>
      <c r="X173" s="5">
        <f t="shared" si="183"/>
        <v>0.34112748995075981</v>
      </c>
      <c r="Y173" s="5">
        <f t="shared" si="184"/>
        <v>8.635073647215572</v>
      </c>
      <c r="Z173" s="12">
        <f t="shared" si="185"/>
        <v>4.5205550599332014</v>
      </c>
      <c r="AA173" s="12">
        <f t="shared" si="186"/>
        <v>4.4277720074831164</v>
      </c>
      <c r="AB173" s="12">
        <f t="shared" si="187"/>
        <v>5.8518612919311673E-2</v>
      </c>
      <c r="AC173" s="1">
        <f t="shared" si="188"/>
        <v>0.87036684007985043</v>
      </c>
      <c r="AD173" s="1">
        <f t="shared" si="189"/>
        <v>0.24462425699143128</v>
      </c>
      <c r="AE173" s="12">
        <f t="shared" si="190"/>
        <v>0.81642397642269393</v>
      </c>
      <c r="AF173" s="5">
        <f t="shared" si="191"/>
        <v>0.5586800066236346</v>
      </c>
      <c r="AG173" s="5">
        <f t="shared" si="192"/>
        <v>0.2793400033118173</v>
      </c>
      <c r="AH173" s="5">
        <v>0.29219830000000002</v>
      </c>
      <c r="AI173" s="5">
        <f t="shared" si="193"/>
        <v>0.21291284156451332</v>
      </c>
      <c r="AJ173" s="5">
        <f t="shared" si="194"/>
        <v>0.33177856392142102</v>
      </c>
      <c r="AK173" s="5">
        <v>5.1093899999999998E-2</v>
      </c>
      <c r="AL173" s="5">
        <f t="shared" si="195"/>
        <v>4.173621723000287E-2</v>
      </c>
      <c r="AM173" s="5">
        <f t="shared" si="196"/>
        <v>3.8100685039363195E-2</v>
      </c>
      <c r="AN173" s="13">
        <f t="shared" si="197"/>
        <v>4.6166983643946669E-2</v>
      </c>
      <c r="AO173" s="13">
        <f t="shared" si="198"/>
        <v>2.3083491821973334E-2</v>
      </c>
      <c r="AP173" s="13">
        <f t="shared" si="199"/>
        <v>2.4146047785770793E-2</v>
      </c>
      <c r="AQ173" s="13">
        <f t="shared" si="200"/>
        <v>1.7594228462728852E-2</v>
      </c>
      <c r="AR173" s="13">
        <f t="shared" si="201"/>
        <v>2.7416795575953182E-2</v>
      </c>
      <c r="AS173" s="13">
        <f t="shared" si="202"/>
        <v>4.2221866142321636E-3</v>
      </c>
      <c r="AT173" s="13">
        <f t="shared" si="203"/>
        <v>3.4489067719865566E-3</v>
      </c>
      <c r="AU173" s="14">
        <f t="shared" si="204"/>
        <v>3.1484815675897702E-3</v>
      </c>
    </row>
    <row r="174" spans="1:47" x14ac:dyDescent="0.35">
      <c r="A174" s="5">
        <v>7.4999999999999997E-2</v>
      </c>
      <c r="B174" s="5">
        <v>0.02</v>
      </c>
      <c r="C174" s="5">
        <f t="shared" si="172"/>
        <v>0.15</v>
      </c>
      <c r="D174" s="5">
        <v>9.81</v>
      </c>
      <c r="E174" s="5">
        <v>1000</v>
      </c>
      <c r="F174" s="5">
        <v>2650</v>
      </c>
      <c r="G174" s="5">
        <v>1.65</v>
      </c>
      <c r="H174" s="5">
        <v>9.9999999999999995E-7</v>
      </c>
      <c r="I174" s="12"/>
      <c r="J174" s="12"/>
      <c r="K174" s="12"/>
      <c r="L174" s="12">
        <f t="shared" si="205"/>
        <v>264.37780543341745</v>
      </c>
      <c r="M174" s="5">
        <f t="shared" si="173"/>
        <v>1.3474913630653285</v>
      </c>
      <c r="N174" s="5">
        <f t="shared" si="174"/>
        <v>0.10888819095477402</v>
      </c>
      <c r="O174" s="12">
        <f t="shared" si="175"/>
        <v>0.21777638190954804</v>
      </c>
      <c r="P174" s="5">
        <f t="shared" si="176"/>
        <v>1897.1962050160116</v>
      </c>
      <c r="Q174" s="5">
        <v>4.7E-2</v>
      </c>
      <c r="R174" s="5">
        <f t="shared" si="177"/>
        <v>5.5131715547597548E-2</v>
      </c>
      <c r="S174" s="5">
        <f t="shared" si="178"/>
        <v>5.6000000000000001E-2</v>
      </c>
      <c r="T174" s="5">
        <f t="shared" si="179"/>
        <v>7.977443845417484E-2</v>
      </c>
      <c r="U174" s="5">
        <f t="shared" si="180"/>
        <v>8.7074722341604224E-2</v>
      </c>
      <c r="V174" s="5">
        <f t="shared" si="181"/>
        <v>2.9501107438155532</v>
      </c>
      <c r="W174" s="5">
        <f t="shared" si="182"/>
        <v>0.3895547355705582</v>
      </c>
      <c r="X174" s="5">
        <f t="shared" si="183"/>
        <v>0.34112748995075981</v>
      </c>
      <c r="Y174" s="5">
        <f t="shared" si="184"/>
        <v>8.64888106285456</v>
      </c>
      <c r="Z174" s="12">
        <f t="shared" si="185"/>
        <v>4.5205550599332014</v>
      </c>
      <c r="AA174" s="12">
        <f t="shared" si="186"/>
        <v>4.4470541884382726</v>
      </c>
      <c r="AB174" s="12">
        <f t="shared" si="187"/>
        <v>5.8518612919311673E-2</v>
      </c>
      <c r="AC174" s="1">
        <f t="shared" si="188"/>
        <v>0.87897412825335941</v>
      </c>
      <c r="AD174" s="1">
        <f t="shared" si="189"/>
        <v>0.24544460129333676</v>
      </c>
      <c r="AE174" s="12">
        <f t="shared" si="190"/>
        <v>0.81642397642269393</v>
      </c>
      <c r="AF174" s="5">
        <f t="shared" si="191"/>
        <v>0.56458807308182291</v>
      </c>
      <c r="AG174" s="5">
        <f t="shared" si="192"/>
        <v>0.28229403654091145</v>
      </c>
      <c r="AH174" s="5">
        <v>0.29644330000000002</v>
      </c>
      <c r="AI174" s="5">
        <f t="shared" si="193"/>
        <v>0.21573945445630405</v>
      </c>
      <c r="AJ174" s="5">
        <f t="shared" si="194"/>
        <v>0.33729358120340941</v>
      </c>
      <c r="AK174" s="5">
        <v>5.188868E-2</v>
      </c>
      <c r="AL174" s="5">
        <f t="shared" si="195"/>
        <v>4.2523886853698165E-2</v>
      </c>
      <c r="AM174" s="5">
        <f t="shared" si="196"/>
        <v>3.8876902223591706E-2</v>
      </c>
      <c r="AN174" s="13">
        <f t="shared" si="197"/>
        <v>4.6655201593951597E-2</v>
      </c>
      <c r="AO174" s="13">
        <f t="shared" si="198"/>
        <v>2.3327600796975798E-2</v>
      </c>
      <c r="AP174" s="13">
        <f t="shared" si="199"/>
        <v>2.4496836865825662E-2</v>
      </c>
      <c r="AQ174" s="13">
        <f t="shared" si="200"/>
        <v>1.7827807952948523E-2</v>
      </c>
      <c r="AR174" s="13">
        <f t="shared" si="201"/>
        <v>2.7872533582745978E-2</v>
      </c>
      <c r="AS174" s="13">
        <f t="shared" si="202"/>
        <v>4.2878639157742154E-3</v>
      </c>
      <c r="AT174" s="13">
        <f t="shared" si="203"/>
        <v>3.513996501711701E-3</v>
      </c>
      <c r="AU174" s="14">
        <f t="shared" si="204"/>
        <v>3.21262491552341E-3</v>
      </c>
    </row>
    <row r="175" spans="1:47" x14ac:dyDescent="0.35">
      <c r="A175" s="5">
        <v>7.4999999999999997E-2</v>
      </c>
      <c r="B175" s="5">
        <v>0.02</v>
      </c>
      <c r="C175" s="5">
        <f t="shared" si="172"/>
        <v>0.15</v>
      </c>
      <c r="D175" s="5">
        <v>9.81</v>
      </c>
      <c r="E175" s="5">
        <v>1000</v>
      </c>
      <c r="F175" s="5">
        <v>2650</v>
      </c>
      <c r="G175" s="5">
        <v>1.65</v>
      </c>
      <c r="H175" s="5">
        <v>9.9999999999999995E-7</v>
      </c>
      <c r="I175" s="12"/>
      <c r="J175" s="12"/>
      <c r="K175" s="12"/>
      <c r="L175" s="12">
        <f t="shared" si="205"/>
        <v>265.82665986180939</v>
      </c>
      <c r="M175" s="5">
        <f t="shared" si="173"/>
        <v>1.354875942211057</v>
      </c>
      <c r="N175" s="5">
        <f t="shared" si="174"/>
        <v>0.10948492462311572</v>
      </c>
      <c r="O175" s="12">
        <f t="shared" si="175"/>
        <v>0.21896984924623145</v>
      </c>
      <c r="P175" s="5">
        <f t="shared" si="176"/>
        <v>1897.1962050160116</v>
      </c>
      <c r="Q175" s="5">
        <v>4.7E-2</v>
      </c>
      <c r="R175" s="5">
        <f t="shared" si="177"/>
        <v>5.5131715547597548E-2</v>
      </c>
      <c r="S175" s="5">
        <f t="shared" si="178"/>
        <v>5.6000000000000001E-2</v>
      </c>
      <c r="T175" s="5">
        <f t="shared" si="179"/>
        <v>7.977443845417484E-2</v>
      </c>
      <c r="U175" s="5">
        <f t="shared" si="180"/>
        <v>8.7074722341604224E-2</v>
      </c>
      <c r="V175" s="5">
        <f t="shared" si="181"/>
        <v>2.9717583077418568</v>
      </c>
      <c r="W175" s="5">
        <f t="shared" si="182"/>
        <v>0.3895547355705582</v>
      </c>
      <c r="X175" s="5">
        <f t="shared" si="183"/>
        <v>0.34112748995075981</v>
      </c>
      <c r="Y175" s="5">
        <f t="shared" si="184"/>
        <v>8.6625893953415254</v>
      </c>
      <c r="Z175" s="12">
        <f t="shared" si="185"/>
        <v>4.5205550599332014</v>
      </c>
      <c r="AA175" s="12">
        <f t="shared" si="186"/>
        <v>4.4662908006244084</v>
      </c>
      <c r="AB175" s="12">
        <f t="shared" si="187"/>
        <v>5.8518612919311673E-2</v>
      </c>
      <c r="AC175" s="1">
        <f t="shared" si="188"/>
        <v>0.88761413267268208</v>
      </c>
      <c r="AD175" s="1">
        <f t="shared" si="189"/>
        <v>0.24625843851836207</v>
      </c>
      <c r="AE175" s="12">
        <f t="shared" si="190"/>
        <v>0.81642397642269393</v>
      </c>
      <c r="AF175" s="5">
        <f t="shared" si="191"/>
        <v>0.57051681997869619</v>
      </c>
      <c r="AG175" s="5">
        <f t="shared" si="192"/>
        <v>0.28525840998934809</v>
      </c>
      <c r="AH175" s="5">
        <v>0.3007165</v>
      </c>
      <c r="AI175" s="5">
        <f t="shared" si="193"/>
        <v>0.21858247031880496</v>
      </c>
      <c r="AJ175" s="5">
        <f t="shared" si="194"/>
        <v>0.34286937822645353</v>
      </c>
      <c r="AK175" s="5">
        <v>5.2689880000000001E-2</v>
      </c>
      <c r="AL175" s="5">
        <f t="shared" si="195"/>
        <v>4.3318390095264919E-2</v>
      </c>
      <c r="AM175" s="5">
        <f t="shared" si="196"/>
        <v>3.9660645357340304E-2</v>
      </c>
      <c r="AN175" s="13">
        <f t="shared" si="197"/>
        <v>4.7145128489082887E-2</v>
      </c>
      <c r="AO175" s="13">
        <f t="shared" si="198"/>
        <v>2.3572564244541443E-2</v>
      </c>
      <c r="AP175" s="13">
        <f t="shared" si="199"/>
        <v>2.4849956276164993E-2</v>
      </c>
      <c r="AQ175" s="13">
        <f t="shared" si="200"/>
        <v>1.8062742916196601E-2</v>
      </c>
      <c r="AR175" s="13">
        <f t="shared" si="201"/>
        <v>2.8333294173626147E-2</v>
      </c>
      <c r="AS175" s="13">
        <f t="shared" si="202"/>
        <v>4.3540717393171988E-3</v>
      </c>
      <c r="AT175" s="13">
        <f t="shared" si="203"/>
        <v>3.5796509330921046E-3</v>
      </c>
      <c r="AU175" s="14">
        <f t="shared" si="204"/>
        <v>3.277390176509745E-3</v>
      </c>
    </row>
    <row r="176" spans="1:47" x14ac:dyDescent="0.35">
      <c r="A176" s="5">
        <v>7.4999999999999997E-2</v>
      </c>
      <c r="B176" s="5">
        <v>0.02</v>
      </c>
      <c r="C176" s="5">
        <f t="shared" si="172"/>
        <v>0.15</v>
      </c>
      <c r="D176" s="5">
        <v>9.81</v>
      </c>
      <c r="E176" s="5">
        <v>1000</v>
      </c>
      <c r="F176" s="5">
        <v>2650</v>
      </c>
      <c r="G176" s="5">
        <v>1.65</v>
      </c>
      <c r="H176" s="5">
        <v>9.9999999999999995E-7</v>
      </c>
      <c r="I176" s="12"/>
      <c r="J176" s="12"/>
      <c r="K176" s="12"/>
      <c r="L176" s="12">
        <f t="shared" si="205"/>
        <v>267.27551429020133</v>
      </c>
      <c r="M176" s="5">
        <f t="shared" si="173"/>
        <v>1.3622605213567855</v>
      </c>
      <c r="N176" s="5">
        <f t="shared" si="174"/>
        <v>0.11008165829145743</v>
      </c>
      <c r="O176" s="12">
        <f t="shared" si="175"/>
        <v>0.22016331658291485</v>
      </c>
      <c r="P176" s="5">
        <f t="shared" si="176"/>
        <v>1897.1962050160116</v>
      </c>
      <c r="Q176" s="5">
        <v>4.7E-2</v>
      </c>
      <c r="R176" s="5">
        <f t="shared" si="177"/>
        <v>5.5131715547597548E-2</v>
      </c>
      <c r="S176" s="5">
        <f t="shared" si="178"/>
        <v>5.6000000000000001E-2</v>
      </c>
      <c r="T176" s="5">
        <f t="shared" si="179"/>
        <v>7.977443845417484E-2</v>
      </c>
      <c r="U176" s="5">
        <f t="shared" si="180"/>
        <v>8.7074722341604224E-2</v>
      </c>
      <c r="V176" s="5">
        <f t="shared" si="181"/>
        <v>2.9934058716681604</v>
      </c>
      <c r="W176" s="5">
        <f t="shared" si="182"/>
        <v>0.3895547355705582</v>
      </c>
      <c r="X176" s="5">
        <f t="shared" si="183"/>
        <v>0.34112748995075981</v>
      </c>
      <c r="Y176" s="5">
        <f t="shared" si="184"/>
        <v>8.6761999586984668</v>
      </c>
      <c r="Z176" s="12">
        <f t="shared" si="185"/>
        <v>4.5205550599332014</v>
      </c>
      <c r="AA176" s="12">
        <f t="shared" si="186"/>
        <v>4.4854822198553617</v>
      </c>
      <c r="AB176" s="12">
        <f t="shared" si="187"/>
        <v>5.8518612919311673E-2</v>
      </c>
      <c r="AC176" s="1">
        <f t="shared" si="188"/>
        <v>0.89628678035425702</v>
      </c>
      <c r="AD176" s="1">
        <f t="shared" si="189"/>
        <v>0.24706584623514793</v>
      </c>
      <c r="AE176" s="12">
        <f t="shared" si="190"/>
        <v>0.81642397642269393</v>
      </c>
      <c r="AF176" s="5">
        <f t="shared" si="191"/>
        <v>0.57646617542752809</v>
      </c>
      <c r="AG176" s="5">
        <f t="shared" si="192"/>
        <v>0.28823308771376405</v>
      </c>
      <c r="AH176" s="5">
        <v>0.30501790000000001</v>
      </c>
      <c r="AI176" s="5">
        <f t="shared" si="193"/>
        <v>0.22144185185760068</v>
      </c>
      <c r="AJ176" s="5">
        <f t="shared" si="194"/>
        <v>0.34850628807826045</v>
      </c>
      <c r="AK176" s="5">
        <v>5.3497509999999998E-2</v>
      </c>
      <c r="AL176" s="5">
        <f t="shared" si="195"/>
        <v>4.4119710043246191E-2</v>
      </c>
      <c r="AM176" s="5">
        <f t="shared" si="196"/>
        <v>4.0451885351523449E-2</v>
      </c>
      <c r="AN176" s="13">
        <f t="shared" si="197"/>
        <v>4.7636758388921563E-2</v>
      </c>
      <c r="AO176" s="13">
        <f t="shared" si="198"/>
        <v>2.3818379194460781E-2</v>
      </c>
      <c r="AP176" s="13">
        <f t="shared" si="199"/>
        <v>2.5205406016788792E-2</v>
      </c>
      <c r="AQ176" s="13">
        <f t="shared" si="200"/>
        <v>1.8299030270618282E-2</v>
      </c>
      <c r="AR176" s="13">
        <f t="shared" si="201"/>
        <v>2.8799104873571398E-2</v>
      </c>
      <c r="AS176" s="13">
        <f t="shared" si="202"/>
        <v>4.4208109112193689E-3</v>
      </c>
      <c r="AT176" s="13">
        <f t="shared" si="203"/>
        <v>3.6458686686355601E-3</v>
      </c>
      <c r="AU176" s="14">
        <f t="shared" si="204"/>
        <v>3.3427749467481727E-3</v>
      </c>
    </row>
    <row r="177" spans="1:47" x14ac:dyDescent="0.35">
      <c r="A177" s="5">
        <v>7.4999999999999997E-2</v>
      </c>
      <c r="B177" s="5">
        <v>0.02</v>
      </c>
      <c r="C177" s="5">
        <f t="shared" si="172"/>
        <v>0.15</v>
      </c>
      <c r="D177" s="5">
        <v>9.81</v>
      </c>
      <c r="E177" s="5">
        <v>1000</v>
      </c>
      <c r="F177" s="5">
        <v>2650</v>
      </c>
      <c r="G177" s="5">
        <v>1.65</v>
      </c>
      <c r="H177" s="5">
        <v>9.9999999999999995E-7</v>
      </c>
      <c r="I177" s="12"/>
      <c r="J177" s="12"/>
      <c r="K177" s="12"/>
      <c r="L177" s="12">
        <f t="shared" si="205"/>
        <v>268.72436871859327</v>
      </c>
      <c r="M177" s="5">
        <f t="shared" si="173"/>
        <v>1.3696451005025141</v>
      </c>
      <c r="N177" s="5">
        <f t="shared" si="174"/>
        <v>0.11067839195979913</v>
      </c>
      <c r="O177" s="12">
        <f t="shared" si="175"/>
        <v>0.22135678391959826</v>
      </c>
      <c r="P177" s="5">
        <f t="shared" si="176"/>
        <v>1897.1962050160116</v>
      </c>
      <c r="Q177" s="5">
        <v>4.7E-2</v>
      </c>
      <c r="R177" s="5">
        <f t="shared" si="177"/>
        <v>5.5131715547597548E-2</v>
      </c>
      <c r="S177" s="5">
        <f t="shared" si="178"/>
        <v>5.6000000000000001E-2</v>
      </c>
      <c r="T177" s="5">
        <f t="shared" si="179"/>
        <v>7.977443845417484E-2</v>
      </c>
      <c r="U177" s="5">
        <f t="shared" si="180"/>
        <v>8.7074722341604224E-2</v>
      </c>
      <c r="V177" s="5">
        <f t="shared" si="181"/>
        <v>3.0150534355944636</v>
      </c>
      <c r="W177" s="5">
        <f t="shared" si="182"/>
        <v>0.3895547355705582</v>
      </c>
      <c r="X177" s="5">
        <f t="shared" si="183"/>
        <v>0.34112748995075981</v>
      </c>
      <c r="Y177" s="5">
        <f t="shared" si="184"/>
        <v>8.6897140434613913</v>
      </c>
      <c r="Z177" s="12">
        <f t="shared" si="185"/>
        <v>4.5205550599332014</v>
      </c>
      <c r="AA177" s="12">
        <f t="shared" si="186"/>
        <v>4.5046288174168492</v>
      </c>
      <c r="AB177" s="12">
        <f t="shared" si="187"/>
        <v>5.8518612919311673E-2</v>
      </c>
      <c r="AC177" s="1">
        <f t="shared" si="188"/>
        <v>0.90499199903311833</v>
      </c>
      <c r="AD177" s="1">
        <f t="shared" si="189"/>
        <v>0.24786690083535137</v>
      </c>
      <c r="AE177" s="12">
        <f t="shared" si="190"/>
        <v>0.81642397642269393</v>
      </c>
      <c r="AF177" s="5">
        <f t="shared" si="191"/>
        <v>0.58243606828607575</v>
      </c>
      <c r="AG177" s="5">
        <f t="shared" si="192"/>
        <v>0.29121803414303787</v>
      </c>
      <c r="AH177" s="5">
        <v>0.3093475</v>
      </c>
      <c r="AI177" s="5">
        <f t="shared" si="193"/>
        <v>0.22431756208112835</v>
      </c>
      <c r="AJ177" s="5">
        <f t="shared" si="194"/>
        <v>0.35420464384653699</v>
      </c>
      <c r="AK177" s="5">
        <v>5.4311579999999998E-2</v>
      </c>
      <c r="AL177" s="5">
        <f t="shared" si="195"/>
        <v>4.4927830665933165E-2</v>
      </c>
      <c r="AM177" s="5">
        <f t="shared" si="196"/>
        <v>4.1250593818680362E-2</v>
      </c>
      <c r="AN177" s="13">
        <f t="shared" si="197"/>
        <v>4.8130085414569639E-2</v>
      </c>
      <c r="AO177" s="13">
        <f t="shared" si="198"/>
        <v>2.4065042707284819E-2</v>
      </c>
      <c r="AP177" s="13">
        <f t="shared" si="199"/>
        <v>2.5563186087697049E-2</v>
      </c>
      <c r="AQ177" s="13">
        <f t="shared" si="200"/>
        <v>1.8536666959385221E-2</v>
      </c>
      <c r="AR177" s="13">
        <f t="shared" si="201"/>
        <v>2.9269993207559405E-2</v>
      </c>
      <c r="AS177" s="13">
        <f t="shared" si="202"/>
        <v>4.4880822578389845E-3</v>
      </c>
      <c r="AT177" s="13">
        <f t="shared" si="203"/>
        <v>3.7126483835485712E-3</v>
      </c>
      <c r="AU177" s="14">
        <f t="shared" si="204"/>
        <v>3.4087768804174326E-3</v>
      </c>
    </row>
    <row r="178" spans="1:47" x14ac:dyDescent="0.35">
      <c r="A178" s="5">
        <v>7.4999999999999997E-2</v>
      </c>
      <c r="B178" s="5">
        <v>0.02</v>
      </c>
      <c r="C178" s="5">
        <f t="shared" si="172"/>
        <v>0.15</v>
      </c>
      <c r="D178" s="5">
        <v>9.81</v>
      </c>
      <c r="E178" s="5">
        <v>1000</v>
      </c>
      <c r="F178" s="5">
        <v>2650</v>
      </c>
      <c r="G178" s="5">
        <v>1.65</v>
      </c>
      <c r="H178" s="5">
        <v>9.9999999999999995E-7</v>
      </c>
      <c r="I178" s="12"/>
      <c r="J178" s="12"/>
      <c r="K178" s="12"/>
      <c r="L178" s="12">
        <f t="shared" si="205"/>
        <v>270.17322314698521</v>
      </c>
      <c r="M178" s="5">
        <f t="shared" si="173"/>
        <v>1.3770296796482426</v>
      </c>
      <c r="N178" s="5">
        <f t="shared" si="174"/>
        <v>0.11127512562814082</v>
      </c>
      <c r="O178" s="12">
        <f t="shared" si="175"/>
        <v>0.22255025125628164</v>
      </c>
      <c r="P178" s="5">
        <f t="shared" si="176"/>
        <v>1897.1962050160116</v>
      </c>
      <c r="Q178" s="5">
        <v>4.7E-2</v>
      </c>
      <c r="R178" s="5">
        <f t="shared" si="177"/>
        <v>5.5131715547597548E-2</v>
      </c>
      <c r="S178" s="5">
        <f t="shared" si="178"/>
        <v>5.6000000000000001E-2</v>
      </c>
      <c r="T178" s="5">
        <f t="shared" si="179"/>
        <v>7.977443845417484E-2</v>
      </c>
      <c r="U178" s="5">
        <f t="shared" si="180"/>
        <v>8.7074722341604224E-2</v>
      </c>
      <c r="V178" s="5">
        <f t="shared" si="181"/>
        <v>3.0367009995207672</v>
      </c>
      <c r="W178" s="5">
        <f t="shared" si="182"/>
        <v>0.3895547355705582</v>
      </c>
      <c r="X178" s="5">
        <f t="shared" si="183"/>
        <v>0.34112748995075981</v>
      </c>
      <c r="Y178" s="5">
        <f t="shared" si="184"/>
        <v>8.7031329171891212</v>
      </c>
      <c r="Z178" s="12">
        <f t="shared" si="185"/>
        <v>4.5205550599332014</v>
      </c>
      <c r="AA178" s="12">
        <f t="shared" si="186"/>
        <v>4.5237309601276712</v>
      </c>
      <c r="AB178" s="12">
        <f t="shared" si="187"/>
        <v>5.8518612919311673E-2</v>
      </c>
      <c r="AC178" s="1">
        <f t="shared" si="188"/>
        <v>0.91372971715073292</v>
      </c>
      <c r="AD178" s="1">
        <f t="shared" si="189"/>
        <v>0.24866167755360621</v>
      </c>
      <c r="AE178" s="12">
        <f t="shared" si="190"/>
        <v>0.81642397642269393</v>
      </c>
      <c r="AF178" s="5">
        <f t="shared" si="191"/>
        <v>0.58842642814381563</v>
      </c>
      <c r="AG178" s="5">
        <f t="shared" si="192"/>
        <v>0.29421321407190781</v>
      </c>
      <c r="AH178" s="5">
        <v>0.31370510000000001</v>
      </c>
      <c r="AI178" s="5">
        <f t="shared" si="193"/>
        <v>0.22720956429728337</v>
      </c>
      <c r="AJ178" s="5">
        <f t="shared" si="194"/>
        <v>0.35996477861898996</v>
      </c>
      <c r="AK178" s="5">
        <v>5.5132100000000003E-2</v>
      </c>
      <c r="AL178" s="5">
        <f t="shared" si="195"/>
        <v>4.5742736802546119E-2</v>
      </c>
      <c r="AM178" s="5">
        <f t="shared" si="196"/>
        <v>4.2056743091227117E-2</v>
      </c>
      <c r="AN178" s="13">
        <f t="shared" si="197"/>
        <v>4.8625103747595363E-2</v>
      </c>
      <c r="AO178" s="13">
        <f t="shared" si="198"/>
        <v>2.4312551873797682E-2</v>
      </c>
      <c r="AP178" s="13">
        <f t="shared" si="199"/>
        <v>2.5923279961724638E-2</v>
      </c>
      <c r="AQ178" s="13">
        <f t="shared" si="200"/>
        <v>1.8775649950415061E-2</v>
      </c>
      <c r="AR178" s="13">
        <f t="shared" si="201"/>
        <v>2.9745986700567849E-2</v>
      </c>
      <c r="AS178" s="13">
        <f t="shared" si="202"/>
        <v>4.5558866055343027E-3</v>
      </c>
      <c r="AT178" s="13">
        <f t="shared" si="203"/>
        <v>3.779988825007588E-3</v>
      </c>
      <c r="AU178" s="14">
        <f t="shared" si="204"/>
        <v>3.4753936911838825E-3</v>
      </c>
    </row>
    <row r="179" spans="1:47" x14ac:dyDescent="0.35">
      <c r="A179" s="5">
        <v>7.4999999999999997E-2</v>
      </c>
      <c r="B179" s="5">
        <v>0.02</v>
      </c>
      <c r="C179" s="5">
        <f t="shared" si="172"/>
        <v>0.15</v>
      </c>
      <c r="D179" s="5">
        <v>9.81</v>
      </c>
      <c r="E179" s="5">
        <v>1000</v>
      </c>
      <c r="F179" s="5">
        <v>2650</v>
      </c>
      <c r="G179" s="5">
        <v>1.65</v>
      </c>
      <c r="H179" s="5">
        <v>9.9999999999999995E-7</v>
      </c>
      <c r="I179" s="12"/>
      <c r="J179" s="12"/>
      <c r="K179" s="12"/>
      <c r="L179" s="12">
        <f t="shared" si="205"/>
        <v>271.62207757537715</v>
      </c>
      <c r="M179" s="5">
        <f t="shared" si="173"/>
        <v>1.3844142587939712</v>
      </c>
      <c r="N179" s="5">
        <f t="shared" si="174"/>
        <v>0.11187185929648252</v>
      </c>
      <c r="O179" s="12">
        <f t="shared" si="175"/>
        <v>0.22374371859296505</v>
      </c>
      <c r="P179" s="5">
        <f t="shared" si="176"/>
        <v>1897.1962050160116</v>
      </c>
      <c r="Q179" s="5">
        <v>4.7E-2</v>
      </c>
      <c r="R179" s="5">
        <f t="shared" si="177"/>
        <v>5.5131715547597548E-2</v>
      </c>
      <c r="S179" s="5">
        <f t="shared" si="178"/>
        <v>5.6000000000000001E-2</v>
      </c>
      <c r="T179" s="5">
        <f t="shared" si="179"/>
        <v>7.977443845417484E-2</v>
      </c>
      <c r="U179" s="5">
        <f t="shared" si="180"/>
        <v>8.7074722341604224E-2</v>
      </c>
      <c r="V179" s="5">
        <f t="shared" si="181"/>
        <v>3.0583485634470708</v>
      </c>
      <c r="W179" s="5">
        <f t="shared" si="182"/>
        <v>0.3895547355705582</v>
      </c>
      <c r="X179" s="5">
        <f t="shared" si="183"/>
        <v>0.34112748995075981</v>
      </c>
      <c r="Y179" s="5">
        <f t="shared" si="184"/>
        <v>8.7164578249594591</v>
      </c>
      <c r="Z179" s="12">
        <f t="shared" si="185"/>
        <v>4.5205550599332014</v>
      </c>
      <c r="AA179" s="12">
        <f t="shared" si="186"/>
        <v>4.5427890104002904</v>
      </c>
      <c r="AB179" s="12">
        <f t="shared" si="187"/>
        <v>5.8518612919311673E-2</v>
      </c>
      <c r="AC179" s="1">
        <f t="shared" si="188"/>
        <v>0.92249986384311067</v>
      </c>
      <c r="AD179" s="1">
        <f t="shared" si="189"/>
        <v>0.2494502504871827</v>
      </c>
      <c r="AE179" s="12">
        <f t="shared" si="190"/>
        <v>0.81642397642269393</v>
      </c>
      <c r="AF179" s="5">
        <f t="shared" si="191"/>
        <v>0.59443718530948697</v>
      </c>
      <c r="AG179" s="5">
        <f t="shared" si="192"/>
        <v>0.29721859265474349</v>
      </c>
      <c r="AH179" s="5">
        <v>0.31809080000000001</v>
      </c>
      <c r="AI179" s="5">
        <f t="shared" si="193"/>
        <v>0.23011782211005588</v>
      </c>
      <c r="AJ179" s="5">
        <f t="shared" si="194"/>
        <v>0.3657870254833267</v>
      </c>
      <c r="AK179" s="5">
        <v>5.5959059999999998E-2</v>
      </c>
      <c r="AL179" s="5">
        <f t="shared" si="195"/>
        <v>4.6564414153397765E-2</v>
      </c>
      <c r="AM179" s="5">
        <f t="shared" si="196"/>
        <v>4.2870306237413142E-2</v>
      </c>
      <c r="AN179" s="13">
        <f t="shared" si="197"/>
        <v>4.9121807629003859E-2</v>
      </c>
      <c r="AO179" s="13">
        <f t="shared" si="198"/>
        <v>2.456090381450193E-2</v>
      </c>
      <c r="AP179" s="13">
        <f t="shared" si="199"/>
        <v>2.6285695902454116E-2</v>
      </c>
      <c r="AQ179" s="13">
        <f t="shared" si="200"/>
        <v>1.9015976236093472E-2</v>
      </c>
      <c r="AR179" s="13">
        <f t="shared" si="201"/>
        <v>3.0227112877574455E-2</v>
      </c>
      <c r="AS179" s="13">
        <f t="shared" si="202"/>
        <v>4.6242231279470646E-3</v>
      </c>
      <c r="AT179" s="13">
        <f t="shared" si="203"/>
        <v>3.8478888113461442E-3</v>
      </c>
      <c r="AU179" s="14">
        <f t="shared" si="204"/>
        <v>3.5426231535200759E-3</v>
      </c>
    </row>
    <row r="180" spans="1:47" x14ac:dyDescent="0.35">
      <c r="A180" s="5">
        <v>7.4999999999999997E-2</v>
      </c>
      <c r="B180" s="5">
        <v>0.02</v>
      </c>
      <c r="C180" s="5">
        <f t="shared" si="172"/>
        <v>0.15</v>
      </c>
      <c r="D180" s="5">
        <v>9.81</v>
      </c>
      <c r="E180" s="5">
        <v>1000</v>
      </c>
      <c r="F180" s="5">
        <v>2650</v>
      </c>
      <c r="G180" s="5">
        <v>1.65</v>
      </c>
      <c r="H180" s="5">
        <v>9.9999999999999995E-7</v>
      </c>
      <c r="I180" s="12"/>
      <c r="J180" s="12"/>
      <c r="K180" s="12"/>
      <c r="L180" s="12">
        <f t="shared" si="205"/>
        <v>273.07093200376909</v>
      </c>
      <c r="M180" s="5">
        <f t="shared" si="173"/>
        <v>1.3917988379396997</v>
      </c>
      <c r="N180" s="5">
        <f t="shared" si="174"/>
        <v>0.11246859296482423</v>
      </c>
      <c r="O180" s="12">
        <f t="shared" si="175"/>
        <v>0.22493718592964845</v>
      </c>
      <c r="P180" s="5">
        <f t="shared" si="176"/>
        <v>1897.1962050160116</v>
      </c>
      <c r="Q180" s="5">
        <v>4.7E-2</v>
      </c>
      <c r="R180" s="5">
        <f t="shared" si="177"/>
        <v>5.5131715547597548E-2</v>
      </c>
      <c r="S180" s="5">
        <f t="shared" si="178"/>
        <v>5.6000000000000001E-2</v>
      </c>
      <c r="T180" s="5">
        <f t="shared" si="179"/>
        <v>7.977443845417484E-2</v>
      </c>
      <c r="U180" s="5">
        <f t="shared" si="180"/>
        <v>8.7074722341604224E-2</v>
      </c>
      <c r="V180" s="5">
        <f t="shared" si="181"/>
        <v>3.0799961273733745</v>
      </c>
      <c r="W180" s="5">
        <f t="shared" si="182"/>
        <v>0.3895547355705582</v>
      </c>
      <c r="X180" s="5">
        <f t="shared" si="183"/>
        <v>0.34112748995075981</v>
      </c>
      <c r="Y180" s="5">
        <f t="shared" si="184"/>
        <v>8.7296899898530835</v>
      </c>
      <c r="Z180" s="12">
        <f t="shared" si="185"/>
        <v>4.5205550599332014</v>
      </c>
      <c r="AA180" s="12">
        <f t="shared" si="186"/>
        <v>4.56180332630076</v>
      </c>
      <c r="AB180" s="12">
        <f t="shared" si="187"/>
        <v>5.8518612919311673E-2</v>
      </c>
      <c r="AC180" s="1">
        <f t="shared" si="188"/>
        <v>0.93130236892917373</v>
      </c>
      <c r="AD180" s="1">
        <f t="shared" si="189"/>
        <v>0.25023269261533998</v>
      </c>
      <c r="AE180" s="12">
        <f t="shared" si="190"/>
        <v>0.81642397642269393</v>
      </c>
      <c r="AF180" s="5">
        <f t="shared" si="191"/>
        <v>0.60046827079892773</v>
      </c>
      <c r="AG180" s="5">
        <f t="shared" si="192"/>
        <v>0.30023413539946386</v>
      </c>
      <c r="AH180" s="5">
        <v>0.32250450000000003</v>
      </c>
      <c r="AI180" s="5">
        <f t="shared" si="193"/>
        <v>0.23304229941619187</v>
      </c>
      <c r="AJ180" s="5">
        <f t="shared" si="194"/>
        <v>0.37167171752725398</v>
      </c>
      <c r="AK180" s="5">
        <v>5.6792469999999998E-2</v>
      </c>
      <c r="AL180" s="5">
        <f t="shared" si="195"/>
        <v>4.7392849269136998E-2</v>
      </c>
      <c r="AM180" s="5">
        <f t="shared" si="196"/>
        <v>4.3691257075093762E-2</v>
      </c>
      <c r="AN180" s="13">
        <f t="shared" si="197"/>
        <v>4.9620191358231938E-2</v>
      </c>
      <c r="AO180" s="13">
        <f t="shared" si="198"/>
        <v>2.4810095679115969E-2</v>
      </c>
      <c r="AP180" s="13">
        <f t="shared" si="199"/>
        <v>2.6650425646302926E-2</v>
      </c>
      <c r="AQ180" s="13">
        <f t="shared" si="200"/>
        <v>1.9257642832998252E-2</v>
      </c>
      <c r="AR180" s="13">
        <f t="shared" si="201"/>
        <v>3.0713399263556897E-2</v>
      </c>
      <c r="AS180" s="13">
        <f t="shared" si="202"/>
        <v>4.6930926514355282E-3</v>
      </c>
      <c r="AT180" s="13">
        <f t="shared" si="203"/>
        <v>3.9163472311660071E-3</v>
      </c>
      <c r="AU180" s="14">
        <f t="shared" si="204"/>
        <v>3.61046310384287E-3</v>
      </c>
    </row>
    <row r="181" spans="1:47" x14ac:dyDescent="0.35">
      <c r="A181" s="5">
        <v>7.4999999999999997E-2</v>
      </c>
      <c r="B181" s="5">
        <v>0.02</v>
      </c>
      <c r="C181" s="5">
        <f t="shared" si="172"/>
        <v>0.15</v>
      </c>
      <c r="D181" s="5">
        <v>9.81</v>
      </c>
      <c r="E181" s="5">
        <v>1000</v>
      </c>
      <c r="F181" s="5">
        <v>2650</v>
      </c>
      <c r="G181" s="5">
        <v>1.65</v>
      </c>
      <c r="H181" s="5">
        <v>9.9999999999999995E-7</v>
      </c>
      <c r="I181" s="12"/>
      <c r="J181" s="12"/>
      <c r="K181" s="12"/>
      <c r="L181" s="12">
        <f t="shared" si="205"/>
        <v>274.51978643216103</v>
      </c>
      <c r="M181" s="5">
        <f t="shared" si="173"/>
        <v>1.3991834170854283</v>
      </c>
      <c r="N181" s="5">
        <f t="shared" si="174"/>
        <v>0.11306532663316593</v>
      </c>
      <c r="O181" s="12">
        <f t="shared" si="175"/>
        <v>0.22613065326633186</v>
      </c>
      <c r="P181" s="5">
        <f t="shared" si="176"/>
        <v>1897.1962050160116</v>
      </c>
      <c r="Q181" s="5">
        <v>4.7E-2</v>
      </c>
      <c r="R181" s="5">
        <f t="shared" si="177"/>
        <v>5.5131715547597548E-2</v>
      </c>
      <c r="S181" s="5">
        <f t="shared" si="178"/>
        <v>5.6000000000000001E-2</v>
      </c>
      <c r="T181" s="5">
        <f t="shared" si="179"/>
        <v>7.977443845417484E-2</v>
      </c>
      <c r="U181" s="5">
        <f t="shared" si="180"/>
        <v>8.7074722341604224E-2</v>
      </c>
      <c r="V181" s="5">
        <f t="shared" si="181"/>
        <v>3.1016436912996781</v>
      </c>
      <c r="W181" s="5">
        <f t="shared" si="182"/>
        <v>0.3895547355705582</v>
      </c>
      <c r="X181" s="5">
        <f t="shared" si="183"/>
        <v>0.34112748995075981</v>
      </c>
      <c r="Y181" s="5">
        <f t="shared" si="184"/>
        <v>8.7428306134255198</v>
      </c>
      <c r="Z181" s="12">
        <f t="shared" si="185"/>
        <v>4.5205550599332014</v>
      </c>
      <c r="AA181" s="12">
        <f t="shared" si="186"/>
        <v>4.580774261608024</v>
      </c>
      <c r="AB181" s="12">
        <f t="shared" si="187"/>
        <v>5.8518612919311673E-2</v>
      </c>
      <c r="AC181" s="1">
        <f t="shared" si="188"/>
        <v>0.94013716289938798</v>
      </c>
      <c r="AD181" s="1">
        <f t="shared" si="189"/>
        <v>0.25100907581837423</v>
      </c>
      <c r="AE181" s="12">
        <f t="shared" si="190"/>
        <v>0.81642397642269393</v>
      </c>
      <c r="AF181" s="5">
        <f t="shared" si="191"/>
        <v>0.60651961632319829</v>
      </c>
      <c r="AG181" s="5">
        <f t="shared" si="192"/>
        <v>0.30325980816159914</v>
      </c>
      <c r="AH181" s="5">
        <v>0.32694620000000002</v>
      </c>
      <c r="AI181" s="5">
        <f t="shared" si="193"/>
        <v>0.23598296040188371</v>
      </c>
      <c r="AJ181" s="5">
        <f t="shared" si="194"/>
        <v>0.3776191878384787</v>
      </c>
      <c r="AK181" s="5">
        <v>5.7632330000000002E-2</v>
      </c>
      <c r="AL181" s="5">
        <f t="shared" si="195"/>
        <v>4.8228029539163865E-2</v>
      </c>
      <c r="AM181" s="5">
        <f t="shared" si="196"/>
        <v>4.4519570183426775E-2</v>
      </c>
      <c r="AN181" s="13">
        <f t="shared" si="197"/>
        <v>5.0120249292166692E-2</v>
      </c>
      <c r="AO181" s="13">
        <f t="shared" si="198"/>
        <v>2.5060124646083346E-2</v>
      </c>
      <c r="AP181" s="13">
        <f t="shared" si="199"/>
        <v>2.7017469193271058E-2</v>
      </c>
      <c r="AQ181" s="13">
        <f t="shared" si="200"/>
        <v>1.9500646781625833E-2</v>
      </c>
      <c r="AR181" s="13">
        <f t="shared" si="201"/>
        <v>3.120487338349286E-2</v>
      </c>
      <c r="AS181" s="13">
        <f t="shared" si="202"/>
        <v>4.7624951759996943E-3</v>
      </c>
      <c r="AT181" s="13">
        <f t="shared" si="203"/>
        <v>3.9853630423798353E-3</v>
      </c>
      <c r="AU181" s="14">
        <f t="shared" si="204"/>
        <v>3.6789114414799789E-3</v>
      </c>
    </row>
    <row r="182" spans="1:47" x14ac:dyDescent="0.35">
      <c r="A182" s="5">
        <v>7.4999999999999997E-2</v>
      </c>
      <c r="B182" s="5">
        <v>0.02</v>
      </c>
      <c r="C182" s="5">
        <f t="shared" si="172"/>
        <v>0.15</v>
      </c>
      <c r="D182" s="5">
        <v>9.81</v>
      </c>
      <c r="E182" s="5">
        <v>1000</v>
      </c>
      <c r="F182" s="5">
        <v>2650</v>
      </c>
      <c r="G182" s="5">
        <v>1.65</v>
      </c>
      <c r="H182" s="5">
        <v>9.9999999999999995E-7</v>
      </c>
      <c r="I182" s="12"/>
      <c r="J182" s="12"/>
      <c r="K182" s="12"/>
      <c r="L182" s="12">
        <f t="shared" si="205"/>
        <v>275.96864086055297</v>
      </c>
      <c r="M182" s="5">
        <f t="shared" si="173"/>
        <v>1.4065679962311566</v>
      </c>
      <c r="N182" s="5">
        <f t="shared" si="174"/>
        <v>0.11366206030150762</v>
      </c>
      <c r="O182" s="12">
        <f t="shared" si="175"/>
        <v>0.22732412060301524</v>
      </c>
      <c r="P182" s="5">
        <f t="shared" si="176"/>
        <v>1897.1962050160116</v>
      </c>
      <c r="Q182" s="5">
        <v>4.7E-2</v>
      </c>
      <c r="R182" s="5">
        <f t="shared" si="177"/>
        <v>5.5131715547597548E-2</v>
      </c>
      <c r="S182" s="5">
        <f t="shared" si="178"/>
        <v>5.6000000000000001E-2</v>
      </c>
      <c r="T182" s="5">
        <f t="shared" si="179"/>
        <v>7.977443845417484E-2</v>
      </c>
      <c r="U182" s="5">
        <f t="shared" si="180"/>
        <v>8.7074722341604224E-2</v>
      </c>
      <c r="V182" s="5">
        <f t="shared" si="181"/>
        <v>3.1232912552259808</v>
      </c>
      <c r="W182" s="5">
        <f t="shared" si="182"/>
        <v>0.3895547355705582</v>
      </c>
      <c r="X182" s="5">
        <f t="shared" si="183"/>
        <v>0.34112748995075981</v>
      </c>
      <c r="Y182" s="5">
        <f t="shared" si="184"/>
        <v>8.755880876167474</v>
      </c>
      <c r="Z182" s="12">
        <f t="shared" si="185"/>
        <v>4.5205550599332014</v>
      </c>
      <c r="AA182" s="12">
        <f t="shared" si="186"/>
        <v>4.5997021658725474</v>
      </c>
      <c r="AB182" s="12">
        <f t="shared" si="187"/>
        <v>5.8518612919311673E-2</v>
      </c>
      <c r="AC182" s="1">
        <f t="shared" si="188"/>
        <v>0.94900417690464001</v>
      </c>
      <c r="AD182" s="1">
        <f t="shared" si="189"/>
        <v>0.25177947089636649</v>
      </c>
      <c r="AE182" s="12">
        <f t="shared" si="190"/>
        <v>0.81642397642269393</v>
      </c>
      <c r="AF182" s="5">
        <f t="shared" si="191"/>
        <v>0.61259115427698096</v>
      </c>
      <c r="AG182" s="5">
        <f t="shared" si="192"/>
        <v>0.30629557713849048</v>
      </c>
      <c r="AH182" s="5">
        <v>0.33141569999999998</v>
      </c>
      <c r="AI182" s="5">
        <f t="shared" si="193"/>
        <v>0.23893976953949203</v>
      </c>
      <c r="AJ182" s="5">
        <f t="shared" si="194"/>
        <v>0.38362976950470784</v>
      </c>
      <c r="AK182" s="5">
        <v>5.8478660000000002E-2</v>
      </c>
      <c r="AL182" s="5">
        <f t="shared" si="195"/>
        <v>4.9069943179302092E-2</v>
      </c>
      <c r="AM182" s="5">
        <f t="shared" si="196"/>
        <v>4.5355220912600011E-2</v>
      </c>
      <c r="AN182" s="13">
        <f t="shared" si="197"/>
        <v>5.0621975844186866E-2</v>
      </c>
      <c r="AO182" s="13">
        <f t="shared" si="198"/>
        <v>2.5310987922093433E-2</v>
      </c>
      <c r="AP182" s="13">
        <f t="shared" si="199"/>
        <v>2.7386810016193371E-2</v>
      </c>
      <c r="AQ182" s="13">
        <f t="shared" si="200"/>
        <v>1.9744985146120407E-2</v>
      </c>
      <c r="AR182" s="13">
        <f t="shared" si="201"/>
        <v>3.1701562762360046E-2</v>
      </c>
      <c r="AS182" s="13">
        <f t="shared" si="202"/>
        <v>4.8324323543560751E-3</v>
      </c>
      <c r="AT182" s="13">
        <f t="shared" si="203"/>
        <v>4.0549352711924938E-3</v>
      </c>
      <c r="AU182" s="14">
        <f t="shared" si="204"/>
        <v>3.7479661294738211E-3</v>
      </c>
    </row>
    <row r="183" spans="1:47" x14ac:dyDescent="0.35">
      <c r="A183" s="5">
        <v>7.4999999999999997E-2</v>
      </c>
      <c r="B183" s="5">
        <v>0.02</v>
      </c>
      <c r="C183" s="5">
        <f t="shared" si="172"/>
        <v>0.15</v>
      </c>
      <c r="D183" s="5">
        <v>9.81</v>
      </c>
      <c r="E183" s="5">
        <v>1000</v>
      </c>
      <c r="F183" s="5">
        <v>2650</v>
      </c>
      <c r="G183" s="5">
        <v>1.65</v>
      </c>
      <c r="H183" s="5">
        <v>9.9999999999999995E-7</v>
      </c>
      <c r="I183" s="12"/>
      <c r="J183" s="12"/>
      <c r="K183" s="12"/>
      <c r="L183" s="12">
        <f t="shared" si="205"/>
        <v>277.41749528894491</v>
      </c>
      <c r="M183" s="5">
        <f t="shared" si="173"/>
        <v>1.4139525753768851</v>
      </c>
      <c r="N183" s="5">
        <f t="shared" si="174"/>
        <v>0.11425879396984932</v>
      </c>
      <c r="O183" s="12">
        <f t="shared" si="175"/>
        <v>0.22851758793969865</v>
      </c>
      <c r="P183" s="5">
        <f t="shared" si="176"/>
        <v>1897.1962050160116</v>
      </c>
      <c r="Q183" s="5">
        <v>4.7E-2</v>
      </c>
      <c r="R183" s="5">
        <f t="shared" si="177"/>
        <v>5.5131715547597548E-2</v>
      </c>
      <c r="S183" s="5">
        <f t="shared" si="178"/>
        <v>5.6000000000000001E-2</v>
      </c>
      <c r="T183" s="5">
        <f t="shared" si="179"/>
        <v>7.977443845417484E-2</v>
      </c>
      <c r="U183" s="5">
        <f t="shared" si="180"/>
        <v>8.7074722341604224E-2</v>
      </c>
      <c r="V183" s="5">
        <f t="shared" si="181"/>
        <v>3.1449388191522845</v>
      </c>
      <c r="W183" s="5">
        <f t="shared" si="182"/>
        <v>0.3895547355705582</v>
      </c>
      <c r="X183" s="5">
        <f t="shared" si="183"/>
        <v>0.34112748995075981</v>
      </c>
      <c r="Y183" s="5">
        <f t="shared" si="184"/>
        <v>8.7688419379538853</v>
      </c>
      <c r="Z183" s="12">
        <f t="shared" si="185"/>
        <v>4.5205550599332014</v>
      </c>
      <c r="AA183" s="12">
        <f t="shared" si="186"/>
        <v>4.6185873844742877</v>
      </c>
      <c r="AB183" s="12">
        <f t="shared" si="187"/>
        <v>5.8518612919311673E-2</v>
      </c>
      <c r="AC183" s="1">
        <f t="shared" si="188"/>
        <v>0.9579033427453596</v>
      </c>
      <c r="AD183" s="1">
        <f t="shared" si="189"/>
        <v>0.25254394758762522</v>
      </c>
      <c r="AE183" s="12">
        <f t="shared" si="190"/>
        <v>0.81642397642269393</v>
      </c>
      <c r="AF183" s="5">
        <f t="shared" si="191"/>
        <v>0.61868281772725142</v>
      </c>
      <c r="AG183" s="5">
        <f t="shared" si="192"/>
        <v>0.30934140886362571</v>
      </c>
      <c r="AH183" s="5">
        <v>0.33591300000000002</v>
      </c>
      <c r="AI183" s="5">
        <f t="shared" si="193"/>
        <v>0.2419126915842951</v>
      </c>
      <c r="AJ183" s="5">
        <f t="shared" si="194"/>
        <v>0.3897037956136486</v>
      </c>
      <c r="AK183" s="5">
        <v>5.9331460000000003E-2</v>
      </c>
      <c r="AL183" s="5">
        <f t="shared" si="195"/>
        <v>4.9918579218812431E-2</v>
      </c>
      <c r="AM183" s="5">
        <f t="shared" si="196"/>
        <v>4.6198185391696324E-2</v>
      </c>
      <c r="AN183" s="13">
        <f t="shared" si="197"/>
        <v>5.1125365483226742E-2</v>
      </c>
      <c r="AO183" s="13">
        <f t="shared" si="198"/>
        <v>2.5562682741613371E-2</v>
      </c>
      <c r="AP183" s="13">
        <f t="shared" si="199"/>
        <v>2.7758448115069882E-2</v>
      </c>
      <c r="AQ183" s="13">
        <f t="shared" si="200"/>
        <v>1.9990655014005286E-2</v>
      </c>
      <c r="AR183" s="13">
        <f t="shared" si="201"/>
        <v>3.2203494925136154E-2</v>
      </c>
      <c r="AS183" s="13">
        <f t="shared" si="202"/>
        <v>4.9029041865046724E-3</v>
      </c>
      <c r="AT183" s="13">
        <f t="shared" si="203"/>
        <v>4.1250630110278861E-3</v>
      </c>
      <c r="AU183" s="14">
        <f t="shared" si="204"/>
        <v>3.8176251952314489E-3</v>
      </c>
    </row>
    <row r="184" spans="1:47" x14ac:dyDescent="0.35">
      <c r="A184" s="5">
        <v>7.4999999999999997E-2</v>
      </c>
      <c r="B184" s="5">
        <v>0.02</v>
      </c>
      <c r="C184" s="5">
        <f t="shared" si="172"/>
        <v>0.15</v>
      </c>
      <c r="D184" s="5">
        <v>9.81</v>
      </c>
      <c r="E184" s="5">
        <v>1000</v>
      </c>
      <c r="F184" s="5">
        <v>2650</v>
      </c>
      <c r="G184" s="5">
        <v>1.65</v>
      </c>
      <c r="H184" s="5">
        <v>9.9999999999999995E-7</v>
      </c>
      <c r="I184" s="12"/>
      <c r="J184" s="12"/>
      <c r="K184" s="12"/>
      <c r="L184" s="12">
        <f t="shared" si="205"/>
        <v>278.86634971733685</v>
      </c>
      <c r="M184" s="5">
        <f t="shared" si="173"/>
        <v>1.4213371545226137</v>
      </c>
      <c r="N184" s="5">
        <f t="shared" si="174"/>
        <v>0.11485552763819103</v>
      </c>
      <c r="O184" s="12">
        <f t="shared" si="175"/>
        <v>0.22971105527638205</v>
      </c>
      <c r="P184" s="5">
        <f t="shared" si="176"/>
        <v>1897.1962050160116</v>
      </c>
      <c r="Q184" s="5">
        <v>4.7E-2</v>
      </c>
      <c r="R184" s="5">
        <f t="shared" si="177"/>
        <v>5.5131715547597548E-2</v>
      </c>
      <c r="S184" s="5">
        <f t="shared" si="178"/>
        <v>5.6000000000000001E-2</v>
      </c>
      <c r="T184" s="5">
        <f t="shared" si="179"/>
        <v>7.977443845417484E-2</v>
      </c>
      <c r="U184" s="5">
        <f t="shared" si="180"/>
        <v>8.7074722341604224E-2</v>
      </c>
      <c r="V184" s="5">
        <f t="shared" si="181"/>
        <v>3.1665863830785881</v>
      </c>
      <c r="W184" s="5">
        <f t="shared" si="182"/>
        <v>0.3895547355705582</v>
      </c>
      <c r="X184" s="5">
        <f t="shared" si="183"/>
        <v>0.34112748995075981</v>
      </c>
      <c r="Y184" s="5">
        <f t="shared" si="184"/>
        <v>8.7817149384819846</v>
      </c>
      <c r="Z184" s="12">
        <f t="shared" si="185"/>
        <v>4.5205550599332014</v>
      </c>
      <c r="AA184" s="12">
        <f t="shared" si="186"/>
        <v>4.6374302586800074</v>
      </c>
      <c r="AB184" s="12">
        <f t="shared" si="187"/>
        <v>5.8518612919311673E-2</v>
      </c>
      <c r="AC184" s="1">
        <f t="shared" si="188"/>
        <v>0.96683459286088169</v>
      </c>
      <c r="AD184" s="1">
        <f t="shared" si="189"/>
        <v>0.25330257458683103</v>
      </c>
      <c r="AE184" s="12">
        <f t="shared" si="190"/>
        <v>0.81642397642269393</v>
      </c>
      <c r="AF184" s="5">
        <f t="shared" si="191"/>
        <v>0.62479454040220639</v>
      </c>
      <c r="AG184" s="5">
        <f t="shared" si="192"/>
        <v>0.31239727020110319</v>
      </c>
      <c r="AH184" s="5">
        <v>0.34043810000000002</v>
      </c>
      <c r="AI184" s="5">
        <f t="shared" si="193"/>
        <v>0.2449016915712719</v>
      </c>
      <c r="AJ184" s="5">
        <f t="shared" si="194"/>
        <v>0.39584159925300766</v>
      </c>
      <c r="AK184" s="5">
        <v>6.0190720000000003E-2</v>
      </c>
      <c r="AL184" s="5">
        <f t="shared" si="195"/>
        <v>5.0773927486822579E-2</v>
      </c>
      <c r="AM184" s="5">
        <f t="shared" si="196"/>
        <v>4.704844053479796E-2</v>
      </c>
      <c r="AN184" s="13">
        <f t="shared" si="197"/>
        <v>5.163041273286112E-2</v>
      </c>
      <c r="AO184" s="13">
        <f t="shared" si="198"/>
        <v>2.581520636643056E-2</v>
      </c>
      <c r="AP184" s="13">
        <f t="shared" si="199"/>
        <v>2.8132383489900575E-2</v>
      </c>
      <c r="AQ184" s="13">
        <f t="shared" si="200"/>
        <v>2.023765349591709E-2</v>
      </c>
      <c r="AR184" s="13">
        <f t="shared" si="201"/>
        <v>3.2710697396798862E-2</v>
      </c>
      <c r="AS184" s="13">
        <f t="shared" si="202"/>
        <v>4.9739098460872275E-3</v>
      </c>
      <c r="AT184" s="13">
        <f t="shared" si="203"/>
        <v>4.1957454214075814E-3</v>
      </c>
      <c r="AU184" s="14">
        <f t="shared" si="204"/>
        <v>3.8878867310289857E-3</v>
      </c>
    </row>
    <row r="185" spans="1:47" x14ac:dyDescent="0.35">
      <c r="A185" s="5">
        <v>7.4999999999999997E-2</v>
      </c>
      <c r="B185" s="5">
        <v>0.02</v>
      </c>
      <c r="C185" s="5">
        <f t="shared" si="172"/>
        <v>0.15</v>
      </c>
      <c r="D185" s="5">
        <v>9.81</v>
      </c>
      <c r="E185" s="5">
        <v>1000</v>
      </c>
      <c r="F185" s="5">
        <v>2650</v>
      </c>
      <c r="G185" s="5">
        <v>1.65</v>
      </c>
      <c r="H185" s="5">
        <v>9.9999999999999995E-7</v>
      </c>
      <c r="I185" s="12"/>
      <c r="J185" s="12"/>
      <c r="K185" s="12"/>
      <c r="L185" s="12">
        <f t="shared" si="205"/>
        <v>280.31520414572879</v>
      </c>
      <c r="M185" s="5">
        <f t="shared" si="173"/>
        <v>1.4287217336683422</v>
      </c>
      <c r="N185" s="5">
        <f t="shared" si="174"/>
        <v>0.11545226130653273</v>
      </c>
      <c r="O185" s="12">
        <f t="shared" si="175"/>
        <v>0.23090452261306546</v>
      </c>
      <c r="P185" s="5">
        <f t="shared" si="176"/>
        <v>1897.1962050160116</v>
      </c>
      <c r="Q185" s="5">
        <v>4.7E-2</v>
      </c>
      <c r="R185" s="5">
        <f t="shared" si="177"/>
        <v>5.5131715547597548E-2</v>
      </c>
      <c r="S185" s="5">
        <f t="shared" si="178"/>
        <v>5.6000000000000001E-2</v>
      </c>
      <c r="T185" s="5">
        <f t="shared" si="179"/>
        <v>7.977443845417484E-2</v>
      </c>
      <c r="U185" s="5">
        <f t="shared" si="180"/>
        <v>8.7074722341604224E-2</v>
      </c>
      <c r="V185" s="5">
        <f t="shared" si="181"/>
        <v>3.1882339470048926</v>
      </c>
      <c r="W185" s="5">
        <f t="shared" si="182"/>
        <v>0.3895547355705582</v>
      </c>
      <c r="X185" s="5">
        <f t="shared" si="183"/>
        <v>0.34112748995075981</v>
      </c>
      <c r="Y185" s="5">
        <f t="shared" si="184"/>
        <v>8.7945009976986235</v>
      </c>
      <c r="Z185" s="12">
        <f t="shared" si="185"/>
        <v>4.5205550599332014</v>
      </c>
      <c r="AA185" s="12">
        <f t="shared" si="186"/>
        <v>4.6562311256998834</v>
      </c>
      <c r="AB185" s="12">
        <f t="shared" si="187"/>
        <v>5.8518612919311673E-2</v>
      </c>
      <c r="AC185" s="1">
        <f t="shared" si="188"/>
        <v>0.97579786031903293</v>
      </c>
      <c r="AD185" s="1">
        <f t="shared" si="189"/>
        <v>0.25405541956288091</v>
      </c>
      <c r="AE185" s="12">
        <f t="shared" si="190"/>
        <v>0.81642397642269393</v>
      </c>
      <c r="AF185" s="5">
        <f t="shared" si="191"/>
        <v>0.63092625668045133</v>
      </c>
      <c r="AG185" s="5">
        <f t="shared" si="192"/>
        <v>0.31546312834022566</v>
      </c>
      <c r="AH185" s="5">
        <v>0.34499099999999999</v>
      </c>
      <c r="AI185" s="5">
        <f t="shared" si="193"/>
        <v>0.24790673481191339</v>
      </c>
      <c r="AJ185" s="5">
        <f t="shared" si="194"/>
        <v>0.40204351351049222</v>
      </c>
      <c r="AK185" s="5">
        <v>6.1056449999999998E-2</v>
      </c>
      <c r="AL185" s="5">
        <f t="shared" si="195"/>
        <v>5.1635978598247541E-2</v>
      </c>
      <c r="AM185" s="5">
        <f t="shared" si="196"/>
        <v>4.7905964045432133E-2</v>
      </c>
      <c r="AN185" s="13">
        <f t="shared" si="197"/>
        <v>5.2137112170411892E-2</v>
      </c>
      <c r="AO185" s="13">
        <f t="shared" si="198"/>
        <v>2.6068556085205946E-2</v>
      </c>
      <c r="AP185" s="13">
        <f t="shared" si="199"/>
        <v>2.8508616140685453E-2</v>
      </c>
      <c r="AQ185" s="13">
        <f t="shared" si="200"/>
        <v>2.0485977725342233E-2</v>
      </c>
      <c r="AR185" s="13">
        <f t="shared" si="201"/>
        <v>3.3223197702325881E-2</v>
      </c>
      <c r="AS185" s="13">
        <f t="shared" si="202"/>
        <v>5.0454501594619982E-3</v>
      </c>
      <c r="AT185" s="13">
        <f t="shared" si="203"/>
        <v>4.2669817267873321E-3</v>
      </c>
      <c r="AU185" s="14">
        <f t="shared" si="204"/>
        <v>3.9587488943789943E-3</v>
      </c>
    </row>
    <row r="186" spans="1:47" x14ac:dyDescent="0.35">
      <c r="A186" s="5">
        <v>7.4999999999999997E-2</v>
      </c>
      <c r="B186" s="5">
        <v>0.02</v>
      </c>
      <c r="C186" s="5">
        <f t="shared" si="172"/>
        <v>0.15</v>
      </c>
      <c r="D186" s="5">
        <v>9.81</v>
      </c>
      <c r="E186" s="5">
        <v>1000</v>
      </c>
      <c r="F186" s="5">
        <v>2650</v>
      </c>
      <c r="G186" s="5">
        <v>1.65</v>
      </c>
      <c r="H186" s="5">
        <v>9.9999999999999995E-7</v>
      </c>
      <c r="I186" s="12"/>
      <c r="J186" s="12"/>
      <c r="K186" s="12"/>
      <c r="L186" s="12">
        <f t="shared" si="205"/>
        <v>281.76405857412072</v>
      </c>
      <c r="M186" s="5">
        <f t="shared" si="173"/>
        <v>1.4361063128140708</v>
      </c>
      <c r="N186" s="5">
        <f t="shared" si="174"/>
        <v>0.11604899497487442</v>
      </c>
      <c r="O186" s="12">
        <f t="shared" si="175"/>
        <v>0.23209798994974884</v>
      </c>
      <c r="P186" s="5">
        <f t="shared" si="176"/>
        <v>1897.1962050160116</v>
      </c>
      <c r="Q186" s="5">
        <v>4.7E-2</v>
      </c>
      <c r="R186" s="5">
        <f t="shared" si="177"/>
        <v>5.5131715547597548E-2</v>
      </c>
      <c r="S186" s="5">
        <f t="shared" si="178"/>
        <v>5.6000000000000001E-2</v>
      </c>
      <c r="T186" s="5">
        <f t="shared" si="179"/>
        <v>7.977443845417484E-2</v>
      </c>
      <c r="U186" s="5">
        <f t="shared" si="180"/>
        <v>8.7074722341604224E-2</v>
      </c>
      <c r="V186" s="5">
        <f t="shared" si="181"/>
        <v>3.2098815109311953</v>
      </c>
      <c r="W186" s="5">
        <f t="shared" si="182"/>
        <v>0.3895547355705582</v>
      </c>
      <c r="X186" s="5">
        <f t="shared" si="183"/>
        <v>0.34112748995075981</v>
      </c>
      <c r="Y186" s="5">
        <f t="shared" si="184"/>
        <v>8.8072012162172584</v>
      </c>
      <c r="Z186" s="12">
        <f t="shared" si="185"/>
        <v>4.5205550599332014</v>
      </c>
      <c r="AA186" s="12">
        <f t="shared" si="186"/>
        <v>4.6749903187434931</v>
      </c>
      <c r="AB186" s="12">
        <f t="shared" si="187"/>
        <v>5.8518612919311673E-2</v>
      </c>
      <c r="AC186" s="1">
        <f t="shared" si="188"/>
        <v>0.98479307880595424</v>
      </c>
      <c r="AD186" s="1">
        <f t="shared" si="189"/>
        <v>0.25480254917643647</v>
      </c>
      <c r="AE186" s="12">
        <f t="shared" si="190"/>
        <v>0.81642397642269393</v>
      </c>
      <c r="AF186" s="5">
        <f t="shared" si="191"/>
        <v>0.63707790158042843</v>
      </c>
      <c r="AG186" s="5">
        <f t="shared" si="192"/>
        <v>0.31853895079021421</v>
      </c>
      <c r="AH186" s="5">
        <v>0.34957149999999998</v>
      </c>
      <c r="AI186" s="5">
        <f t="shared" si="193"/>
        <v>0.25092778689106843</v>
      </c>
      <c r="AJ186" s="5">
        <f t="shared" si="194"/>
        <v>0.40830987147380887</v>
      </c>
      <c r="AK186" s="5">
        <v>6.1928669999999998E-2</v>
      </c>
      <c r="AL186" s="5">
        <f t="shared" si="195"/>
        <v>5.2504723939268048E-2</v>
      </c>
      <c r="AM186" s="5">
        <f t="shared" si="196"/>
        <v>4.8770734419455467E-2</v>
      </c>
      <c r="AN186" s="13">
        <f t="shared" si="197"/>
        <v>5.2645458426074362E-2</v>
      </c>
      <c r="AO186" s="13">
        <f t="shared" si="198"/>
        <v>2.6322729213037181E-2</v>
      </c>
      <c r="AP186" s="13">
        <f t="shared" si="199"/>
        <v>2.8887129540259383E-2</v>
      </c>
      <c r="AQ186" s="13">
        <f t="shared" si="200"/>
        <v>2.0735624858356286E-2</v>
      </c>
      <c r="AR186" s="13">
        <f t="shared" si="201"/>
        <v>3.3741023366694871E-2</v>
      </c>
      <c r="AS186" s="13">
        <f t="shared" si="202"/>
        <v>5.1175267793454986E-3</v>
      </c>
      <c r="AT186" s="13">
        <f t="shared" si="203"/>
        <v>4.3387712153570698E-3</v>
      </c>
      <c r="AU186" s="14">
        <f t="shared" si="204"/>
        <v>4.0302099082688289E-3</v>
      </c>
    </row>
    <row r="187" spans="1:47" x14ac:dyDescent="0.35">
      <c r="A187" s="5">
        <v>7.4999999999999997E-2</v>
      </c>
      <c r="B187" s="5">
        <v>0.02</v>
      </c>
      <c r="C187" s="5">
        <f t="shared" si="172"/>
        <v>0.15</v>
      </c>
      <c r="D187" s="5">
        <v>9.81</v>
      </c>
      <c r="E187" s="5">
        <v>1000</v>
      </c>
      <c r="F187" s="5">
        <v>2650</v>
      </c>
      <c r="G187" s="5">
        <v>1.65</v>
      </c>
      <c r="H187" s="5">
        <v>9.9999999999999995E-7</v>
      </c>
      <c r="I187" s="12"/>
      <c r="J187" s="12"/>
      <c r="K187" s="12"/>
      <c r="L187" s="12">
        <f t="shared" si="205"/>
        <v>283.21291300251266</v>
      </c>
      <c r="M187" s="5">
        <f t="shared" si="173"/>
        <v>1.4434908919597993</v>
      </c>
      <c r="N187" s="5">
        <f t="shared" si="174"/>
        <v>0.11664572864321612</v>
      </c>
      <c r="O187" s="12">
        <f t="shared" si="175"/>
        <v>0.23329145728643225</v>
      </c>
      <c r="P187" s="5">
        <f t="shared" si="176"/>
        <v>1897.1962050160116</v>
      </c>
      <c r="Q187" s="5">
        <v>4.7E-2</v>
      </c>
      <c r="R187" s="5">
        <f t="shared" si="177"/>
        <v>5.5131715547597548E-2</v>
      </c>
      <c r="S187" s="5">
        <f t="shared" si="178"/>
        <v>5.6000000000000001E-2</v>
      </c>
      <c r="T187" s="5">
        <f t="shared" si="179"/>
        <v>7.977443845417484E-2</v>
      </c>
      <c r="U187" s="5">
        <f t="shared" si="180"/>
        <v>8.7074722341604224E-2</v>
      </c>
      <c r="V187" s="5">
        <f t="shared" si="181"/>
        <v>3.231529074857499</v>
      </c>
      <c r="W187" s="5">
        <f t="shared" si="182"/>
        <v>0.3895547355705582</v>
      </c>
      <c r="X187" s="5">
        <f t="shared" si="183"/>
        <v>0.34112748995075981</v>
      </c>
      <c r="Y187" s="5">
        <f t="shared" si="184"/>
        <v>8.8198166757247254</v>
      </c>
      <c r="Z187" s="12">
        <f t="shared" si="185"/>
        <v>4.5205550599332014</v>
      </c>
      <c r="AA187" s="12">
        <f t="shared" si="186"/>
        <v>4.6937081670750596</v>
      </c>
      <c r="AB187" s="12">
        <f t="shared" si="187"/>
        <v>5.8518612919311673E-2</v>
      </c>
      <c r="AC187" s="1">
        <f t="shared" si="188"/>
        <v>0.99382018261613259</v>
      </c>
      <c r="AD187" s="1">
        <f t="shared" si="189"/>
        <v>0.25554402909717994</v>
      </c>
      <c r="AE187" s="12">
        <f t="shared" si="190"/>
        <v>0.81642397642269393</v>
      </c>
      <c r="AF187" s="5">
        <f t="shared" si="191"/>
        <v>0.64324941075008601</v>
      </c>
      <c r="AG187" s="5">
        <f t="shared" si="192"/>
        <v>0.32162470537504301</v>
      </c>
      <c r="AH187" s="5">
        <v>0.35417959999999998</v>
      </c>
      <c r="AI187" s="5">
        <f t="shared" si="193"/>
        <v>0.25396481366382168</v>
      </c>
      <c r="AJ187" s="5">
        <f t="shared" si="194"/>
        <v>0.41464100623066513</v>
      </c>
      <c r="AK187" s="5">
        <v>6.2807360000000007E-2</v>
      </c>
      <c r="AL187" s="5">
        <f t="shared" si="195"/>
        <v>5.3380155652431607E-2</v>
      </c>
      <c r="AM187" s="5">
        <f t="shared" si="196"/>
        <v>4.96427309464735E-2</v>
      </c>
      <c r="AN187" s="13">
        <f t="shared" si="197"/>
        <v>5.3155446182063616E-2</v>
      </c>
      <c r="AO187" s="13">
        <f t="shared" si="198"/>
        <v>2.6577723091031808E-2</v>
      </c>
      <c r="AP187" s="13">
        <f t="shared" si="199"/>
        <v>2.9267923688622362E-2</v>
      </c>
      <c r="AQ187" s="13">
        <f t="shared" si="200"/>
        <v>2.0986592073365971E-2</v>
      </c>
      <c r="AR187" s="13">
        <f t="shared" si="201"/>
        <v>3.4264201914883573E-2</v>
      </c>
      <c r="AS187" s="13">
        <f t="shared" si="202"/>
        <v>5.1901380530212154E-3</v>
      </c>
      <c r="AT187" s="13">
        <f t="shared" si="203"/>
        <v>4.4111132378097211E-3</v>
      </c>
      <c r="AU187" s="14">
        <f t="shared" si="204"/>
        <v>4.1022680612779455E-3</v>
      </c>
    </row>
    <row r="188" spans="1:47" x14ac:dyDescent="0.35">
      <c r="A188" s="5">
        <v>7.4999999999999997E-2</v>
      </c>
      <c r="B188" s="5">
        <v>0.02</v>
      </c>
      <c r="C188" s="5">
        <f t="shared" si="172"/>
        <v>0.15</v>
      </c>
      <c r="D188" s="5">
        <v>9.81</v>
      </c>
      <c r="E188" s="5">
        <v>1000</v>
      </c>
      <c r="F188" s="5">
        <v>2650</v>
      </c>
      <c r="G188" s="5">
        <v>1.65</v>
      </c>
      <c r="H188" s="5">
        <v>9.9999999999999995E-7</v>
      </c>
      <c r="I188" s="12"/>
      <c r="J188" s="12"/>
      <c r="K188" s="12"/>
      <c r="L188" s="12">
        <f t="shared" si="205"/>
        <v>284.6617674309046</v>
      </c>
      <c r="M188" s="5">
        <f t="shared" si="173"/>
        <v>1.4508754711055278</v>
      </c>
      <c r="N188" s="5">
        <f t="shared" si="174"/>
        <v>0.11724246231155783</v>
      </c>
      <c r="O188" s="12">
        <f t="shared" si="175"/>
        <v>0.23448492462311565</v>
      </c>
      <c r="P188" s="5">
        <f t="shared" si="176"/>
        <v>1897.1962050160116</v>
      </c>
      <c r="Q188" s="5">
        <v>4.7E-2</v>
      </c>
      <c r="R188" s="5">
        <f t="shared" si="177"/>
        <v>5.5131715547597548E-2</v>
      </c>
      <c r="S188" s="5">
        <f t="shared" si="178"/>
        <v>5.6000000000000001E-2</v>
      </c>
      <c r="T188" s="5">
        <f t="shared" si="179"/>
        <v>7.977443845417484E-2</v>
      </c>
      <c r="U188" s="5">
        <f t="shared" si="180"/>
        <v>8.7074722341604224E-2</v>
      </c>
      <c r="V188" s="5">
        <f t="shared" si="181"/>
        <v>3.2531766387838026</v>
      </c>
      <c r="W188" s="5">
        <f t="shared" si="182"/>
        <v>0.3895547355705582</v>
      </c>
      <c r="X188" s="5">
        <f t="shared" si="183"/>
        <v>0.34112748995075981</v>
      </c>
      <c r="Y188" s="5">
        <f t="shared" si="184"/>
        <v>8.8323484393782259</v>
      </c>
      <c r="Z188" s="12">
        <f t="shared" si="185"/>
        <v>4.5205550599332014</v>
      </c>
      <c r="AA188" s="12">
        <f t="shared" si="186"/>
        <v>4.712384996068061</v>
      </c>
      <c r="AB188" s="12">
        <f t="shared" si="187"/>
        <v>5.8518612919311673E-2</v>
      </c>
      <c r="AC188" s="1">
        <f t="shared" si="188"/>
        <v>1.0028791066426539</v>
      </c>
      <c r="AD188" s="1">
        <f t="shared" si="189"/>
        <v>0.25627992402077354</v>
      </c>
      <c r="AE188" s="12">
        <f t="shared" si="190"/>
        <v>0.81642397642269393</v>
      </c>
      <c r="AF188" s="5">
        <f t="shared" si="191"/>
        <v>0.64944072045678147</v>
      </c>
      <c r="AG188" s="5">
        <f t="shared" si="192"/>
        <v>0.32472036022839074</v>
      </c>
      <c r="AH188" s="5">
        <v>0.3588153</v>
      </c>
      <c r="AI188" s="5">
        <f t="shared" si="193"/>
        <v>0.2570177812524006</v>
      </c>
      <c r="AJ188" s="5">
        <f t="shared" si="194"/>
        <v>0.42103725086876764</v>
      </c>
      <c r="AK188" s="5">
        <v>6.3692550000000001E-2</v>
      </c>
      <c r="AL188" s="5">
        <f t="shared" si="195"/>
        <v>5.4262266621435809E-2</v>
      </c>
      <c r="AM188" s="5">
        <f t="shared" si="196"/>
        <v>5.0521933709887674E-2</v>
      </c>
      <c r="AN188" s="13">
        <f t="shared" si="197"/>
        <v>5.3667070171780101E-2</v>
      </c>
      <c r="AO188" s="13">
        <f t="shared" si="198"/>
        <v>2.6833535085890051E-2</v>
      </c>
      <c r="AP188" s="13">
        <f t="shared" si="199"/>
        <v>2.9650998585774392E-2</v>
      </c>
      <c r="AQ188" s="13">
        <f t="shared" si="200"/>
        <v>2.123887657085359E-2</v>
      </c>
      <c r="AR188" s="13">
        <f t="shared" si="201"/>
        <v>3.4792760871869645E-2</v>
      </c>
      <c r="AS188" s="13">
        <f t="shared" si="202"/>
        <v>5.2632864595639171E-3</v>
      </c>
      <c r="AT188" s="13">
        <f t="shared" si="203"/>
        <v>4.4840072060837602E-3</v>
      </c>
      <c r="AU188" s="14">
        <f t="shared" si="204"/>
        <v>4.1749217075817751E-3</v>
      </c>
    </row>
    <row r="189" spans="1:47" x14ac:dyDescent="0.35">
      <c r="A189" s="5">
        <v>7.4999999999999997E-2</v>
      </c>
      <c r="B189" s="5">
        <v>0.02</v>
      </c>
      <c r="C189" s="5">
        <f t="shared" si="172"/>
        <v>0.15</v>
      </c>
      <c r="D189" s="5">
        <v>9.81</v>
      </c>
      <c r="E189" s="5">
        <v>1000</v>
      </c>
      <c r="F189" s="5">
        <v>2650</v>
      </c>
      <c r="G189" s="5">
        <v>1.65</v>
      </c>
      <c r="H189" s="5">
        <v>9.9999999999999995E-7</v>
      </c>
      <c r="I189" s="12"/>
      <c r="J189" s="12"/>
      <c r="K189" s="12"/>
      <c r="L189" s="12">
        <f t="shared" si="205"/>
        <v>286.11062185929654</v>
      </c>
      <c r="M189" s="5">
        <f t="shared" si="173"/>
        <v>1.4582600502512564</v>
      </c>
      <c r="N189" s="5">
        <f t="shared" si="174"/>
        <v>0.11783919597989953</v>
      </c>
      <c r="O189" s="12">
        <f t="shared" si="175"/>
        <v>0.23567839195979906</v>
      </c>
      <c r="P189" s="5">
        <f t="shared" si="176"/>
        <v>1897.1962050160116</v>
      </c>
      <c r="Q189" s="5">
        <v>4.7E-2</v>
      </c>
      <c r="R189" s="5">
        <f t="shared" si="177"/>
        <v>5.5131715547597548E-2</v>
      </c>
      <c r="S189" s="5">
        <f t="shared" si="178"/>
        <v>5.6000000000000001E-2</v>
      </c>
      <c r="T189" s="5">
        <f t="shared" si="179"/>
        <v>7.977443845417484E-2</v>
      </c>
      <c r="U189" s="5">
        <f t="shared" si="180"/>
        <v>8.7074722341604224E-2</v>
      </c>
      <c r="V189" s="5">
        <f t="shared" si="181"/>
        <v>3.2748242027101062</v>
      </c>
      <c r="W189" s="5">
        <f t="shared" si="182"/>
        <v>0.3895547355705582</v>
      </c>
      <c r="X189" s="5">
        <f t="shared" si="183"/>
        <v>0.34112748995075981</v>
      </c>
      <c r="Y189" s="5">
        <f t="shared" si="184"/>
        <v>8.8447975521926736</v>
      </c>
      <c r="Z189" s="12">
        <f t="shared" si="185"/>
        <v>4.5205550599332014</v>
      </c>
      <c r="AA189" s="12">
        <f t="shared" si="186"/>
        <v>4.7310211272591305</v>
      </c>
      <c r="AB189" s="12">
        <f t="shared" si="187"/>
        <v>5.8518612919311673E-2</v>
      </c>
      <c r="AC189" s="1">
        <f t="shared" si="188"/>
        <v>1.0119697863676609</v>
      </c>
      <c r="AD189" s="1">
        <f t="shared" si="189"/>
        <v>0.2570102976855364</v>
      </c>
      <c r="AE189" s="12">
        <f t="shared" si="190"/>
        <v>0.81642397642269393</v>
      </c>
      <c r="AF189" s="5">
        <f t="shared" si="191"/>
        <v>0.65565176757740518</v>
      </c>
      <c r="AG189" s="5">
        <f t="shared" si="192"/>
        <v>0.32782588378870259</v>
      </c>
      <c r="AH189" s="5">
        <v>0.36347849999999998</v>
      </c>
      <c r="AI189" s="5">
        <f t="shared" si="193"/>
        <v>0.2600866560431212</v>
      </c>
      <c r="AJ189" s="5">
        <f t="shared" si="194"/>
        <v>0.42749893847582338</v>
      </c>
      <c r="AK189" s="5">
        <v>6.4584219999999998E-2</v>
      </c>
      <c r="AL189" s="5">
        <f t="shared" si="195"/>
        <v>5.5151050455650101E-2</v>
      </c>
      <c r="AM189" s="5">
        <f t="shared" si="196"/>
        <v>5.1408323585659735E-2</v>
      </c>
      <c r="AN189" s="13">
        <f t="shared" si="197"/>
        <v>5.4180325178993544E-2</v>
      </c>
      <c r="AO189" s="13">
        <f t="shared" si="198"/>
        <v>2.7090162589496772E-2</v>
      </c>
      <c r="AP189" s="13">
        <f t="shared" si="199"/>
        <v>3.0036345968132899E-2</v>
      </c>
      <c r="AQ189" s="13">
        <f t="shared" si="200"/>
        <v>2.1492475573124607E-2</v>
      </c>
      <c r="AR189" s="13">
        <f t="shared" si="201"/>
        <v>3.532672776263078E-2</v>
      </c>
      <c r="AS189" s="13">
        <f t="shared" si="202"/>
        <v>5.3369703462570915E-3</v>
      </c>
      <c r="AT189" s="13">
        <f t="shared" si="203"/>
        <v>4.5574525920841534E-3</v>
      </c>
      <c r="AU189" s="14">
        <f t="shared" si="204"/>
        <v>4.248169266849627E-3</v>
      </c>
    </row>
    <row r="190" spans="1:47" x14ac:dyDescent="0.35">
      <c r="A190" s="5">
        <v>7.4999999999999997E-2</v>
      </c>
      <c r="B190" s="5">
        <v>0.02</v>
      </c>
      <c r="C190" s="5">
        <f t="shared" si="172"/>
        <v>0.15</v>
      </c>
      <c r="D190" s="5">
        <v>9.81</v>
      </c>
      <c r="E190" s="5">
        <v>1000</v>
      </c>
      <c r="F190" s="5">
        <v>2650</v>
      </c>
      <c r="G190" s="5">
        <v>1.65</v>
      </c>
      <c r="H190" s="5">
        <v>9.9999999999999995E-7</v>
      </c>
      <c r="I190" s="12"/>
      <c r="J190" s="12"/>
      <c r="K190" s="12"/>
      <c r="L190" s="12">
        <f t="shared" si="205"/>
        <v>287.55947628768848</v>
      </c>
      <c r="M190" s="5">
        <f t="shared" si="173"/>
        <v>1.4656446293969849</v>
      </c>
      <c r="N190" s="5">
        <f t="shared" si="174"/>
        <v>0.11843592964824123</v>
      </c>
      <c r="O190" s="12">
        <f t="shared" si="175"/>
        <v>0.23687185929648247</v>
      </c>
      <c r="P190" s="5">
        <f t="shared" si="176"/>
        <v>1897.1962050160116</v>
      </c>
      <c r="Q190" s="5">
        <v>4.7E-2</v>
      </c>
      <c r="R190" s="5">
        <f t="shared" si="177"/>
        <v>5.5131715547597548E-2</v>
      </c>
      <c r="S190" s="5">
        <f t="shared" si="178"/>
        <v>5.6000000000000001E-2</v>
      </c>
      <c r="T190" s="5">
        <f t="shared" si="179"/>
        <v>7.977443845417484E-2</v>
      </c>
      <c r="U190" s="5">
        <f t="shared" si="180"/>
        <v>8.7074722341604224E-2</v>
      </c>
      <c r="V190" s="5">
        <f t="shared" si="181"/>
        <v>3.2964717666364098</v>
      </c>
      <c r="W190" s="5">
        <f t="shared" si="182"/>
        <v>0.3895547355705582</v>
      </c>
      <c r="X190" s="5">
        <f t="shared" si="183"/>
        <v>0.34112748995075981</v>
      </c>
      <c r="Y190" s="5">
        <f t="shared" si="184"/>
        <v>8.8571650414187388</v>
      </c>
      <c r="Z190" s="12">
        <f t="shared" si="185"/>
        <v>4.5205550599332014</v>
      </c>
      <c r="AA190" s="12">
        <f t="shared" si="186"/>
        <v>4.7496168784012927</v>
      </c>
      <c r="AB190" s="12">
        <f t="shared" si="187"/>
        <v>5.8518612919311673E-2</v>
      </c>
      <c r="AC190" s="1">
        <f t="shared" si="188"/>
        <v>1.0210921578530172</v>
      </c>
      <c r="AD190" s="1">
        <f t="shared" si="189"/>
        <v>0.25773521288882884</v>
      </c>
      <c r="AE190" s="12">
        <f t="shared" si="190"/>
        <v>0.81642397642269393</v>
      </c>
      <c r="AF190" s="5">
        <f t="shared" si="191"/>
        <v>0.66188248958872908</v>
      </c>
      <c r="AG190" s="5">
        <f t="shared" si="192"/>
        <v>0.33094124479436454</v>
      </c>
      <c r="AH190" s="5">
        <v>0.36816910000000003</v>
      </c>
      <c r="AI190" s="5">
        <f t="shared" si="193"/>
        <v>0.26317140468336103</v>
      </c>
      <c r="AJ190" s="5">
        <f t="shared" si="194"/>
        <v>0.43402640213953936</v>
      </c>
      <c r="AK190" s="5">
        <v>6.5482390000000001E-2</v>
      </c>
      <c r="AL190" s="5">
        <f t="shared" si="195"/>
        <v>5.6046501474428322E-2</v>
      </c>
      <c r="AM190" s="5">
        <f t="shared" si="196"/>
        <v>5.2301882239880845E-2</v>
      </c>
      <c r="AN190" s="13">
        <f t="shared" si="197"/>
        <v>5.4695206037045356E-2</v>
      </c>
      <c r="AO190" s="13">
        <f t="shared" si="198"/>
        <v>2.7347603018522678E-2</v>
      </c>
      <c r="AP190" s="13">
        <f t="shared" si="199"/>
        <v>3.0423957572115322E-2</v>
      </c>
      <c r="AQ190" s="13">
        <f t="shared" si="200"/>
        <v>2.1747386324057524E-2</v>
      </c>
      <c r="AR190" s="13">
        <f t="shared" si="201"/>
        <v>3.5866130112144685E-2</v>
      </c>
      <c r="AS190" s="13">
        <f t="shared" si="202"/>
        <v>5.4111913658172524E-3</v>
      </c>
      <c r="AT190" s="13">
        <f t="shared" si="203"/>
        <v>4.6314489263860163E-3</v>
      </c>
      <c r="AU190" s="14">
        <f t="shared" si="204"/>
        <v>4.3220092240438069E-3</v>
      </c>
    </row>
    <row r="191" spans="1:47" x14ac:dyDescent="0.35">
      <c r="A191" s="5">
        <v>7.4999999999999997E-2</v>
      </c>
      <c r="B191" s="5">
        <v>0.02</v>
      </c>
      <c r="C191" s="5">
        <f t="shared" si="172"/>
        <v>0.15</v>
      </c>
      <c r="D191" s="5">
        <v>9.81</v>
      </c>
      <c r="E191" s="5">
        <v>1000</v>
      </c>
      <c r="F191" s="5">
        <v>2650</v>
      </c>
      <c r="G191" s="5">
        <v>1.65</v>
      </c>
      <c r="H191" s="5">
        <v>9.9999999999999995E-7</v>
      </c>
      <c r="I191" s="12"/>
      <c r="J191" s="12"/>
      <c r="K191" s="12"/>
      <c r="L191" s="12">
        <f t="shared" si="205"/>
        <v>289.00833071608042</v>
      </c>
      <c r="M191" s="5">
        <f t="shared" si="173"/>
        <v>1.4730292085427135</v>
      </c>
      <c r="N191" s="5">
        <f t="shared" si="174"/>
        <v>0.11903266331658292</v>
      </c>
      <c r="O191" s="12">
        <f t="shared" si="175"/>
        <v>0.23806532663316585</v>
      </c>
      <c r="P191" s="5">
        <f t="shared" si="176"/>
        <v>1897.1962050160116</v>
      </c>
      <c r="Q191" s="5">
        <v>4.7E-2</v>
      </c>
      <c r="R191" s="5">
        <f t="shared" si="177"/>
        <v>5.5131715547597548E-2</v>
      </c>
      <c r="S191" s="5">
        <f t="shared" si="178"/>
        <v>5.6000000000000001E-2</v>
      </c>
      <c r="T191" s="5">
        <f t="shared" si="179"/>
        <v>7.977443845417484E-2</v>
      </c>
      <c r="U191" s="5">
        <f t="shared" si="180"/>
        <v>8.7074722341604224E-2</v>
      </c>
      <c r="V191" s="5">
        <f t="shared" si="181"/>
        <v>3.3181193305627135</v>
      </c>
      <c r="W191" s="5">
        <f t="shared" si="182"/>
        <v>0.3895547355705582</v>
      </c>
      <c r="X191" s="5">
        <f t="shared" si="183"/>
        <v>0.34112748995075981</v>
      </c>
      <c r="Y191" s="5">
        <f t="shared" si="184"/>
        <v>8.869451916911764</v>
      </c>
      <c r="Z191" s="12">
        <f t="shared" si="185"/>
        <v>4.5205550599332014</v>
      </c>
      <c r="AA191" s="12">
        <f t="shared" si="186"/>
        <v>4.7681725635164893</v>
      </c>
      <c r="AB191" s="12">
        <f t="shared" si="187"/>
        <v>5.8518612919311673E-2</v>
      </c>
      <c r="AC191" s="1">
        <f t="shared" si="188"/>
        <v>1.0302461577311663</v>
      </c>
      <c r="AD191" s="1">
        <f t="shared" si="189"/>
        <v>0.25845473150315917</v>
      </c>
      <c r="AE191" s="12">
        <f t="shared" si="190"/>
        <v>0.81642397642269393</v>
      </c>
      <c r="AF191" s="5">
        <f t="shared" si="191"/>
        <v>0.66813282455796241</v>
      </c>
      <c r="AG191" s="5">
        <f t="shared" si="192"/>
        <v>0.33406641227898121</v>
      </c>
      <c r="AH191" s="5">
        <v>0.37288719999999997</v>
      </c>
      <c r="AI191" s="5">
        <f t="shared" si="193"/>
        <v>0.26627199407857</v>
      </c>
      <c r="AJ191" s="5">
        <f t="shared" si="194"/>
        <v>0.44061997494762245</v>
      </c>
      <c r="AK191" s="5">
        <v>6.6387070000000006E-2</v>
      </c>
      <c r="AL191" s="5">
        <f t="shared" si="195"/>
        <v>5.6948614691259648E-2</v>
      </c>
      <c r="AM191" s="5">
        <f t="shared" si="196"/>
        <v>5.3202592125227814E-2</v>
      </c>
      <c r="AN191" s="13">
        <f t="shared" si="197"/>
        <v>5.5211707628068235E-2</v>
      </c>
      <c r="AO191" s="13">
        <f t="shared" si="198"/>
        <v>2.7605853814034118E-2</v>
      </c>
      <c r="AP191" s="13">
        <f t="shared" si="199"/>
        <v>3.0813841661304221E-2</v>
      </c>
      <c r="AQ191" s="13">
        <f t="shared" si="200"/>
        <v>2.2003606088856875E-2</v>
      </c>
      <c r="AR191" s="13">
        <f t="shared" si="201"/>
        <v>3.641099544538904E-2</v>
      </c>
      <c r="AS191" s="13">
        <f t="shared" si="202"/>
        <v>5.485950344602657E-3</v>
      </c>
      <c r="AT191" s="13">
        <f t="shared" si="203"/>
        <v>4.7059957969249099E-3</v>
      </c>
      <c r="AU191" s="14">
        <f t="shared" si="204"/>
        <v>4.3964401291267724E-3</v>
      </c>
    </row>
    <row r="192" spans="1:47" x14ac:dyDescent="0.35">
      <c r="A192" s="5">
        <v>7.4999999999999997E-2</v>
      </c>
      <c r="B192" s="5">
        <v>0.02</v>
      </c>
      <c r="C192" s="5">
        <f t="shared" si="172"/>
        <v>0.15</v>
      </c>
      <c r="D192" s="5">
        <v>9.81</v>
      </c>
      <c r="E192" s="5">
        <v>1000</v>
      </c>
      <c r="F192" s="5">
        <v>2650</v>
      </c>
      <c r="G192" s="5">
        <v>1.65</v>
      </c>
      <c r="H192" s="5">
        <v>9.9999999999999995E-7</v>
      </c>
      <c r="I192" s="12"/>
      <c r="J192" s="12"/>
      <c r="K192" s="12"/>
      <c r="L192" s="12">
        <f t="shared" si="205"/>
        <v>290.45718514447236</v>
      </c>
      <c r="M192" s="5">
        <f t="shared" si="173"/>
        <v>1.480413787688442</v>
      </c>
      <c r="N192" s="5">
        <f t="shared" si="174"/>
        <v>0.11962939698492463</v>
      </c>
      <c r="O192" s="12">
        <f t="shared" si="175"/>
        <v>0.23925879396984925</v>
      </c>
      <c r="P192" s="5">
        <f t="shared" si="176"/>
        <v>1897.1962050160116</v>
      </c>
      <c r="Q192" s="5">
        <v>4.7E-2</v>
      </c>
      <c r="R192" s="5">
        <f t="shared" si="177"/>
        <v>5.5131715547597548E-2</v>
      </c>
      <c r="S192" s="5">
        <f t="shared" si="178"/>
        <v>5.6000000000000001E-2</v>
      </c>
      <c r="T192" s="5">
        <f t="shared" si="179"/>
        <v>7.977443845417484E-2</v>
      </c>
      <c r="U192" s="5">
        <f t="shared" si="180"/>
        <v>8.7074722341604224E-2</v>
      </c>
      <c r="V192" s="5">
        <f t="shared" si="181"/>
        <v>3.3397668944890171</v>
      </c>
      <c r="W192" s="5">
        <f t="shared" si="182"/>
        <v>0.3895547355705582</v>
      </c>
      <c r="X192" s="5">
        <f t="shared" si="183"/>
        <v>0.34112748995075981</v>
      </c>
      <c r="Y192" s="5">
        <f t="shared" si="184"/>
        <v>8.8816591714918918</v>
      </c>
      <c r="Z192" s="12">
        <f t="shared" si="185"/>
        <v>4.5205550599332014</v>
      </c>
      <c r="AA192" s="12">
        <f t="shared" si="186"/>
        <v>4.7866884929474551</v>
      </c>
      <c r="AB192" s="12">
        <f t="shared" si="187"/>
        <v>5.8518612919311673E-2</v>
      </c>
      <c r="AC192" s="1">
        <f t="shared" si="188"/>
        <v>1.0394317231961869</v>
      </c>
      <c r="AD192" s="1">
        <f t="shared" si="189"/>
        <v>0.25916891449200652</v>
      </c>
      <c r="AE192" s="12">
        <f t="shared" si="190"/>
        <v>0.81642397642269393</v>
      </c>
      <c r="AF192" s="5">
        <f t="shared" si="191"/>
        <v>0.67440271113351902</v>
      </c>
      <c r="AG192" s="5">
        <f t="shared" si="192"/>
        <v>0.33720135556675951</v>
      </c>
      <c r="AH192" s="5">
        <v>0.37763259999999998</v>
      </c>
      <c r="AI192" s="5">
        <f t="shared" si="193"/>
        <v>0.26938839138931153</v>
      </c>
      <c r="AJ192" s="5">
        <f t="shared" si="194"/>
        <v>0.44727998998777979</v>
      </c>
      <c r="AK192" s="5">
        <v>6.7298239999999995E-2</v>
      </c>
      <c r="AL192" s="5">
        <f t="shared" si="195"/>
        <v>5.7857385797804722E-2</v>
      </c>
      <c r="AM192" s="5">
        <f t="shared" si="196"/>
        <v>5.4110436476389155E-2</v>
      </c>
      <c r="AN192" s="13">
        <f t="shared" si="197"/>
        <v>5.5729824882223215E-2</v>
      </c>
      <c r="AO192" s="13">
        <f t="shared" si="198"/>
        <v>2.7864912441111608E-2</v>
      </c>
      <c r="AP192" s="13">
        <f t="shared" si="199"/>
        <v>3.1205981708534464E-2</v>
      </c>
      <c r="AQ192" s="13">
        <f t="shared" si="200"/>
        <v>2.2261132153808698E-2</v>
      </c>
      <c r="AR192" s="13">
        <f t="shared" si="201"/>
        <v>3.6961351287341543E-2</v>
      </c>
      <c r="AS192" s="13">
        <f t="shared" si="202"/>
        <v>5.5612456298967895E-3</v>
      </c>
      <c r="AT192" s="13">
        <f t="shared" si="203"/>
        <v>4.7810928476776527E-3</v>
      </c>
      <c r="AU192" s="14">
        <f t="shared" si="204"/>
        <v>4.4714605966831682E-3</v>
      </c>
    </row>
    <row r="193" spans="1:47" x14ac:dyDescent="0.35">
      <c r="A193" s="5">
        <v>7.4999999999999997E-2</v>
      </c>
      <c r="B193" s="5">
        <v>0.02</v>
      </c>
      <c r="C193" s="5">
        <f t="shared" si="172"/>
        <v>0.15</v>
      </c>
      <c r="D193" s="5">
        <v>9.81</v>
      </c>
      <c r="E193" s="5">
        <v>1000</v>
      </c>
      <c r="F193" s="5">
        <v>2650</v>
      </c>
      <c r="G193" s="5">
        <v>1.65</v>
      </c>
      <c r="H193" s="5">
        <v>9.9999999999999995E-7</v>
      </c>
      <c r="I193" s="12"/>
      <c r="J193" s="12"/>
      <c r="K193" s="12"/>
      <c r="L193" s="12">
        <f t="shared" si="205"/>
        <v>291.9060395728643</v>
      </c>
      <c r="M193" s="5">
        <f t="shared" si="173"/>
        <v>1.4877983668341705</v>
      </c>
      <c r="N193" s="5">
        <f t="shared" si="174"/>
        <v>0.12022613065326633</v>
      </c>
      <c r="O193" s="12">
        <f t="shared" si="175"/>
        <v>0.24045226130653266</v>
      </c>
      <c r="P193" s="5">
        <f t="shared" si="176"/>
        <v>1897.1962050160116</v>
      </c>
      <c r="Q193" s="5">
        <v>4.7E-2</v>
      </c>
      <c r="R193" s="5">
        <f t="shared" si="177"/>
        <v>5.5131715547597548E-2</v>
      </c>
      <c r="S193" s="5">
        <f t="shared" si="178"/>
        <v>5.6000000000000001E-2</v>
      </c>
      <c r="T193" s="5">
        <f t="shared" si="179"/>
        <v>7.977443845417484E-2</v>
      </c>
      <c r="U193" s="5">
        <f t="shared" si="180"/>
        <v>8.7074722341604224E-2</v>
      </c>
      <c r="V193" s="5">
        <f t="shared" si="181"/>
        <v>3.3614144584153207</v>
      </c>
      <c r="W193" s="5">
        <f t="shared" si="182"/>
        <v>0.3895547355705582</v>
      </c>
      <c r="X193" s="5">
        <f t="shared" si="183"/>
        <v>0.34112748995075981</v>
      </c>
      <c r="Y193" s="5">
        <f t="shared" si="184"/>
        <v>8.8937877812955204</v>
      </c>
      <c r="Z193" s="12">
        <f t="shared" si="185"/>
        <v>4.5205550599332014</v>
      </c>
      <c r="AA193" s="12">
        <f t="shared" si="186"/>
        <v>4.8051649734088873</v>
      </c>
      <c r="AB193" s="12">
        <f t="shared" si="187"/>
        <v>5.8518612919311673E-2</v>
      </c>
      <c r="AC193" s="1">
        <f t="shared" si="188"/>
        <v>1.0486487919950349</v>
      </c>
      <c r="AD193" s="1">
        <f t="shared" si="189"/>
        <v>0.25987782192536885</v>
      </c>
      <c r="AE193" s="12">
        <f t="shared" si="190"/>
        <v>0.81642397642269393</v>
      </c>
      <c r="AF193" s="5">
        <f t="shared" si="191"/>
        <v>0.68069208853598129</v>
      </c>
      <c r="AG193" s="5">
        <f t="shared" si="192"/>
        <v>0.34034604426799064</v>
      </c>
      <c r="AH193" s="5">
        <v>0.3824053</v>
      </c>
      <c r="AI193" s="5">
        <f t="shared" si="193"/>
        <v>0.27252056402833885</v>
      </c>
      <c r="AJ193" s="5">
        <f t="shared" si="194"/>
        <v>0.45400678034771824</v>
      </c>
      <c r="AK193" s="5">
        <v>6.8215919999999999E-2</v>
      </c>
      <c r="AL193" s="5">
        <f t="shared" si="195"/>
        <v>5.8772811147857186E-2</v>
      </c>
      <c r="AM193" s="5">
        <f t="shared" si="196"/>
        <v>5.5025399304536697E-2</v>
      </c>
      <c r="AN193" s="13">
        <f t="shared" si="197"/>
        <v>5.6249552776952927E-2</v>
      </c>
      <c r="AO193" s="13">
        <f t="shared" si="198"/>
        <v>2.8124776388476463E-2</v>
      </c>
      <c r="AP193" s="13">
        <f t="shared" si="199"/>
        <v>3.1600377713806048E-2</v>
      </c>
      <c r="AQ193" s="13">
        <f t="shared" si="200"/>
        <v>2.2519961826038954E-2</v>
      </c>
      <c r="AR193" s="13">
        <f t="shared" si="201"/>
        <v>3.7517225162979888E-2</v>
      </c>
      <c r="AS193" s="13">
        <f t="shared" si="202"/>
        <v>5.6370788744161664E-3</v>
      </c>
      <c r="AT193" s="13">
        <f t="shared" si="203"/>
        <v>4.8567397773369722E-3</v>
      </c>
      <c r="AU193" s="14">
        <f t="shared" si="204"/>
        <v>4.5470693054629743E-3</v>
      </c>
    </row>
    <row r="194" spans="1:47" x14ac:dyDescent="0.35">
      <c r="A194" s="5">
        <v>7.4999999999999997E-2</v>
      </c>
      <c r="B194" s="5">
        <v>0.02</v>
      </c>
      <c r="C194" s="5">
        <f t="shared" ref="C194:C200" si="206">2*A194</f>
        <v>0.15</v>
      </c>
      <c r="D194" s="5">
        <v>9.81</v>
      </c>
      <c r="E194" s="5">
        <v>1000</v>
      </c>
      <c r="F194" s="5">
        <v>2650</v>
      </c>
      <c r="G194" s="5">
        <v>1.65</v>
      </c>
      <c r="H194" s="5">
        <v>9.9999999999999995E-7</v>
      </c>
      <c r="I194" s="12"/>
      <c r="J194" s="12"/>
      <c r="K194" s="12"/>
      <c r="L194" s="12">
        <f t="shared" si="205"/>
        <v>293.35489400125624</v>
      </c>
      <c r="M194" s="5">
        <f t="shared" ref="M194:M200" si="207">L194/ (E194*D194*B194)</f>
        <v>1.4951829459798991</v>
      </c>
      <c r="N194" s="5">
        <f t="shared" ref="N194:N200" si="208">L194/ (D194* E194 * G194 * C194)</f>
        <v>0.12082286432160803</v>
      </c>
      <c r="O194" s="12">
        <f t="shared" ref="O194:O200" si="209">L194/ (D194* E194 * G194 * A194)</f>
        <v>0.24164572864321607</v>
      </c>
      <c r="P194" s="5">
        <f t="shared" ref="P194:P200" si="210">A194 * (G194 * D194 / H194^2)^(1/3)</f>
        <v>1897.1962050160116</v>
      </c>
      <c r="Q194" s="5">
        <v>4.7E-2</v>
      </c>
      <c r="R194" s="5">
        <f t="shared" ref="R194:R200" si="211">0.3 / (1 + 1.2 * P194) + 0.055 * (1 - EXP(-0.02 * P194))</f>
        <v>5.5131715547597548E-2</v>
      </c>
      <c r="S194" s="5">
        <f t="shared" ref="S194:S200" si="212">IF(P194 &lt;= 4, 0.24 / P194, IF(P194 &lt;= 10, 0.14 * P194^(-0.64), IF(P194 &lt;= 20, 0.04 * P194^(-0.1), IF(P194 &lt;= 150, 0.013 * P194^(0.29), 0.056))))</f>
        <v>5.6000000000000001E-2</v>
      </c>
      <c r="T194" s="5">
        <f t="shared" ref="T194:T200" si="213">1.5*B194^0.75</f>
        <v>7.977443845417484E-2</v>
      </c>
      <c r="U194" s="5">
        <f t="shared" ref="U194:U200" si="214" xml:space="preserve"> (5 * B194 + 0.06) * (C194/A194)^(4.4 * SQRT(B194) - 1.5)</f>
        <v>8.7074722341604224E-2</v>
      </c>
      <c r="V194" s="5">
        <f t="shared" ref="V194:V200" si="215">O194/R194-1</f>
        <v>3.3830620223416243</v>
      </c>
      <c r="W194" s="5">
        <f t="shared" ref="W194:W200" si="216">2.45 * SQRT(R194) / (G194 + 1)^0.4</f>
        <v>0.3895547355705582</v>
      </c>
      <c r="X194" s="5">
        <f t="shared" ref="X194:X200" si="217" xml:space="preserve"> R194 * G194 * A194 / B194</f>
        <v>0.34112748995075981</v>
      </c>
      <c r="Y194" s="5">
        <f t="shared" ref="Y194:Y200" si="218" xml:space="preserve"> 6.5 * 2.5 * (M194 / C194) / SQRT(6.5^2 + 2.5^2 * (M194 / C194)^(5/3))</f>
        <v>8.9058387061184305</v>
      </c>
      <c r="Z194" s="12">
        <f t="shared" ref="Z194:Z200" si="219" xml:space="preserve"> 6.5 * 2.5 * (X194 / C194) / SQRT(6.5^2 + 2.5^2 * (X194 / C194)^(5/3))</f>
        <v>4.5205550599332014</v>
      </c>
      <c r="AA194" s="12">
        <f t="shared" ref="AA194:AA200" si="220">Y194 *SQRT(D194 * M194* B194)</f>
        <v>4.8236023080379482</v>
      </c>
      <c r="AB194" s="12">
        <f t="shared" ref="AB194:AB200" si="221" xml:space="preserve"> Z194 * R194^(3/2)</f>
        <v>5.8518612919311673E-2</v>
      </c>
      <c r="AC194" s="1">
        <f t="shared" ref="AC194:AC200" si="222">L194*AA194 / (E194 * (D194 * G194* A194)^(3/2))</f>
        <v>1.0578973024189704</v>
      </c>
      <c r="AD194" s="1">
        <f t="shared" ref="AD194:AD200" si="223">(0.92 - 0.25 * SQRT(AB194 / AC194))^9</f>
        <v>0.26058151299503846</v>
      </c>
      <c r="AE194" s="12">
        <f t="shared" ref="AE194:AE200" si="224">SQRT(2/3 + 36 / P194^3) - SQRT(36 / P194^3)</f>
        <v>0.81642397642269393</v>
      </c>
      <c r="AF194" s="5">
        <f t="shared" ref="AF194:AF200" si="225">IF(O194 &gt; Q194, 8 * (O194 - Q194)^(3/2), 0)</f>
        <v>0.68700089654926266</v>
      </c>
      <c r="AG194" s="5">
        <f t="shared" ref="AG194:AG200" si="226">IF(O194 &gt; Q194, 4 * (O194 - Q194)^(3/2), 0)</f>
        <v>0.34350044827463133</v>
      </c>
      <c r="AH194" s="5">
        <v>0.38720520000000003</v>
      </c>
      <c r="AI194" s="5">
        <f t="shared" ref="AI194:AI200" si="227" xml:space="preserve"> IF(AD194 * AC194 &lt; 0.00001, 0, AD194 * AC194)</f>
        <v>0.27566847965770508</v>
      </c>
      <c r="AJ194" s="5">
        <f t="shared" ref="AJ194:AJ200" si="228" xml:space="preserve"> IF(O194&gt;= 0.19, 40 * AE194* O194^3, (AE194 * EXP(-0.391 / O194)) / 0.465)</f>
        <v>0.46080067911514483</v>
      </c>
      <c r="AK194" s="5">
        <v>6.9140119999999999E-2</v>
      </c>
      <c r="AL194" s="5">
        <f t="shared" ref="AL194:AL200" si="229" xml:space="preserve"> 14 * N194^2.5 / (1 + (T194 / N194)^4)</f>
        <v>5.9694887741269409E-2</v>
      </c>
      <c r="AM194" s="5">
        <f t="shared" ref="AM194:AM200" si="230" xml:space="preserve"> 14 * N194^2.5 / (1 + (U194 / N194)^4)</f>
        <v>5.5947465390917446E-2</v>
      </c>
      <c r="AN194" s="13">
        <f t="shared" ref="AN194:AN200" si="231" xml:space="preserve"> AF194 * SQRT(G194 * D194 * A194^3)</f>
        <v>5.6770886336251346E-2</v>
      </c>
      <c r="AO194" s="13">
        <f t="shared" ref="AO194:AO200" si="232" xml:space="preserve"> AG194 * SQRT(G194 * D194 * A194^3)</f>
        <v>2.8385443168125673E-2</v>
      </c>
      <c r="AP194" s="13">
        <f t="shared" ref="AP194:AP200" si="233">AH194 * SQRT(G194 * D194 * A194^3)</f>
        <v>3.1997021413536414E-2</v>
      </c>
      <c r="AQ194" s="13">
        <f t="shared" ref="AQ194:AQ200" si="234" xml:space="preserve"> AI194 * SQRT(G194 * D194 * A194^3)</f>
        <v>2.2780092433274696E-2</v>
      </c>
      <c r="AR194" s="13">
        <f t="shared" ref="AR194:AR200" si="235" xml:space="preserve"> AJ194 * SQRT(G194 * D194 * A194^3)</f>
        <v>3.8078644597281774E-2</v>
      </c>
      <c r="AS194" s="13">
        <f t="shared" ref="AS194:AS200" si="236" xml:space="preserve"> AK194 * SQRT(G194 * D194 * A194^3)</f>
        <v>5.7134509045190431E-3</v>
      </c>
      <c r="AT194" s="13">
        <f t="shared" ref="AT194:AT200" si="237" xml:space="preserve"> AL194* SQRT(G194 * D194 * A194^3)</f>
        <v>4.9329363379831915E-3</v>
      </c>
      <c r="AU194" s="14">
        <f t="shared" ref="AU194:AU200" si="238" xml:space="preserve"> AM194* SQRT(G194 * D194 * A194^3)</f>
        <v>4.6232649978519723E-3</v>
      </c>
    </row>
    <row r="195" spans="1:47" x14ac:dyDescent="0.35">
      <c r="A195" s="5">
        <v>7.4999999999999997E-2</v>
      </c>
      <c r="B195" s="5">
        <v>0.02</v>
      </c>
      <c r="C195" s="5">
        <f t="shared" si="206"/>
        <v>0.15</v>
      </c>
      <c r="D195" s="5">
        <v>9.81</v>
      </c>
      <c r="E195" s="5">
        <v>1000</v>
      </c>
      <c r="F195" s="5">
        <v>2650</v>
      </c>
      <c r="G195" s="5">
        <v>1.65</v>
      </c>
      <c r="H195" s="5">
        <v>9.9999999999999995E-7</v>
      </c>
      <c r="I195" s="12"/>
      <c r="J195" s="12"/>
      <c r="K195" s="12"/>
      <c r="L195" s="12">
        <f t="shared" ref="L195:L200" si="239">L194 + ($K$2 - $J$2) / 199</f>
        <v>294.80374842964818</v>
      </c>
      <c r="M195" s="5">
        <f t="shared" si="207"/>
        <v>1.5025675251256276</v>
      </c>
      <c r="N195" s="5">
        <f t="shared" si="208"/>
        <v>0.12141959798994972</v>
      </c>
      <c r="O195" s="12">
        <f t="shared" si="209"/>
        <v>0.24283919597989945</v>
      </c>
      <c r="P195" s="5">
        <f t="shared" si="210"/>
        <v>1897.1962050160116</v>
      </c>
      <c r="Q195" s="5">
        <v>4.7E-2</v>
      </c>
      <c r="R195" s="5">
        <f t="shared" si="211"/>
        <v>5.5131715547597548E-2</v>
      </c>
      <c r="S195" s="5">
        <f t="shared" si="212"/>
        <v>5.6000000000000001E-2</v>
      </c>
      <c r="T195" s="5">
        <f t="shared" si="213"/>
        <v>7.977443845417484E-2</v>
      </c>
      <c r="U195" s="5">
        <f t="shared" si="214"/>
        <v>8.7074722341604224E-2</v>
      </c>
      <c r="V195" s="5">
        <f t="shared" si="215"/>
        <v>3.4047095862679271</v>
      </c>
      <c r="W195" s="5">
        <f t="shared" si="216"/>
        <v>0.3895547355705582</v>
      </c>
      <c r="X195" s="5">
        <f t="shared" si="217"/>
        <v>0.34112748995075981</v>
      </c>
      <c r="Y195" s="5">
        <f t="shared" si="218"/>
        <v>8.917812889750719</v>
      </c>
      <c r="Z195" s="12">
        <f t="shared" si="219"/>
        <v>4.5205550599332014</v>
      </c>
      <c r="AA195" s="12">
        <f t="shared" si="220"/>
        <v>4.8420007964440863</v>
      </c>
      <c r="AB195" s="12">
        <f t="shared" si="221"/>
        <v>5.8518612919311673E-2</v>
      </c>
      <c r="AC195" s="1">
        <f t="shared" si="222"/>
        <v>1.0671771932951617</v>
      </c>
      <c r="AD195" s="1">
        <f t="shared" si="223"/>
        <v>0.26128004602960525</v>
      </c>
      <c r="AE195" s="12">
        <f t="shared" si="224"/>
        <v>0.81642397642269393</v>
      </c>
      <c r="AF195" s="5">
        <f t="shared" si="225"/>
        <v>0.69332907551195877</v>
      </c>
      <c r="AG195" s="5">
        <f t="shared" si="226"/>
        <v>0.34666453775597939</v>
      </c>
      <c r="AH195" s="5">
        <v>0.3920324</v>
      </c>
      <c r="AI195" s="5">
        <f t="shared" si="227"/>
        <v>0.27883210618590482</v>
      </c>
      <c r="AJ195" s="5">
        <f t="shared" si="228"/>
        <v>0.46766201937776636</v>
      </c>
      <c r="AK195" s="5">
        <v>7.0070830000000001E-2</v>
      </c>
      <c r="AL195" s="5">
        <f t="shared" si="229"/>
        <v>6.0623613207878818E-2</v>
      </c>
      <c r="AM195" s="5">
        <f t="shared" si="230"/>
        <v>5.687662027963767E-2</v>
      </c>
      <c r="AN195" s="13">
        <f t="shared" si="231"/>
        <v>5.7293820629949047E-2</v>
      </c>
      <c r="AO195" s="13">
        <f t="shared" si="232"/>
        <v>2.8646910314974523E-2</v>
      </c>
      <c r="AP195" s="13">
        <f t="shared" si="233"/>
        <v>3.2395921071308106E-2</v>
      </c>
      <c r="AQ195" s="13">
        <f t="shared" si="234"/>
        <v>2.3041521323607879E-2</v>
      </c>
      <c r="AR195" s="13">
        <f t="shared" si="235"/>
        <v>3.8645637115224868E-2</v>
      </c>
      <c r="AS195" s="13">
        <f t="shared" si="236"/>
        <v>5.7903608938471626E-3</v>
      </c>
      <c r="AT195" s="13">
        <f t="shared" si="237"/>
        <v>5.0096823337559705E-3</v>
      </c>
      <c r="AU195" s="14">
        <f t="shared" si="238"/>
        <v>4.7000464792754477E-3</v>
      </c>
    </row>
    <row r="196" spans="1:47" x14ac:dyDescent="0.35">
      <c r="A196" s="5">
        <v>7.4999999999999997E-2</v>
      </c>
      <c r="B196" s="5">
        <v>0.02</v>
      </c>
      <c r="C196" s="5">
        <f t="shared" si="206"/>
        <v>0.15</v>
      </c>
      <c r="D196" s="5">
        <v>9.81</v>
      </c>
      <c r="E196" s="5">
        <v>1000</v>
      </c>
      <c r="F196" s="5">
        <v>2650</v>
      </c>
      <c r="G196" s="5">
        <v>1.65</v>
      </c>
      <c r="H196" s="5">
        <v>9.9999999999999995E-7</v>
      </c>
      <c r="I196" s="12"/>
      <c r="J196" s="12"/>
      <c r="K196" s="12"/>
      <c r="L196" s="12">
        <f t="shared" si="239"/>
        <v>296.25260285804012</v>
      </c>
      <c r="M196" s="5">
        <f t="shared" si="207"/>
        <v>1.5099521042713562</v>
      </c>
      <c r="N196" s="5">
        <f t="shared" si="208"/>
        <v>0.12201633165829143</v>
      </c>
      <c r="O196" s="12">
        <f t="shared" si="209"/>
        <v>0.24403266331658285</v>
      </c>
      <c r="P196" s="5">
        <f t="shared" si="210"/>
        <v>1897.1962050160116</v>
      </c>
      <c r="Q196" s="5">
        <v>4.7E-2</v>
      </c>
      <c r="R196" s="5">
        <f t="shared" si="211"/>
        <v>5.5131715547597548E-2</v>
      </c>
      <c r="S196" s="5">
        <f t="shared" si="212"/>
        <v>5.6000000000000001E-2</v>
      </c>
      <c r="T196" s="5">
        <f t="shared" si="213"/>
        <v>7.977443845417484E-2</v>
      </c>
      <c r="U196" s="5">
        <f t="shared" si="214"/>
        <v>8.7074722341604224E-2</v>
      </c>
      <c r="V196" s="5">
        <f t="shared" si="215"/>
        <v>3.4263571501942307</v>
      </c>
      <c r="W196" s="5">
        <f t="shared" si="216"/>
        <v>0.3895547355705582</v>
      </c>
      <c r="X196" s="5">
        <f t="shared" si="217"/>
        <v>0.34112748995075981</v>
      </c>
      <c r="Y196" s="5">
        <f t="shared" si="218"/>
        <v>8.9297112603038009</v>
      </c>
      <c r="Z196" s="12">
        <f t="shared" si="219"/>
        <v>4.5205550599332014</v>
      </c>
      <c r="AA196" s="12">
        <f t="shared" si="220"/>
        <v>4.8603607347581876</v>
      </c>
      <c r="AB196" s="12">
        <f t="shared" si="221"/>
        <v>5.8518612919311673E-2</v>
      </c>
      <c r="AC196" s="1">
        <f t="shared" si="222"/>
        <v>1.0764884039784659</v>
      </c>
      <c r="AD196" s="1">
        <f t="shared" si="223"/>
        <v>0.2619734785091975</v>
      </c>
      <c r="AE196" s="12">
        <f t="shared" si="224"/>
        <v>0.81642397642269393</v>
      </c>
      <c r="AF196" s="5">
        <f t="shared" si="225"/>
        <v>0.69967656630888342</v>
      </c>
      <c r="AG196" s="5">
        <f t="shared" si="226"/>
        <v>0.34983828315444171</v>
      </c>
      <c r="AH196" s="5">
        <v>0.39688669999999998</v>
      </c>
      <c r="AI196" s="5">
        <f t="shared" si="227"/>
        <v>0.28201141176505296</v>
      </c>
      <c r="AJ196" s="5">
        <f t="shared" si="228"/>
        <v>0.47459113422329008</v>
      </c>
      <c r="AK196" s="5">
        <v>7.1008059999999998E-2</v>
      </c>
      <c r="AL196" s="5">
        <f t="shared" si="229"/>
        <v>6.1558985791466521E-2</v>
      </c>
      <c r="AM196" s="5">
        <f t="shared" si="230"/>
        <v>5.7812850269706166E-2</v>
      </c>
      <c r="AN196" s="13">
        <f t="shared" si="231"/>
        <v>5.7818350773013817E-2</v>
      </c>
      <c r="AO196" s="13">
        <f t="shared" si="232"/>
        <v>2.8909175386506909E-2</v>
      </c>
      <c r="AP196" s="13">
        <f t="shared" si="233"/>
        <v>3.279706015995601E-2</v>
      </c>
      <c r="AQ196" s="13">
        <f t="shared" si="234"/>
        <v>2.3304245865262224E-2</v>
      </c>
      <c r="AR196" s="13">
        <f t="shared" si="235"/>
        <v>3.9218230241786896E-2</v>
      </c>
      <c r="AS196" s="13">
        <f t="shared" si="236"/>
        <v>5.8678096687587826E-3</v>
      </c>
      <c r="AT196" s="13">
        <f t="shared" si="237"/>
        <v>5.0869776195287091E-3</v>
      </c>
      <c r="AU196" s="14">
        <f t="shared" si="238"/>
        <v>4.7774126175406792E-3</v>
      </c>
    </row>
    <row r="197" spans="1:47" x14ac:dyDescent="0.35">
      <c r="A197" s="5">
        <v>7.4999999999999997E-2</v>
      </c>
      <c r="B197" s="5">
        <v>0.02</v>
      </c>
      <c r="C197" s="5">
        <f t="shared" si="206"/>
        <v>0.15</v>
      </c>
      <c r="D197" s="5">
        <v>9.81</v>
      </c>
      <c r="E197" s="5">
        <v>1000</v>
      </c>
      <c r="F197" s="5">
        <v>2650</v>
      </c>
      <c r="G197" s="5">
        <v>1.65</v>
      </c>
      <c r="H197" s="5">
        <v>9.9999999999999995E-7</v>
      </c>
      <c r="I197" s="12"/>
      <c r="J197" s="12"/>
      <c r="K197" s="12"/>
      <c r="L197" s="12">
        <f t="shared" si="239"/>
        <v>297.70145728643206</v>
      </c>
      <c r="M197" s="5">
        <f t="shared" si="207"/>
        <v>1.5173366834170847</v>
      </c>
      <c r="N197" s="5">
        <f t="shared" si="208"/>
        <v>0.12261306532663313</v>
      </c>
      <c r="O197" s="12">
        <f t="shared" si="209"/>
        <v>0.24522613065326626</v>
      </c>
      <c r="P197" s="5">
        <f t="shared" si="210"/>
        <v>1897.1962050160116</v>
      </c>
      <c r="Q197" s="5">
        <v>4.7E-2</v>
      </c>
      <c r="R197" s="5">
        <f t="shared" si="211"/>
        <v>5.5131715547597548E-2</v>
      </c>
      <c r="S197" s="5">
        <f t="shared" si="212"/>
        <v>5.6000000000000001E-2</v>
      </c>
      <c r="T197" s="5">
        <f t="shared" si="213"/>
        <v>7.977443845417484E-2</v>
      </c>
      <c r="U197" s="5">
        <f t="shared" si="214"/>
        <v>8.7074722341604224E-2</v>
      </c>
      <c r="V197" s="5">
        <f t="shared" si="215"/>
        <v>3.4480047141205343</v>
      </c>
      <c r="W197" s="5">
        <f t="shared" si="216"/>
        <v>0.3895547355705582</v>
      </c>
      <c r="X197" s="5">
        <f t="shared" si="217"/>
        <v>0.34112748995075981</v>
      </c>
      <c r="Y197" s="5">
        <f t="shared" si="218"/>
        <v>8.9415347305296979</v>
      </c>
      <c r="Z197" s="12">
        <f t="shared" si="219"/>
        <v>4.5205550599332014</v>
      </c>
      <c r="AA197" s="12">
        <f t="shared" si="220"/>
        <v>4.8786824156810624</v>
      </c>
      <c r="AB197" s="12">
        <f t="shared" si="221"/>
        <v>5.8518612919311673E-2</v>
      </c>
      <c r="AC197" s="1">
        <f t="shared" si="222"/>
        <v>1.0858308743433815</v>
      </c>
      <c r="AD197" s="1">
        <f t="shared" si="223"/>
        <v>0.26266186707995587</v>
      </c>
      <c r="AE197" s="12">
        <f t="shared" si="224"/>
        <v>0.81642397642269393</v>
      </c>
      <c r="AF197" s="5">
        <f t="shared" si="225"/>
        <v>0.70604331036278545</v>
      </c>
      <c r="AG197" s="5">
        <f t="shared" si="226"/>
        <v>0.35302165518139272</v>
      </c>
      <c r="AH197" s="5">
        <v>0.40176810000000002</v>
      </c>
      <c r="AI197" s="5">
        <f t="shared" si="227"/>
        <v>0.28520636478809352</v>
      </c>
      <c r="AJ197" s="5">
        <f t="shared" si="228"/>
        <v>0.4815883567394228</v>
      </c>
      <c r="AK197" s="5">
        <v>7.195182E-2</v>
      </c>
      <c r="AL197" s="5">
        <f t="shared" si="229"/>
        <v>6.250100433377849E-2</v>
      </c>
      <c r="AM197" s="5">
        <f t="shared" si="230"/>
        <v>5.8756142406402118E-2</v>
      </c>
      <c r="AN197" s="13">
        <f t="shared" si="231"/>
        <v>5.8344471924866137E-2</v>
      </c>
      <c r="AO197" s="13">
        <f t="shared" si="232"/>
        <v>2.9172235962433068E-2</v>
      </c>
      <c r="AP197" s="13">
        <f t="shared" si="233"/>
        <v>3.3200438679480124E-2</v>
      </c>
      <c r="AQ197" s="13">
        <f t="shared" si="234"/>
        <v>2.3568263446362561E-2</v>
      </c>
      <c r="AR197" s="13">
        <f t="shared" si="235"/>
        <v>3.9796451501945537E-2</v>
      </c>
      <c r="AS197" s="13">
        <f t="shared" si="236"/>
        <v>5.9457980556121594E-3</v>
      </c>
      <c r="AT197" s="13">
        <f t="shared" si="237"/>
        <v>5.1648220995881315E-3</v>
      </c>
      <c r="AU197" s="14">
        <f t="shared" si="238"/>
        <v>4.8553623421236161E-3</v>
      </c>
    </row>
    <row r="198" spans="1:47" x14ac:dyDescent="0.35">
      <c r="A198" s="5">
        <v>7.4999999999999997E-2</v>
      </c>
      <c r="B198" s="5">
        <v>0.02</v>
      </c>
      <c r="C198" s="5">
        <f t="shared" si="206"/>
        <v>0.15</v>
      </c>
      <c r="D198" s="5">
        <v>9.81</v>
      </c>
      <c r="E198" s="5">
        <v>1000</v>
      </c>
      <c r="F198" s="5">
        <v>2650</v>
      </c>
      <c r="G198" s="5">
        <v>1.65</v>
      </c>
      <c r="H198" s="5">
        <v>9.9999999999999995E-7</v>
      </c>
      <c r="I198" s="12"/>
      <c r="J198" s="12"/>
      <c r="K198" s="12"/>
      <c r="L198" s="12">
        <f t="shared" si="239"/>
        <v>299.150311714824</v>
      </c>
      <c r="M198" s="5">
        <f t="shared" si="207"/>
        <v>1.5247212625628133</v>
      </c>
      <c r="N198" s="5">
        <f t="shared" si="208"/>
        <v>0.12320979899497483</v>
      </c>
      <c r="O198" s="12">
        <f t="shared" si="209"/>
        <v>0.24641959798994967</v>
      </c>
      <c r="P198" s="5">
        <f t="shared" si="210"/>
        <v>1897.1962050160116</v>
      </c>
      <c r="Q198" s="5">
        <v>4.7E-2</v>
      </c>
      <c r="R198" s="5">
        <f t="shared" si="211"/>
        <v>5.5131715547597548E-2</v>
      </c>
      <c r="S198" s="5">
        <f t="shared" si="212"/>
        <v>5.6000000000000001E-2</v>
      </c>
      <c r="T198" s="5">
        <f t="shared" si="213"/>
        <v>7.977443845417484E-2</v>
      </c>
      <c r="U198" s="5">
        <f t="shared" si="214"/>
        <v>8.7074722341604224E-2</v>
      </c>
      <c r="V198" s="5">
        <f t="shared" si="215"/>
        <v>3.469652278046838</v>
      </c>
      <c r="W198" s="5">
        <f t="shared" si="216"/>
        <v>0.3895547355705582</v>
      </c>
      <c r="X198" s="5">
        <f t="shared" si="217"/>
        <v>0.34112748995075981</v>
      </c>
      <c r="Y198" s="5">
        <f t="shared" si="218"/>
        <v>8.9532841981327529</v>
      </c>
      <c r="Z198" s="12">
        <f t="shared" si="219"/>
        <v>4.5205550599332014</v>
      </c>
      <c r="AA198" s="12">
        <f t="shared" si="220"/>
        <v>4.8969661285312478</v>
      </c>
      <c r="AB198" s="12">
        <f t="shared" si="221"/>
        <v>5.8518612919311673E-2</v>
      </c>
      <c r="AC198" s="1">
        <f t="shared" si="222"/>
        <v>1.0952045447761614</v>
      </c>
      <c r="AD198" s="1">
        <f t="shared" si="223"/>
        <v>0.26334526756825227</v>
      </c>
      <c r="AE198" s="12">
        <f t="shared" si="224"/>
        <v>0.81642397642269393</v>
      </c>
      <c r="AF198" s="5">
        <f t="shared" si="225"/>
        <v>0.71242924962623755</v>
      </c>
      <c r="AG198" s="5">
        <f t="shared" si="226"/>
        <v>0.35621462481311877</v>
      </c>
      <c r="AH198" s="5">
        <v>0.4066765</v>
      </c>
      <c r="AI198" s="5">
        <f t="shared" si="227"/>
        <v>0.28841693388604411</v>
      </c>
      <c r="AJ198" s="5">
        <f t="shared" si="228"/>
        <v>0.48865402001387148</v>
      </c>
      <c r="AK198" s="5">
        <v>7.2902110000000006E-2</v>
      </c>
      <c r="AL198" s="5">
        <f t="shared" si="229"/>
        <v>6.3449668258636668E-2</v>
      </c>
      <c r="AM198" s="5">
        <f t="shared" si="230"/>
        <v>5.9706484472029329E-2</v>
      </c>
      <c r="AN198" s="13">
        <f t="shared" si="231"/>
        <v>5.8872179288708928E-2</v>
      </c>
      <c r="AO198" s="13">
        <f t="shared" si="232"/>
        <v>2.9436089644354464E-2</v>
      </c>
      <c r="AP198" s="13">
        <f t="shared" si="233"/>
        <v>3.3606048366297867E-2</v>
      </c>
      <c r="AQ198" s="13">
        <f t="shared" si="234"/>
        <v>2.3833571474707126E-2</v>
      </c>
      <c r="AR198" s="13">
        <f t="shared" si="235"/>
        <v>4.0380328420678478E-2</v>
      </c>
      <c r="AS198" s="13">
        <f t="shared" si="236"/>
        <v>6.0243260544072938E-3</v>
      </c>
      <c r="AT198" s="13">
        <f t="shared" si="237"/>
        <v>5.243215726321286E-3</v>
      </c>
      <c r="AU198" s="14">
        <f t="shared" si="238"/>
        <v>4.9338946434048445E-3</v>
      </c>
    </row>
    <row r="199" spans="1:47" x14ac:dyDescent="0.35">
      <c r="A199" s="5">
        <v>7.4999999999999997E-2</v>
      </c>
      <c r="B199" s="5">
        <v>0.02</v>
      </c>
      <c r="C199" s="5">
        <f t="shared" si="206"/>
        <v>0.15</v>
      </c>
      <c r="D199" s="5">
        <v>9.81</v>
      </c>
      <c r="E199" s="5">
        <v>1000</v>
      </c>
      <c r="F199" s="5">
        <v>2650</v>
      </c>
      <c r="G199" s="5">
        <v>1.65</v>
      </c>
      <c r="H199" s="5">
        <v>9.9999999999999995E-7</v>
      </c>
      <c r="I199" s="12"/>
      <c r="J199" s="12"/>
      <c r="K199" s="12"/>
      <c r="L199" s="12">
        <f t="shared" si="239"/>
        <v>300.59916614321594</v>
      </c>
      <c r="M199" s="5">
        <f t="shared" si="207"/>
        <v>1.5321058417085418</v>
      </c>
      <c r="N199" s="5">
        <f t="shared" si="208"/>
        <v>0.12380653266331652</v>
      </c>
      <c r="O199" s="12">
        <f t="shared" si="209"/>
        <v>0.24761306532663305</v>
      </c>
      <c r="P199" s="5">
        <f t="shared" si="210"/>
        <v>1897.1962050160116</v>
      </c>
      <c r="Q199" s="5">
        <v>4.7E-2</v>
      </c>
      <c r="R199" s="5">
        <f t="shared" si="211"/>
        <v>5.5131715547597548E-2</v>
      </c>
      <c r="S199" s="5">
        <f t="shared" si="212"/>
        <v>5.6000000000000001E-2</v>
      </c>
      <c r="T199" s="5">
        <f t="shared" si="213"/>
        <v>7.977443845417484E-2</v>
      </c>
      <c r="U199" s="5">
        <f t="shared" si="214"/>
        <v>8.7074722341604224E-2</v>
      </c>
      <c r="V199" s="5">
        <f t="shared" si="215"/>
        <v>3.4912998419731416</v>
      </c>
      <c r="W199" s="5">
        <f t="shared" si="216"/>
        <v>0.3895547355705582</v>
      </c>
      <c r="X199" s="5">
        <f t="shared" si="217"/>
        <v>0.34112748995075981</v>
      </c>
      <c r="Y199" s="5">
        <f t="shared" si="218"/>
        <v>8.9649605460740496</v>
      </c>
      <c r="Z199" s="12">
        <f t="shared" si="219"/>
        <v>4.5205550599332014</v>
      </c>
      <c r="AA199" s="12">
        <f t="shared" si="220"/>
        <v>4.9152121592921665</v>
      </c>
      <c r="AB199" s="12">
        <f t="shared" si="221"/>
        <v>5.8518612919311673E-2</v>
      </c>
      <c r="AC199" s="1">
        <f t="shared" si="222"/>
        <v>1.1046093561670929</v>
      </c>
      <c r="AD199" s="1">
        <f t="shared" si="223"/>
        <v>0.26402373499465087</v>
      </c>
      <c r="AE199" s="12">
        <f t="shared" si="224"/>
        <v>0.81642397642269393</v>
      </c>
      <c r="AF199" s="5">
        <f t="shared" si="225"/>
        <v>0.71883432657369795</v>
      </c>
      <c r="AG199" s="5">
        <f t="shared" si="226"/>
        <v>0.35941716328684897</v>
      </c>
      <c r="AH199" s="5">
        <v>0.41161199999999998</v>
      </c>
      <c r="AI199" s="5">
        <f t="shared" si="227"/>
        <v>0.29164308792527244</v>
      </c>
      <c r="AJ199" s="5">
        <f t="shared" si="228"/>
        <v>0.49578845713434289</v>
      </c>
      <c r="AK199" s="5">
        <v>7.3858930000000003E-2</v>
      </c>
      <c r="AL199" s="5">
        <f t="shared" si="229"/>
        <v>6.4404977556165102E-2</v>
      </c>
      <c r="AM199" s="5">
        <f t="shared" si="230"/>
        <v>6.0663864976115714E-2</v>
      </c>
      <c r="AN199" s="13">
        <f t="shared" si="231"/>
        <v>5.940146811087154E-2</v>
      </c>
      <c r="AO199" s="13">
        <f t="shared" si="232"/>
        <v>2.970073405543577E-2</v>
      </c>
      <c r="AP199" s="13">
        <f t="shared" si="233"/>
        <v>3.4013897483991813E-2</v>
      </c>
      <c r="AQ199" s="13">
        <f t="shared" si="234"/>
        <v>2.4100167377542513E-2</v>
      </c>
      <c r="AR199" s="13">
        <f t="shared" si="235"/>
        <v>4.0969888522963398E-2</v>
      </c>
      <c r="AS199" s="13">
        <f t="shared" si="236"/>
        <v>6.103393665144184E-3</v>
      </c>
      <c r="AT199" s="13">
        <f t="shared" si="237"/>
        <v>5.3221584989120666E-3</v>
      </c>
      <c r="AU199" s="14">
        <f t="shared" si="238"/>
        <v>5.0130085718597161E-3</v>
      </c>
    </row>
    <row r="200" spans="1:47" x14ac:dyDescent="0.35">
      <c r="A200" s="5">
        <v>7.4999999999999997E-2</v>
      </c>
      <c r="B200" s="5">
        <v>0.02</v>
      </c>
      <c r="C200" s="5">
        <f t="shared" si="206"/>
        <v>0.15</v>
      </c>
      <c r="D200" s="5">
        <v>9.81</v>
      </c>
      <c r="E200" s="5">
        <v>1000</v>
      </c>
      <c r="F200" s="5">
        <v>2650</v>
      </c>
      <c r="G200" s="5">
        <v>1.65</v>
      </c>
      <c r="H200" s="5">
        <v>9.9999999999999995E-7</v>
      </c>
      <c r="I200" s="12"/>
      <c r="J200" s="12"/>
      <c r="K200" s="12"/>
      <c r="L200" s="12">
        <f t="shared" si="239"/>
        <v>302.04802057160788</v>
      </c>
      <c r="M200" s="5">
        <f t="shared" si="207"/>
        <v>1.5394904208542703</v>
      </c>
      <c r="N200" s="5">
        <f t="shared" si="208"/>
        <v>0.12440326633165823</v>
      </c>
      <c r="O200" s="12">
        <f t="shared" si="209"/>
        <v>0.24880653266331645</v>
      </c>
      <c r="P200" s="5">
        <f t="shared" si="210"/>
        <v>1897.1962050160116</v>
      </c>
      <c r="Q200" s="5">
        <v>4.7E-2</v>
      </c>
      <c r="R200" s="5">
        <f t="shared" si="211"/>
        <v>5.5131715547597548E-2</v>
      </c>
      <c r="S200" s="5">
        <f t="shared" si="212"/>
        <v>5.6000000000000001E-2</v>
      </c>
      <c r="T200" s="5">
        <f t="shared" si="213"/>
        <v>7.977443845417484E-2</v>
      </c>
      <c r="U200" s="5">
        <f t="shared" si="214"/>
        <v>8.7074722341604224E-2</v>
      </c>
      <c r="V200" s="5">
        <f t="shared" si="215"/>
        <v>3.5129474058994452</v>
      </c>
      <c r="W200" s="5">
        <f t="shared" si="216"/>
        <v>0.3895547355705582</v>
      </c>
      <c r="X200" s="5">
        <f t="shared" si="217"/>
        <v>0.34112748995075981</v>
      </c>
      <c r="Y200" s="5">
        <f t="shared" si="218"/>
        <v>8.9765646428686878</v>
      </c>
      <c r="Z200" s="12">
        <f t="shared" si="219"/>
        <v>4.5205550599332014</v>
      </c>
      <c r="AA200" s="12">
        <f t="shared" si="220"/>
        <v>4.9334207906586247</v>
      </c>
      <c r="AB200" s="12">
        <f t="shared" si="221"/>
        <v>5.8518612919311673E-2</v>
      </c>
      <c r="AC200" s="1">
        <f t="shared" si="222"/>
        <v>1.1140452499029356</v>
      </c>
      <c r="AD200" s="1">
        <f t="shared" si="223"/>
        <v>0.26469732358762021</v>
      </c>
      <c r="AE200" s="12">
        <f t="shared" si="224"/>
        <v>0.81642397642269393</v>
      </c>
      <c r="AF200" s="5">
        <f t="shared" si="225"/>
        <v>0.72525848419373884</v>
      </c>
      <c r="AG200" s="5">
        <f t="shared" si="226"/>
        <v>0.36262924209686942</v>
      </c>
      <c r="AH200" s="5">
        <v>0.41657440000000001</v>
      </c>
      <c r="AI200" s="5">
        <f t="shared" si="227"/>
        <v>0.2948847960048086</v>
      </c>
      <c r="AJ200" s="5">
        <f t="shared" si="228"/>
        <v>0.50299200118854448</v>
      </c>
      <c r="AK200" s="5">
        <v>7.482229E-2</v>
      </c>
      <c r="AL200" s="5">
        <f t="shared" si="229"/>
        <v>6.5366932767153232E-2</v>
      </c>
      <c r="AM200" s="5">
        <f t="shared" si="230"/>
        <v>6.1628273145113474E-2</v>
      </c>
      <c r="AN200" s="13">
        <f t="shared" si="231"/>
        <v>5.9932333680167565E-2</v>
      </c>
      <c r="AO200" s="13">
        <f t="shared" si="232"/>
        <v>2.9966166840083783E-2</v>
      </c>
      <c r="AP200" s="13">
        <f t="shared" si="233"/>
        <v>3.4423969505396834E-2</v>
      </c>
      <c r="AQ200" s="13">
        <f t="shared" si="234"/>
        <v>2.4368048601341553E-2</v>
      </c>
      <c r="AR200" s="13">
        <f t="shared" si="235"/>
        <v>4.156515933377803E-2</v>
      </c>
      <c r="AS200" s="13">
        <f t="shared" si="236"/>
        <v>6.183001714181088E-3</v>
      </c>
      <c r="AT200" s="13">
        <f t="shared" si="237"/>
        <v>5.4016504620490544E-3</v>
      </c>
      <c r="AU200" s="14">
        <f t="shared" si="238"/>
        <v>5.0927032372072136E-3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8123-7226-4461-8E83-FDB05788BF1E}">
  <dimension ref="A1:L51"/>
  <sheetViews>
    <sheetView zoomScale="70" zoomScaleNormal="80" zoomScaleSheetLayoutView="116" workbookViewId="0">
      <selection activeCell="J11" sqref="J11"/>
    </sheetView>
  </sheetViews>
  <sheetFormatPr defaultRowHeight="14.5" x14ac:dyDescent="0.35"/>
  <cols>
    <col min="1" max="2" width="19.6328125" customWidth="1"/>
    <col min="3" max="3" width="17" customWidth="1"/>
    <col min="4" max="4" width="14.453125" customWidth="1"/>
    <col min="5" max="5" width="16.54296875" customWidth="1"/>
    <col min="7" max="7" width="18" customWidth="1"/>
    <col min="8" max="8" width="27" customWidth="1"/>
    <col min="9" max="9" width="25.54296875" customWidth="1"/>
    <col min="10" max="10" width="25.6328125" customWidth="1"/>
    <col min="11" max="11" width="18.81640625" customWidth="1"/>
    <col min="12" max="12" width="18.90625" style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>
        <v>500000</v>
      </c>
      <c r="B2" s="3">
        <v>5999999.0959999999</v>
      </c>
      <c r="C2" s="3">
        <v>146.95665459614199</v>
      </c>
      <c r="D2" s="3">
        <v>0.01</v>
      </c>
      <c r="E2" s="3" t="b">
        <v>1</v>
      </c>
      <c r="F2" s="3" t="b">
        <v>1</v>
      </c>
      <c r="G2" s="3">
        <v>0</v>
      </c>
      <c r="H2" s="3">
        <f>MAX(G2:G51)-G2</f>
        <v>500.8779527771095</v>
      </c>
      <c r="I2" s="3">
        <v>125.029137069896</v>
      </c>
      <c r="J2" s="3">
        <v>174.56299346160199</v>
      </c>
      <c r="K2" s="3">
        <v>149.127486336511</v>
      </c>
      <c r="L2" s="3" t="e">
        <f>IF(AND(G2&gt;=G$13, G2&lt;=G$51), C2, NA())</f>
        <v>#N/A</v>
      </c>
    </row>
    <row r="3" spans="1:12" x14ac:dyDescent="0.35">
      <c r="A3" s="3">
        <v>500010.20409999997</v>
      </c>
      <c r="B3" s="3">
        <v>5999998.6849999996</v>
      </c>
      <c r="C3" s="1">
        <v>154.35746658519</v>
      </c>
      <c r="D3" s="3">
        <v>0.01</v>
      </c>
      <c r="E3" s="3" t="b">
        <v>1</v>
      </c>
      <c r="F3" s="3" t="b">
        <v>1</v>
      </c>
      <c r="G3" s="3">
        <f>SQRT((A3 - A2)^2 + (B3 - B2)^2) + G2</f>
        <v>10.212373759793433</v>
      </c>
      <c r="H3" s="3">
        <f>MAX(G3:G51)-G3</f>
        <v>490.66557901731608</v>
      </c>
      <c r="I3" s="3">
        <v>125.029137069896</v>
      </c>
      <c r="J3" s="3">
        <v>174.56299346160199</v>
      </c>
      <c r="K3" s="3">
        <v>149.127486336511</v>
      </c>
      <c r="L3" s="3" t="e">
        <f t="shared" ref="L3:L51" si="0">IF(AND(G3&gt;=G$13, G3&lt;=G$51), C3, NA())</f>
        <v>#N/A</v>
      </c>
    </row>
    <row r="4" spans="1:12" x14ac:dyDescent="0.35">
      <c r="A4" s="3">
        <v>500020.40820000001</v>
      </c>
      <c r="B4" s="3">
        <v>5999999.1229999997</v>
      </c>
      <c r="C4" s="1">
        <v>151.008964727501</v>
      </c>
      <c r="D4" s="3">
        <v>0.01</v>
      </c>
      <c r="E4" s="3" t="b">
        <v>1</v>
      </c>
      <c r="F4" s="3" t="b">
        <v>1</v>
      </c>
      <c r="G4" s="3">
        <f t="shared" ref="G4:G51" si="1">SQRT((A4 - A3)^2 + (B4 - B3)^2) + G3</f>
        <v>20.425869772947792</v>
      </c>
      <c r="H4" s="3">
        <f>MAX(G4:G51)-G4</f>
        <v>480.45208300416169</v>
      </c>
      <c r="I4" s="3">
        <v>125.029137069896</v>
      </c>
      <c r="J4" s="3">
        <v>174.56299346160199</v>
      </c>
      <c r="K4" s="3">
        <v>149.127486336511</v>
      </c>
      <c r="L4" s="3" t="e">
        <f t="shared" si="0"/>
        <v>#N/A</v>
      </c>
    </row>
    <row r="5" spans="1:12" x14ac:dyDescent="0.35">
      <c r="A5" s="3">
        <v>500030.61219999997</v>
      </c>
      <c r="B5" s="3">
        <v>5999998.8030000003</v>
      </c>
      <c r="C5" s="3">
        <v>160.567643641144</v>
      </c>
      <c r="D5" s="3">
        <v>0.01</v>
      </c>
      <c r="E5" s="3" t="b">
        <v>1</v>
      </c>
      <c r="F5" s="3" t="b">
        <v>1</v>
      </c>
      <c r="G5" s="3">
        <f t="shared" si="1"/>
        <v>30.634886179975354</v>
      </c>
      <c r="H5" s="3">
        <f>MAX(G5:G51)-G5</f>
        <v>470.24306659713415</v>
      </c>
      <c r="I5" s="3">
        <v>125.029137069896</v>
      </c>
      <c r="J5" s="3">
        <v>174.56299346160199</v>
      </c>
      <c r="K5" s="3">
        <v>149.127486336511</v>
      </c>
      <c r="L5" s="3" t="e">
        <f t="shared" si="0"/>
        <v>#N/A</v>
      </c>
    </row>
    <row r="6" spans="1:12" x14ac:dyDescent="0.35">
      <c r="A6" s="3">
        <v>500040.81630000001</v>
      </c>
      <c r="B6" s="3">
        <v>5999998.2180000003</v>
      </c>
      <c r="C6" s="3">
        <v>160.82291235416201</v>
      </c>
      <c r="D6" s="3">
        <v>0.01</v>
      </c>
      <c r="E6" s="3" t="b">
        <v>1</v>
      </c>
      <c r="F6" s="3" t="b">
        <v>1</v>
      </c>
      <c r="G6" s="3">
        <f t="shared" si="1"/>
        <v>40.855741418682364</v>
      </c>
      <c r="H6" s="3">
        <f>MAX(G6:G51)-G6</f>
        <v>460.02221135842711</v>
      </c>
      <c r="I6" s="3">
        <v>125.029137069896</v>
      </c>
      <c r="J6" s="3">
        <v>174.56299346160199</v>
      </c>
      <c r="K6" s="3">
        <v>149.127486336511</v>
      </c>
      <c r="L6" s="3" t="e">
        <f t="shared" si="0"/>
        <v>#N/A</v>
      </c>
    </row>
    <row r="7" spans="1:12" x14ac:dyDescent="0.35">
      <c r="A7" s="3">
        <v>500051.02039999998</v>
      </c>
      <c r="B7" s="3">
        <v>5999997.3420000002</v>
      </c>
      <c r="C7" s="3">
        <v>159.448184007094</v>
      </c>
      <c r="D7" s="3">
        <v>0.01</v>
      </c>
      <c r="E7" s="3" t="b">
        <v>1</v>
      </c>
      <c r="F7" s="3" t="b">
        <v>1</v>
      </c>
      <c r="G7" s="3">
        <f t="shared" si="1"/>
        <v>51.097373749993004</v>
      </c>
      <c r="H7" s="3">
        <f>MAX(G7:G51)-G7</f>
        <v>449.78057902711652</v>
      </c>
      <c r="I7" s="3">
        <v>125.029137069896</v>
      </c>
      <c r="J7" s="3">
        <v>174.56299346160199</v>
      </c>
      <c r="K7" s="3">
        <v>149.127486336511</v>
      </c>
      <c r="L7" s="3" t="e">
        <f t="shared" si="0"/>
        <v>#N/A</v>
      </c>
    </row>
    <row r="8" spans="1:12" x14ac:dyDescent="0.35">
      <c r="A8" s="3">
        <v>500061.22450000001</v>
      </c>
      <c r="B8" s="3">
        <v>5999997.2750000004</v>
      </c>
      <c r="C8" s="3">
        <v>163.976815723534</v>
      </c>
      <c r="D8" s="3">
        <v>0.01</v>
      </c>
      <c r="E8" s="3" t="b">
        <v>1</v>
      </c>
      <c r="F8" s="3" t="b">
        <v>1</v>
      </c>
      <c r="G8" s="3">
        <f t="shared" si="1"/>
        <v>61.301693708256863</v>
      </c>
      <c r="H8" s="3">
        <f>MAX(G8:G51)-G8</f>
        <v>439.57625906885266</v>
      </c>
      <c r="I8" s="3">
        <v>125.029137069896</v>
      </c>
      <c r="J8" s="3">
        <v>174.56299346160199</v>
      </c>
      <c r="K8" s="3">
        <v>149.127486336511</v>
      </c>
      <c r="L8" s="3" t="e">
        <f t="shared" si="0"/>
        <v>#N/A</v>
      </c>
    </row>
    <row r="9" spans="1:12" x14ac:dyDescent="0.35">
      <c r="A9" s="3">
        <v>500071.42859999998</v>
      </c>
      <c r="B9" s="3">
        <v>5999996.8150000004</v>
      </c>
      <c r="C9" s="3">
        <v>168.15179501512699</v>
      </c>
      <c r="D9" s="3">
        <v>0.01</v>
      </c>
      <c r="E9" s="3" t="b">
        <v>1</v>
      </c>
      <c r="F9" s="3" t="b">
        <v>1</v>
      </c>
      <c r="G9" s="3">
        <f t="shared" si="1"/>
        <v>71.516156827257589</v>
      </c>
      <c r="H9" s="3">
        <f>MAX(G9:G51)-G9</f>
        <v>429.36179594985191</v>
      </c>
      <c r="I9" s="3">
        <v>125.029137069896</v>
      </c>
      <c r="J9" s="3">
        <v>174.56299346160199</v>
      </c>
      <c r="K9" s="3">
        <v>149.127486336511</v>
      </c>
      <c r="L9" s="3" t="e">
        <f t="shared" si="0"/>
        <v>#N/A</v>
      </c>
    </row>
    <row r="10" spans="1:12" x14ac:dyDescent="0.35">
      <c r="A10" s="3">
        <v>500081.63270000002</v>
      </c>
      <c r="B10" s="3">
        <v>5999997.7350000003</v>
      </c>
      <c r="C10" s="3">
        <v>162.52794206849799</v>
      </c>
      <c r="D10" s="3">
        <v>0.01</v>
      </c>
      <c r="E10" s="3" t="b">
        <v>1</v>
      </c>
      <c r="F10" s="3" t="b">
        <v>1</v>
      </c>
      <c r="G10" s="3">
        <f t="shared" si="1"/>
        <v>81.761646410996917</v>
      </c>
      <c r="H10" s="3">
        <f>MAX(G10:G51)-G10</f>
        <v>419.11630636611255</v>
      </c>
      <c r="I10" s="3">
        <v>125.029137069896</v>
      </c>
      <c r="J10" s="3">
        <v>174.56299346160199</v>
      </c>
      <c r="K10" s="3">
        <v>149.127486336511</v>
      </c>
      <c r="L10" s="3" t="e">
        <f t="shared" si="0"/>
        <v>#N/A</v>
      </c>
    </row>
    <row r="11" spans="1:12" x14ac:dyDescent="0.35">
      <c r="A11" s="3">
        <v>500091.83669999999</v>
      </c>
      <c r="B11" s="3">
        <v>5999997.7640000004</v>
      </c>
      <c r="C11" s="3">
        <v>168.15550111421601</v>
      </c>
      <c r="D11" s="3">
        <v>0.01</v>
      </c>
      <c r="E11" s="3" t="b">
        <v>1</v>
      </c>
      <c r="F11" s="3" t="b">
        <v>1</v>
      </c>
      <c r="G11" s="3">
        <f t="shared" si="1"/>
        <v>91.965687620212464</v>
      </c>
      <c r="H11" s="3">
        <f>MAX(G11:G51)-G11</f>
        <v>408.91226515689704</v>
      </c>
      <c r="I11" s="3">
        <v>125.029137069896</v>
      </c>
      <c r="J11" s="3">
        <v>174.56299346160199</v>
      </c>
      <c r="K11" s="3">
        <v>149.127486336511</v>
      </c>
      <c r="L11" s="3" t="e">
        <f t="shared" si="0"/>
        <v>#N/A</v>
      </c>
    </row>
    <row r="12" spans="1:12" x14ac:dyDescent="0.35">
      <c r="A12" s="3">
        <v>500102.04080000002</v>
      </c>
      <c r="B12" s="3">
        <v>5999997.9119999995</v>
      </c>
      <c r="C12" s="3">
        <v>170.62367285843499</v>
      </c>
      <c r="D12" s="3">
        <v>0.01</v>
      </c>
      <c r="E12" s="3" t="b">
        <v>1</v>
      </c>
      <c r="F12" s="3" t="b">
        <v>1</v>
      </c>
      <c r="G12" s="3">
        <f t="shared" si="1"/>
        <v>102.17086085785942</v>
      </c>
      <c r="H12" s="3">
        <f>MAX(G12:G51)-G12</f>
        <v>398.70709191925005</v>
      </c>
      <c r="I12" s="3">
        <v>125.029137069896</v>
      </c>
      <c r="J12" s="3">
        <v>174.56299346160199</v>
      </c>
      <c r="K12" s="3">
        <v>149.127486336511</v>
      </c>
      <c r="L12" s="3" t="e">
        <f t="shared" si="0"/>
        <v>#N/A</v>
      </c>
    </row>
    <row r="13" spans="1:12" x14ac:dyDescent="0.35">
      <c r="A13" s="3">
        <v>500112.24489999999</v>
      </c>
      <c r="B13" s="3">
        <v>5999997.4409999996</v>
      </c>
      <c r="C13" s="3">
        <v>174.56299346160199</v>
      </c>
      <c r="D13" s="3">
        <v>0.01</v>
      </c>
      <c r="E13" s="3" t="b">
        <v>1</v>
      </c>
      <c r="F13" s="3" t="b">
        <v>1</v>
      </c>
      <c r="G13" s="3">
        <f t="shared" si="1"/>
        <v>112.38582526354234</v>
      </c>
      <c r="H13" s="3">
        <f>MAX(G13:G51)-G13</f>
        <v>388.49212751356714</v>
      </c>
      <c r="I13" s="3">
        <v>125.029137069896</v>
      </c>
      <c r="J13" s="3">
        <v>174.56299346160199</v>
      </c>
      <c r="K13" s="3">
        <v>149.127486336511</v>
      </c>
      <c r="L13" s="3">
        <f t="shared" si="0"/>
        <v>174.56299346160199</v>
      </c>
    </row>
    <row r="14" spans="1:12" x14ac:dyDescent="0.35">
      <c r="A14" s="3">
        <v>500122.44900000002</v>
      </c>
      <c r="B14" s="3">
        <v>5999997.7379999999</v>
      </c>
      <c r="C14" s="3">
        <v>165.68327835707299</v>
      </c>
      <c r="D14" s="3">
        <v>0.01</v>
      </c>
      <c r="E14" s="3" t="b">
        <v>1</v>
      </c>
      <c r="F14" s="3" t="b">
        <v>1</v>
      </c>
      <c r="G14" s="3">
        <f t="shared" si="1"/>
        <v>122.59424658178733</v>
      </c>
      <c r="H14" s="3">
        <f>MAX(G14:G51)-G14</f>
        <v>378.28370619532217</v>
      </c>
      <c r="I14" s="3">
        <v>125.029137069896</v>
      </c>
      <c r="J14" s="3">
        <v>174.56299346160199</v>
      </c>
      <c r="K14" s="3">
        <v>149.127486336511</v>
      </c>
      <c r="L14" s="3">
        <f t="shared" si="0"/>
        <v>165.68327835707299</v>
      </c>
    </row>
    <row r="15" spans="1:12" x14ac:dyDescent="0.35">
      <c r="A15" s="3">
        <v>500132.6531</v>
      </c>
      <c r="B15" s="3">
        <v>5999997.2350000003</v>
      </c>
      <c r="C15" s="3">
        <v>173.58726489934301</v>
      </c>
      <c r="D15" s="3">
        <v>0.01</v>
      </c>
      <c r="E15" s="3" t="b">
        <v>1</v>
      </c>
      <c r="F15" s="3" t="b">
        <v>1</v>
      </c>
      <c r="G15" s="3">
        <f t="shared" si="1"/>
        <v>132.81073647846995</v>
      </c>
      <c r="H15" s="3">
        <f>MAX(G15:G51)-G15</f>
        <v>368.06721629863955</v>
      </c>
      <c r="I15" s="3">
        <v>125.029137069896</v>
      </c>
      <c r="J15" s="3">
        <v>174.56299346160199</v>
      </c>
      <c r="K15" s="3">
        <v>149.127486336511</v>
      </c>
      <c r="L15" s="3">
        <f t="shared" si="0"/>
        <v>173.58726489934301</v>
      </c>
    </row>
    <row r="16" spans="1:12" x14ac:dyDescent="0.35">
      <c r="A16" s="3">
        <v>500142.85710000002</v>
      </c>
      <c r="B16" s="3">
        <v>5999996.4450000003</v>
      </c>
      <c r="C16" s="3">
        <v>164.79443470844299</v>
      </c>
      <c r="D16" s="3">
        <v>0.01</v>
      </c>
      <c r="E16" s="3" t="b">
        <v>1</v>
      </c>
      <c r="F16" s="3" t="b">
        <v>1</v>
      </c>
      <c r="G16" s="3">
        <f t="shared" si="1"/>
        <v>143.04527193449383</v>
      </c>
      <c r="H16" s="3">
        <f>MAX(G16:G51)-G16</f>
        <v>357.83268084261567</v>
      </c>
      <c r="I16" s="3">
        <v>125.029137069896</v>
      </c>
      <c r="J16" s="3">
        <v>174.56299346160199</v>
      </c>
      <c r="K16" s="3">
        <v>149.127486336511</v>
      </c>
      <c r="L16" s="3">
        <f t="shared" si="0"/>
        <v>164.79443470844299</v>
      </c>
    </row>
    <row r="17" spans="1:12" x14ac:dyDescent="0.35">
      <c r="A17" s="3">
        <v>500153.0612</v>
      </c>
      <c r="B17" s="3">
        <v>5999996.5480000004</v>
      </c>
      <c r="C17" s="3">
        <v>167.55157275140499</v>
      </c>
      <c r="D17" s="3">
        <v>0.01</v>
      </c>
      <c r="E17" s="3" t="b">
        <v>1</v>
      </c>
      <c r="F17" s="3" t="b">
        <v>1</v>
      </c>
      <c r="G17" s="3">
        <f t="shared" si="1"/>
        <v>153.2498917612921</v>
      </c>
      <c r="H17" s="3">
        <f>MAX(G17:G51)-G17</f>
        <v>347.62806101581737</v>
      </c>
      <c r="I17" s="3">
        <v>125.029137069896</v>
      </c>
      <c r="J17" s="3">
        <v>174.56299346160199</v>
      </c>
      <c r="K17" s="3">
        <v>149.127486336511</v>
      </c>
      <c r="L17" s="3">
        <f t="shared" si="0"/>
        <v>167.55157275140499</v>
      </c>
    </row>
    <row r="18" spans="1:12" x14ac:dyDescent="0.35">
      <c r="A18" s="3">
        <v>500163.26530000003</v>
      </c>
      <c r="B18" s="3">
        <v>5999996.7019999996</v>
      </c>
      <c r="C18" s="3">
        <v>164.39385847900201</v>
      </c>
      <c r="D18" s="3">
        <v>0.01</v>
      </c>
      <c r="E18" s="3" t="b">
        <v>1</v>
      </c>
      <c r="F18" s="3" t="b">
        <v>1</v>
      </c>
      <c r="G18" s="3">
        <f t="shared" si="1"/>
        <v>163.4551537770559</v>
      </c>
      <c r="H18" s="3">
        <f>MAX(G18:G51)-G18</f>
        <v>337.4227990000536</v>
      </c>
      <c r="I18" s="3">
        <v>125.029137069896</v>
      </c>
      <c r="J18" s="3">
        <v>174.56299346160199</v>
      </c>
      <c r="K18" s="3">
        <v>149.127486336511</v>
      </c>
      <c r="L18" s="3">
        <f t="shared" si="0"/>
        <v>164.39385847900201</v>
      </c>
    </row>
    <row r="19" spans="1:12" x14ac:dyDescent="0.35">
      <c r="A19" s="3">
        <v>500173.4694</v>
      </c>
      <c r="B19" s="3">
        <v>5999996.0899999999</v>
      </c>
      <c r="C19" s="3">
        <v>168.52742719967199</v>
      </c>
      <c r="D19" s="3">
        <v>0.01</v>
      </c>
      <c r="E19" s="3" t="b">
        <v>1</v>
      </c>
      <c r="F19" s="3" t="b">
        <v>1</v>
      </c>
      <c r="G19" s="3">
        <f t="shared" si="1"/>
        <v>173.67758992550563</v>
      </c>
      <c r="H19" s="3">
        <f>MAX(G19:G51)-G19</f>
        <v>327.20036285160387</v>
      </c>
      <c r="I19" s="3">
        <v>125.029137069896</v>
      </c>
      <c r="J19" s="3">
        <v>174.56299346160199</v>
      </c>
      <c r="K19" s="3">
        <v>149.127486336511</v>
      </c>
      <c r="L19" s="3">
        <f t="shared" si="0"/>
        <v>168.52742719967199</v>
      </c>
    </row>
    <row r="20" spans="1:12" x14ac:dyDescent="0.35">
      <c r="A20" s="3">
        <v>500183.67349999998</v>
      </c>
      <c r="B20" s="3">
        <v>5999996.3550000004</v>
      </c>
      <c r="C20" s="3">
        <v>165.55156806663999</v>
      </c>
      <c r="D20" s="3">
        <v>0.01</v>
      </c>
      <c r="E20" s="3" t="b">
        <v>1</v>
      </c>
      <c r="F20" s="3" t="b">
        <v>1</v>
      </c>
      <c r="G20" s="3">
        <f t="shared" si="1"/>
        <v>183.88513036430754</v>
      </c>
      <c r="H20" s="3">
        <f>MAX(G20:G51)-G20</f>
        <v>316.99282241280196</v>
      </c>
      <c r="I20" s="3">
        <v>125.029137069896</v>
      </c>
      <c r="J20" s="3">
        <v>174.56299346160199</v>
      </c>
      <c r="K20" s="3">
        <v>149.127486336511</v>
      </c>
      <c r="L20" s="3">
        <f t="shared" si="0"/>
        <v>165.55156806663999</v>
      </c>
    </row>
    <row r="21" spans="1:12" x14ac:dyDescent="0.35">
      <c r="A21" s="3">
        <v>500193.87760000001</v>
      </c>
      <c r="B21" s="3">
        <v>5999996.7819999997</v>
      </c>
      <c r="C21" s="3">
        <v>165.84180450851801</v>
      </c>
      <c r="D21" s="3">
        <v>0.01</v>
      </c>
      <c r="E21" s="3" t="b">
        <v>1</v>
      </c>
      <c r="F21" s="3" t="b">
        <v>1</v>
      </c>
      <c r="G21" s="3">
        <f t="shared" si="1"/>
        <v>194.09816056155918</v>
      </c>
      <c r="H21" s="3">
        <f>MAX(G21:G51)-G21</f>
        <v>306.77979221555029</v>
      </c>
      <c r="I21" s="3">
        <v>125.029137069896</v>
      </c>
      <c r="J21" s="3">
        <v>174.56299346160199</v>
      </c>
      <c r="K21" s="3">
        <v>149.127486336511</v>
      </c>
      <c r="L21" s="3">
        <f t="shared" si="0"/>
        <v>165.84180450851801</v>
      </c>
    </row>
    <row r="22" spans="1:12" x14ac:dyDescent="0.35">
      <c r="A22" s="3">
        <v>500204.08159999998</v>
      </c>
      <c r="B22" s="3">
        <v>5999995.943</v>
      </c>
      <c r="C22" s="3">
        <v>159.96473160584401</v>
      </c>
      <c r="D22" s="3">
        <v>0.01</v>
      </c>
      <c r="E22" s="3" t="b">
        <v>1</v>
      </c>
      <c r="F22" s="3" t="b">
        <v>1</v>
      </c>
      <c r="G22" s="3">
        <f t="shared" si="1"/>
        <v>204.33659486563312</v>
      </c>
      <c r="H22" s="3">
        <f>MAX(G22:G51)-G22</f>
        <v>296.54135791147638</v>
      </c>
      <c r="I22" s="3">
        <v>125.029137069896</v>
      </c>
      <c r="J22" s="3">
        <v>174.56299346160199</v>
      </c>
      <c r="K22" s="3">
        <v>149.127486336511</v>
      </c>
      <c r="L22" s="3">
        <f t="shared" si="0"/>
        <v>159.96473160584401</v>
      </c>
    </row>
    <row r="23" spans="1:12" x14ac:dyDescent="0.35">
      <c r="A23" s="3">
        <v>500214.28570000001</v>
      </c>
      <c r="B23" s="3">
        <v>5999995.7209999999</v>
      </c>
      <c r="C23" s="3">
        <v>162.47261493362501</v>
      </c>
      <c r="D23" s="3">
        <v>0.01</v>
      </c>
      <c r="E23" s="3" t="b">
        <v>1</v>
      </c>
      <c r="F23" s="3" t="b">
        <v>1</v>
      </c>
      <c r="G23" s="3">
        <f t="shared" si="1"/>
        <v>214.54310949162948</v>
      </c>
      <c r="H23" s="3">
        <f>MAX(G23:G51)-G23</f>
        <v>286.33484328548002</v>
      </c>
      <c r="I23" s="3">
        <v>125.029137069896</v>
      </c>
      <c r="J23" s="3">
        <v>174.56299346160199</v>
      </c>
      <c r="K23" s="3">
        <v>149.127486336511</v>
      </c>
      <c r="L23" s="3">
        <f t="shared" si="0"/>
        <v>162.47261493362501</v>
      </c>
    </row>
    <row r="24" spans="1:12" x14ac:dyDescent="0.35">
      <c r="A24" s="3">
        <v>500224.48979999998</v>
      </c>
      <c r="B24" s="3">
        <v>5999996.1430000002</v>
      </c>
      <c r="C24" s="3">
        <v>152.99515885586101</v>
      </c>
      <c r="D24" s="3">
        <v>0.01</v>
      </c>
      <c r="E24" s="3" t="b">
        <v>1</v>
      </c>
      <c r="F24" s="3" t="b">
        <v>1</v>
      </c>
      <c r="G24" s="3">
        <f t="shared" si="1"/>
        <v>224.75593186400403</v>
      </c>
      <c r="H24" s="3">
        <f>MAX(G24:G51)-G24</f>
        <v>276.12202091310547</v>
      </c>
      <c r="I24" s="3">
        <v>125.029137069896</v>
      </c>
      <c r="J24" s="3">
        <v>174.56299346160199</v>
      </c>
      <c r="K24" s="3">
        <v>149.127486336511</v>
      </c>
      <c r="L24" s="3">
        <f t="shared" si="0"/>
        <v>152.99515885586101</v>
      </c>
    </row>
    <row r="25" spans="1:12" x14ac:dyDescent="0.35">
      <c r="A25" s="3">
        <v>500234.69390000001</v>
      </c>
      <c r="B25" s="3">
        <v>5999996.5070000002</v>
      </c>
      <c r="C25" s="3">
        <v>151.627185016966</v>
      </c>
      <c r="D25" s="3">
        <v>0.01</v>
      </c>
      <c r="E25" s="3" t="b">
        <v>1</v>
      </c>
      <c r="F25" s="3" t="b">
        <v>1</v>
      </c>
      <c r="G25" s="3">
        <f t="shared" si="1"/>
        <v>234.96652209232539</v>
      </c>
      <c r="H25" s="3">
        <f>MAX(G25:G51)-G25</f>
        <v>265.91143068478414</v>
      </c>
      <c r="I25" s="3">
        <v>125.029137069896</v>
      </c>
      <c r="J25" s="3">
        <v>174.56299346160199</v>
      </c>
      <c r="K25" s="3">
        <v>149.127486336511</v>
      </c>
      <c r="L25" s="3">
        <f t="shared" si="0"/>
        <v>151.627185016966</v>
      </c>
    </row>
    <row r="26" spans="1:12" x14ac:dyDescent="0.35">
      <c r="A26" s="3">
        <v>500244.89799999999</v>
      </c>
      <c r="B26" s="3">
        <v>5999996.9510000004</v>
      </c>
      <c r="C26" s="3">
        <v>155.94529899752101</v>
      </c>
      <c r="D26" s="3">
        <v>0.01</v>
      </c>
      <c r="E26" s="3" t="b">
        <v>1</v>
      </c>
      <c r="F26" s="3" t="b">
        <v>1</v>
      </c>
      <c r="G26" s="3">
        <f t="shared" si="1"/>
        <v>245.18027717111886</v>
      </c>
      <c r="H26" s="3">
        <f>MAX(G26:G51)-G26</f>
        <v>255.69767560599064</v>
      </c>
      <c r="I26" s="3">
        <v>125.029137069896</v>
      </c>
      <c r="J26" s="3">
        <v>174.56299346160199</v>
      </c>
      <c r="K26" s="3">
        <v>149.127486336511</v>
      </c>
      <c r="L26" s="3">
        <f t="shared" si="0"/>
        <v>155.94529899752101</v>
      </c>
    </row>
    <row r="27" spans="1:12" x14ac:dyDescent="0.35">
      <c r="A27" s="3">
        <v>500255.10200000001</v>
      </c>
      <c r="B27" s="3">
        <v>5999997.8430000003</v>
      </c>
      <c r="C27" s="3">
        <v>150.21165883417899</v>
      </c>
      <c r="D27" s="3">
        <v>0.01</v>
      </c>
      <c r="E27" s="3" t="b">
        <v>1</v>
      </c>
      <c r="F27" s="3" t="b">
        <v>1</v>
      </c>
      <c r="G27" s="3">
        <f t="shared" si="1"/>
        <v>255.42319081912635</v>
      </c>
      <c r="H27" s="3">
        <f>MAX(G27:G51)-G27</f>
        <v>245.45476195798315</v>
      </c>
      <c r="I27" s="3">
        <v>125.029137069896</v>
      </c>
      <c r="J27" s="3">
        <v>174.56299346160199</v>
      </c>
      <c r="K27" s="3">
        <v>149.127486336511</v>
      </c>
      <c r="L27" s="3">
        <f t="shared" si="0"/>
        <v>150.21165883417899</v>
      </c>
    </row>
    <row r="28" spans="1:12" x14ac:dyDescent="0.35">
      <c r="A28" s="3">
        <v>500265.30609999999</v>
      </c>
      <c r="B28" s="3">
        <v>5999998.2829999998</v>
      </c>
      <c r="C28" s="3">
        <v>148.17037938339399</v>
      </c>
      <c r="D28" s="3">
        <v>0.01</v>
      </c>
      <c r="E28" s="3" t="b">
        <v>1</v>
      </c>
      <c r="F28" s="3" t="b">
        <v>1</v>
      </c>
      <c r="G28" s="3">
        <f t="shared" si="1"/>
        <v>265.63677279652296</v>
      </c>
      <c r="H28" s="3">
        <f>MAX(G28:G51)-G28</f>
        <v>235.24117998058654</v>
      </c>
      <c r="I28" s="3">
        <v>125.029137069896</v>
      </c>
      <c r="J28" s="3">
        <v>174.56299346160199</v>
      </c>
      <c r="K28" s="3">
        <v>149.127486336511</v>
      </c>
      <c r="L28" s="3">
        <f t="shared" si="0"/>
        <v>148.17037938339399</v>
      </c>
    </row>
    <row r="29" spans="1:12" x14ac:dyDescent="0.35">
      <c r="A29" s="3">
        <v>500275.51020000002</v>
      </c>
      <c r="B29" s="3">
        <v>5999997.3099999996</v>
      </c>
      <c r="C29" s="3">
        <v>144.91881493659599</v>
      </c>
      <c r="D29" s="3">
        <v>0.01</v>
      </c>
      <c r="E29" s="3" t="b">
        <v>1</v>
      </c>
      <c r="F29" s="3" t="b">
        <v>1</v>
      </c>
      <c r="G29" s="3">
        <f t="shared" si="1"/>
        <v>275.88715746301705</v>
      </c>
      <c r="H29" s="3">
        <f>MAX(G29:G51)-G29</f>
        <v>224.99079531409245</v>
      </c>
      <c r="I29" s="3">
        <v>125.029137069896</v>
      </c>
      <c r="J29" s="3">
        <v>174.56299346160199</v>
      </c>
      <c r="K29" s="3">
        <v>149.127486336511</v>
      </c>
      <c r="L29" s="3">
        <f t="shared" si="0"/>
        <v>144.91881493659599</v>
      </c>
    </row>
    <row r="30" spans="1:12" x14ac:dyDescent="0.35">
      <c r="A30" s="3">
        <v>500285.71429999999</v>
      </c>
      <c r="B30" s="3">
        <v>5999998.2240000004</v>
      </c>
      <c r="C30" s="3">
        <v>144.67717117967001</v>
      </c>
      <c r="D30" s="3">
        <v>0.01</v>
      </c>
      <c r="E30" s="3" t="b">
        <v>1</v>
      </c>
      <c r="F30" s="3" t="b">
        <v>1</v>
      </c>
      <c r="G30" s="3">
        <f t="shared" si="1"/>
        <v>286.13211001590525</v>
      </c>
      <c r="H30" s="3">
        <f>MAX(G30:G51)-G30</f>
        <v>214.74584276120424</v>
      </c>
      <c r="I30" s="3">
        <v>125.029137069896</v>
      </c>
      <c r="J30" s="3">
        <v>174.56299346160199</v>
      </c>
      <c r="K30" s="3">
        <v>149.127486336511</v>
      </c>
      <c r="L30" s="3">
        <f t="shared" si="0"/>
        <v>144.67717117967001</v>
      </c>
    </row>
    <row r="31" spans="1:12" x14ac:dyDescent="0.35">
      <c r="A31" s="3">
        <v>500295.91840000002</v>
      </c>
      <c r="B31" s="3">
        <v>5999999.1459999997</v>
      </c>
      <c r="C31" s="3">
        <v>141.344748933213</v>
      </c>
      <c r="D31" s="3">
        <v>0.01</v>
      </c>
      <c r="E31" s="3" t="b">
        <v>1</v>
      </c>
      <c r="F31" s="3" t="b">
        <v>1</v>
      </c>
      <c r="G31" s="3">
        <f t="shared" si="1"/>
        <v>296.37777938444327</v>
      </c>
      <c r="H31" s="3">
        <f>MAX(G31:G51)-G31</f>
        <v>204.50017339266623</v>
      </c>
      <c r="I31" s="3">
        <v>125.029137069896</v>
      </c>
      <c r="J31" s="3">
        <v>174.56299346160199</v>
      </c>
      <c r="K31" s="3">
        <v>149.127486336511</v>
      </c>
      <c r="L31" s="3">
        <f t="shared" si="0"/>
        <v>141.344748933213</v>
      </c>
    </row>
    <row r="32" spans="1:12" x14ac:dyDescent="0.35">
      <c r="A32" s="3">
        <v>500306.12239999999</v>
      </c>
      <c r="B32" s="3">
        <v>5999998.5650000004</v>
      </c>
      <c r="C32" s="3">
        <v>139.91503399244701</v>
      </c>
      <c r="D32" s="3">
        <v>0.01</v>
      </c>
      <c r="E32" s="3" t="b">
        <v>1</v>
      </c>
      <c r="F32" s="3" t="b">
        <v>1</v>
      </c>
      <c r="G32" s="3">
        <f t="shared" si="1"/>
        <v>306.59830662126222</v>
      </c>
      <c r="H32" s="3">
        <f>MAX(G32:G51)-G32</f>
        <v>194.27964615584727</v>
      </c>
      <c r="I32" s="3">
        <v>125.029137069896</v>
      </c>
      <c r="J32" s="3">
        <v>174.56299346160199</v>
      </c>
      <c r="K32" s="3">
        <v>149.127486336511</v>
      </c>
      <c r="L32" s="3">
        <f t="shared" si="0"/>
        <v>139.91503399244701</v>
      </c>
    </row>
    <row r="33" spans="1:12" x14ac:dyDescent="0.35">
      <c r="A33" s="3">
        <v>500316.32650000002</v>
      </c>
      <c r="B33" s="3">
        <v>5999999.1900000004</v>
      </c>
      <c r="C33" s="3">
        <v>130.506484059678</v>
      </c>
      <c r="D33" s="3">
        <v>0.01</v>
      </c>
      <c r="E33" s="3" t="b">
        <v>1</v>
      </c>
      <c r="F33" s="3" t="b">
        <v>1</v>
      </c>
      <c r="G33" s="3">
        <f t="shared" si="1"/>
        <v>316.82152929371966</v>
      </c>
      <c r="H33" s="3">
        <f>MAX(G33:G51)-G33</f>
        <v>184.05642348338984</v>
      </c>
      <c r="I33" s="3">
        <v>125.029137069896</v>
      </c>
      <c r="J33" s="3">
        <v>174.56299346160199</v>
      </c>
      <c r="K33" s="3">
        <v>149.127486336511</v>
      </c>
      <c r="L33" s="3">
        <f t="shared" si="0"/>
        <v>130.506484059678</v>
      </c>
    </row>
    <row r="34" spans="1:12" x14ac:dyDescent="0.35">
      <c r="A34" s="3">
        <v>500326.5306</v>
      </c>
      <c r="B34" s="3">
        <v>6000000.1349999998</v>
      </c>
      <c r="C34" s="3">
        <v>128.62917733108401</v>
      </c>
      <c r="D34" s="3">
        <v>0.01</v>
      </c>
      <c r="E34" s="3" t="b">
        <v>1</v>
      </c>
      <c r="F34" s="3" t="b">
        <v>1</v>
      </c>
      <c r="G34" s="3">
        <f t="shared" si="1"/>
        <v>327.06929401624637</v>
      </c>
      <c r="H34" s="3">
        <f>MAX(G34:G51)-G34</f>
        <v>173.80865876086312</v>
      </c>
      <c r="I34" s="3">
        <v>125.029137069896</v>
      </c>
      <c r="J34" s="3">
        <v>174.56299346160199</v>
      </c>
      <c r="K34" s="3">
        <v>149.127486336511</v>
      </c>
      <c r="L34" s="3">
        <f t="shared" si="0"/>
        <v>128.62917733108401</v>
      </c>
    </row>
    <row r="35" spans="1:12" x14ac:dyDescent="0.35">
      <c r="A35" s="3">
        <v>500336.73469999997</v>
      </c>
      <c r="B35" s="3">
        <v>5999999.3439999996</v>
      </c>
      <c r="C35" s="3">
        <v>132.03919081702699</v>
      </c>
      <c r="D35" s="3">
        <v>0.01</v>
      </c>
      <c r="E35" s="3" t="b">
        <v>1</v>
      </c>
      <c r="F35" s="3" t="b">
        <v>1</v>
      </c>
      <c r="G35" s="3">
        <f t="shared" si="1"/>
        <v>337.30400641131536</v>
      </c>
      <c r="H35" s="3">
        <f>MAX(G35:G51)-G35</f>
        <v>163.57394636579414</v>
      </c>
      <c r="I35" s="3">
        <v>125.029137069896</v>
      </c>
      <c r="J35" s="3">
        <v>174.56299346160199</v>
      </c>
      <c r="K35" s="3">
        <v>149.127486336511</v>
      </c>
      <c r="L35" s="3">
        <f t="shared" si="0"/>
        <v>132.03919081702699</v>
      </c>
    </row>
    <row r="36" spans="1:12" x14ac:dyDescent="0.35">
      <c r="A36" s="3">
        <v>500346.9388</v>
      </c>
      <c r="B36" s="3">
        <v>5999998.5729999999</v>
      </c>
      <c r="C36" s="3">
        <v>126.254020801129</v>
      </c>
      <c r="D36" s="3">
        <v>0.01</v>
      </c>
      <c r="E36" s="3" t="b">
        <v>1</v>
      </c>
      <c r="F36" s="3" t="b">
        <v>1</v>
      </c>
      <c r="G36" s="3">
        <f t="shared" si="1"/>
        <v>347.5371925139039</v>
      </c>
      <c r="H36" s="3">
        <f>MAX(G36:G51)-G36</f>
        <v>153.3407602632056</v>
      </c>
      <c r="I36" s="3">
        <v>125.029137069896</v>
      </c>
      <c r="J36" s="3">
        <v>174.56299346160199</v>
      </c>
      <c r="K36" s="3">
        <v>149.127486336511</v>
      </c>
      <c r="L36" s="3">
        <f t="shared" si="0"/>
        <v>126.254020801129</v>
      </c>
    </row>
    <row r="37" spans="1:12" x14ac:dyDescent="0.35">
      <c r="A37" s="3">
        <v>500357.14289999998</v>
      </c>
      <c r="B37" s="3">
        <v>5999999.3269999996</v>
      </c>
      <c r="C37" s="3">
        <v>131.167686591956</v>
      </c>
      <c r="D37" s="3">
        <v>0.01</v>
      </c>
      <c r="E37" s="3" t="b">
        <v>1</v>
      </c>
      <c r="F37" s="3" t="b">
        <v>1</v>
      </c>
      <c r="G37" s="3">
        <f t="shared" si="1"/>
        <v>357.76911182599019</v>
      </c>
      <c r="H37" s="3">
        <f>MAX(G37:G51)-G37</f>
        <v>143.1088409511193</v>
      </c>
      <c r="I37" s="3">
        <v>125.029137069896</v>
      </c>
      <c r="J37" s="3">
        <v>174.56299346160199</v>
      </c>
      <c r="K37" s="3">
        <v>149.127486336511</v>
      </c>
      <c r="L37" s="3">
        <f t="shared" si="0"/>
        <v>131.167686591956</v>
      </c>
    </row>
    <row r="38" spans="1:12" x14ac:dyDescent="0.35">
      <c r="A38" s="3">
        <v>500367.3469</v>
      </c>
      <c r="B38" s="3">
        <v>5999999.8169999998</v>
      </c>
      <c r="C38" s="3">
        <v>128.83036429882799</v>
      </c>
      <c r="D38" s="3">
        <v>0.01</v>
      </c>
      <c r="E38" s="3" t="b">
        <v>1</v>
      </c>
      <c r="F38" s="3" t="b">
        <v>1</v>
      </c>
      <c r="G38" s="3">
        <f t="shared" si="1"/>
        <v>367.98487004556307</v>
      </c>
      <c r="H38" s="3">
        <f>MAX(G38:G51)-G38</f>
        <v>132.89308273154643</v>
      </c>
      <c r="I38" s="3">
        <v>125.029137069896</v>
      </c>
      <c r="J38" s="3">
        <v>174.56299346160199</v>
      </c>
      <c r="K38" s="3">
        <v>149.127486336511</v>
      </c>
      <c r="L38" s="3">
        <f t="shared" si="0"/>
        <v>128.83036429882799</v>
      </c>
    </row>
    <row r="39" spans="1:12" x14ac:dyDescent="0.35">
      <c r="A39" s="3">
        <v>500377.55099999998</v>
      </c>
      <c r="B39" s="3">
        <v>5999999.0449999999</v>
      </c>
      <c r="C39" s="3">
        <v>125.029137069896</v>
      </c>
      <c r="D39" s="3">
        <v>0.01</v>
      </c>
      <c r="E39" s="3" t="b">
        <v>1</v>
      </c>
      <c r="F39" s="3" t="b">
        <v>1</v>
      </c>
      <c r="G39" s="3">
        <f t="shared" si="1"/>
        <v>378.21813153979235</v>
      </c>
      <c r="H39" s="3">
        <f>MAX(G39:G51)-G39</f>
        <v>122.65982123731715</v>
      </c>
      <c r="I39" s="3">
        <v>125.029137069896</v>
      </c>
      <c r="J39" s="3">
        <v>174.56299346160199</v>
      </c>
      <c r="K39" s="3">
        <v>149.127486336511</v>
      </c>
      <c r="L39" s="3">
        <f t="shared" si="0"/>
        <v>125.029137069896</v>
      </c>
    </row>
    <row r="40" spans="1:12" x14ac:dyDescent="0.35">
      <c r="A40" s="3">
        <v>500387.75510000001</v>
      </c>
      <c r="B40" s="3">
        <v>5999999.3559999997</v>
      </c>
      <c r="C40" s="3">
        <v>125.795298917349</v>
      </c>
      <c r="D40" s="3">
        <v>0.01</v>
      </c>
      <c r="E40" s="3" t="b">
        <v>1</v>
      </c>
      <c r="F40" s="3" t="b">
        <v>1</v>
      </c>
      <c r="G40" s="3">
        <f t="shared" si="1"/>
        <v>388.42696976020193</v>
      </c>
      <c r="H40" s="3">
        <f>MAX(G40:G51)-G40</f>
        <v>112.45098301690757</v>
      </c>
      <c r="I40" s="3">
        <v>125.029137069896</v>
      </c>
      <c r="J40" s="3">
        <v>174.56299346160199</v>
      </c>
      <c r="K40" s="3">
        <v>149.127486336511</v>
      </c>
      <c r="L40" s="3">
        <f t="shared" si="0"/>
        <v>125.795298917349</v>
      </c>
    </row>
    <row r="41" spans="1:12" x14ac:dyDescent="0.35">
      <c r="A41" s="3">
        <v>500397.95919999998</v>
      </c>
      <c r="B41" s="3">
        <v>5999998.4469999997</v>
      </c>
      <c r="C41" s="4">
        <v>135.347452072804</v>
      </c>
      <c r="D41" s="3">
        <v>0.01</v>
      </c>
      <c r="E41" s="3" t="b">
        <v>1</v>
      </c>
      <c r="F41" s="3" t="b">
        <v>1</v>
      </c>
      <c r="G41" s="3">
        <f t="shared" si="1"/>
        <v>398.67147745015137</v>
      </c>
      <c r="H41" s="3">
        <f>MAX(G41:G51)-G41</f>
        <v>102.20647532695813</v>
      </c>
      <c r="I41" s="3">
        <v>125.029137069896</v>
      </c>
      <c r="J41" s="3">
        <v>174.56299346160199</v>
      </c>
      <c r="K41" s="3">
        <v>149.127486336511</v>
      </c>
      <c r="L41" s="3">
        <f t="shared" si="0"/>
        <v>135.347452072804</v>
      </c>
    </row>
    <row r="42" spans="1:12" x14ac:dyDescent="0.35">
      <c r="A42" s="3">
        <v>500408.16330000001</v>
      </c>
      <c r="B42" s="3">
        <v>5999998.1469999999</v>
      </c>
      <c r="C42" s="3">
        <v>128.06671766842501</v>
      </c>
      <c r="D42" s="3">
        <v>0.01</v>
      </c>
      <c r="E42" s="3" t="b">
        <v>1</v>
      </c>
      <c r="F42" s="3" t="b">
        <v>1</v>
      </c>
      <c r="G42" s="3">
        <f t="shared" si="1"/>
        <v>408.87998648969955</v>
      </c>
      <c r="H42" s="3">
        <f>MAX(G42:G51)-G42</f>
        <v>91.997966287409952</v>
      </c>
      <c r="I42" s="3">
        <v>125.029137069896</v>
      </c>
      <c r="J42" s="3">
        <v>174.56299346160199</v>
      </c>
      <c r="K42" s="3">
        <v>149.127486336511</v>
      </c>
      <c r="L42" s="3">
        <f t="shared" si="0"/>
        <v>128.06671766842501</v>
      </c>
    </row>
    <row r="43" spans="1:12" x14ac:dyDescent="0.35">
      <c r="A43" s="3">
        <v>500418.36729999998</v>
      </c>
      <c r="B43" s="3">
        <v>5999997.4639999997</v>
      </c>
      <c r="C43" s="3">
        <v>132.450166877736</v>
      </c>
      <c r="D43" s="3">
        <v>0.01</v>
      </c>
      <c r="E43" s="3" t="b">
        <v>1</v>
      </c>
      <c r="F43" s="3" t="b">
        <v>1</v>
      </c>
      <c r="G43" s="3">
        <f t="shared" si="1"/>
        <v>419.10681908829173</v>
      </c>
      <c r="H43" s="3">
        <f>MAX(G43:G51)-G43</f>
        <v>81.77113368881777</v>
      </c>
      <c r="I43" s="3">
        <v>125.029137069896</v>
      </c>
      <c r="J43" s="3">
        <v>174.56299346160199</v>
      </c>
      <c r="K43" s="3">
        <v>149.127486336511</v>
      </c>
      <c r="L43" s="3">
        <f t="shared" si="0"/>
        <v>132.450166877736</v>
      </c>
    </row>
    <row r="44" spans="1:12" x14ac:dyDescent="0.35">
      <c r="A44" s="3">
        <v>500428.57140000002</v>
      </c>
      <c r="B44" s="3">
        <v>5999997.0760000004</v>
      </c>
      <c r="C44" s="3">
        <v>139.234638858198</v>
      </c>
      <c r="D44" s="3">
        <v>0.01</v>
      </c>
      <c r="E44" s="3" t="b">
        <v>1</v>
      </c>
      <c r="F44" s="3" t="b">
        <v>1</v>
      </c>
      <c r="G44" s="3">
        <f>SQRT((A44 - A43)^2 + (B44 - B43)^2) + G43</f>
        <v>429.31829306662286</v>
      </c>
      <c r="H44" s="3">
        <f>MAX(G44:G51)-G44</f>
        <v>71.559659710486642</v>
      </c>
      <c r="I44" s="3">
        <v>125.029137069896</v>
      </c>
      <c r="J44" s="3">
        <v>174.56299346160199</v>
      </c>
      <c r="K44" s="3">
        <v>149.127486336511</v>
      </c>
      <c r="L44" s="3">
        <f t="shared" si="0"/>
        <v>139.234638858198</v>
      </c>
    </row>
    <row r="45" spans="1:12" x14ac:dyDescent="0.35">
      <c r="A45" s="3">
        <v>500438.77549999999</v>
      </c>
      <c r="B45" s="3">
        <v>5999996.5899999999</v>
      </c>
      <c r="C45" s="3">
        <v>139.590466112179</v>
      </c>
      <c r="D45" s="3">
        <v>0.01</v>
      </c>
      <c r="E45" s="3" t="b">
        <v>1</v>
      </c>
      <c r="F45" s="3" t="b">
        <v>1</v>
      </c>
      <c r="G45" s="3">
        <f>SQRT((A45 - A44)^2 + (B45 - B44)^2) + G44</f>
        <v>439.5339600937898</v>
      </c>
      <c r="H45" s="3">
        <f>MAX(G45:G51)-G45</f>
        <v>61.343992683319698</v>
      </c>
      <c r="I45" s="3">
        <v>125.029137069896</v>
      </c>
      <c r="J45" s="3">
        <v>174.56299346160199</v>
      </c>
      <c r="K45" s="3">
        <v>149.127486336511</v>
      </c>
      <c r="L45" s="3">
        <f t="shared" si="0"/>
        <v>139.590466112179</v>
      </c>
    </row>
    <row r="46" spans="1:12" x14ac:dyDescent="0.35">
      <c r="A46" s="3">
        <v>500448.97960000002</v>
      </c>
      <c r="B46" s="3">
        <v>5999995.7369999997</v>
      </c>
      <c r="C46" s="3">
        <v>139.20154896633201</v>
      </c>
      <c r="D46" s="3">
        <v>0.01</v>
      </c>
      <c r="E46" s="3" t="b">
        <v>1</v>
      </c>
      <c r="F46" s="3" t="b">
        <v>1</v>
      </c>
      <c r="G46" s="3">
        <f>SQRT((A46 - A45)^2 + (B46 - B45)^2) + G45</f>
        <v>449.77365080253935</v>
      </c>
      <c r="H46" s="3">
        <f>MAX(G46:G51)-G46</f>
        <v>51.104301974570149</v>
      </c>
      <c r="I46" s="3">
        <v>125.029137069896</v>
      </c>
      <c r="J46" s="3">
        <v>174.56299346160199</v>
      </c>
      <c r="K46" s="3">
        <v>149.127486336511</v>
      </c>
      <c r="L46" s="3">
        <f t="shared" si="0"/>
        <v>139.20154896633201</v>
      </c>
    </row>
    <row r="47" spans="1:12" x14ac:dyDescent="0.35">
      <c r="A47" s="3">
        <v>500459.18369999999</v>
      </c>
      <c r="B47" s="3">
        <v>5999996.1710000001</v>
      </c>
      <c r="C47" s="3">
        <v>138.95080404388699</v>
      </c>
      <c r="D47" s="3">
        <v>0.01</v>
      </c>
      <c r="E47" s="3" t="b">
        <v>1</v>
      </c>
      <c r="F47" s="3" t="b">
        <v>1</v>
      </c>
      <c r="G47" s="3">
        <f t="shared" si="1"/>
        <v>459.98697605975946</v>
      </c>
      <c r="H47" s="3">
        <f>MAX(G47:G51)-G47</f>
        <v>40.890976717350043</v>
      </c>
      <c r="I47" s="3">
        <v>125.029137069896</v>
      </c>
      <c r="J47" s="3">
        <v>174.56299346160199</v>
      </c>
      <c r="K47" s="3">
        <v>149.127486336511</v>
      </c>
      <c r="L47" s="3">
        <f t="shared" si="0"/>
        <v>138.95080404388699</v>
      </c>
    </row>
    <row r="48" spans="1:12" x14ac:dyDescent="0.35">
      <c r="A48" s="3">
        <v>500469.38780000003</v>
      </c>
      <c r="B48" s="3">
        <v>5999997.0719999997</v>
      </c>
      <c r="C48" s="3">
        <v>138.933110494517</v>
      </c>
      <c r="D48" s="3">
        <v>0.01</v>
      </c>
      <c r="E48" s="3" t="b">
        <v>1</v>
      </c>
      <c r="F48" s="3" t="b">
        <v>1</v>
      </c>
      <c r="G48" s="3">
        <f t="shared" si="1"/>
        <v>470.23077700520622</v>
      </c>
      <c r="H48" s="3">
        <f>MAX(G48:G51)-G48</f>
        <v>30.647175771903278</v>
      </c>
      <c r="I48" s="3">
        <v>125.029137069896</v>
      </c>
      <c r="J48" s="3">
        <v>174.56299346160199</v>
      </c>
      <c r="K48" s="3">
        <v>149.127486336511</v>
      </c>
      <c r="L48" s="3">
        <f t="shared" si="0"/>
        <v>138.933110494517</v>
      </c>
    </row>
    <row r="49" spans="1:12" x14ac:dyDescent="0.35">
      <c r="A49" s="3">
        <v>500479.59179999999</v>
      </c>
      <c r="B49" s="3">
        <v>5999997.7630000003</v>
      </c>
      <c r="C49" s="3">
        <v>148.55007364474301</v>
      </c>
      <c r="D49" s="3">
        <v>0.01</v>
      </c>
      <c r="E49" s="3" t="b">
        <v>1</v>
      </c>
      <c r="F49" s="3" t="b">
        <v>1</v>
      </c>
      <c r="G49" s="3">
        <f t="shared" si="1"/>
        <v>480.45814699949881</v>
      </c>
      <c r="H49" s="3">
        <f>MAX(G49:G51)-G49</f>
        <v>20.419805777610691</v>
      </c>
      <c r="I49" s="3">
        <v>125.029137069896</v>
      </c>
      <c r="J49" s="3">
        <v>174.56299346160199</v>
      </c>
      <c r="K49" s="3">
        <v>149.127486336511</v>
      </c>
      <c r="L49" s="3">
        <f t="shared" si="0"/>
        <v>148.55007364474301</v>
      </c>
    </row>
    <row r="50" spans="1:12" x14ac:dyDescent="0.35">
      <c r="A50" s="3">
        <v>500489.79590000003</v>
      </c>
      <c r="B50" s="3">
        <v>5999997.9929999998</v>
      </c>
      <c r="C50" s="3">
        <v>146.10014692256101</v>
      </c>
      <c r="D50" s="3">
        <v>0.01</v>
      </c>
      <c r="E50" s="3" t="b">
        <v>1</v>
      </c>
      <c r="F50" s="3" t="b">
        <v>1</v>
      </c>
      <c r="G50" s="3">
        <f t="shared" si="1"/>
        <v>490.66483876570913</v>
      </c>
      <c r="H50" s="3">
        <f>MAX(G50:G51)-G50</f>
        <v>10.213114011400364</v>
      </c>
      <c r="I50" s="3">
        <v>125.029137069896</v>
      </c>
      <c r="J50" s="3">
        <v>174.56299346160199</v>
      </c>
      <c r="K50" s="3">
        <v>149.127486336511</v>
      </c>
      <c r="L50" s="3">
        <f t="shared" si="0"/>
        <v>146.10014692256101</v>
      </c>
    </row>
    <row r="51" spans="1:12" x14ac:dyDescent="0.35">
      <c r="A51" s="3">
        <v>500500</v>
      </c>
      <c r="B51" s="3">
        <v>5999998.4220000003</v>
      </c>
      <c r="C51" s="3">
        <v>149.127486336511</v>
      </c>
      <c r="D51" s="3">
        <v>0.01</v>
      </c>
      <c r="E51" s="3" t="b">
        <v>1</v>
      </c>
      <c r="F51" s="3" t="b">
        <v>1</v>
      </c>
      <c r="G51" s="3">
        <f t="shared" si="1"/>
        <v>500.8779527771095</v>
      </c>
      <c r="H51" s="3">
        <f>MAX(G51:G51)-G51</f>
        <v>0</v>
      </c>
      <c r="I51" s="3">
        <v>125.029137069896</v>
      </c>
      <c r="J51" s="3">
        <v>174.56299346160199</v>
      </c>
      <c r="K51" s="3">
        <v>149.127486336511</v>
      </c>
      <c r="L51" s="3">
        <f t="shared" si="0"/>
        <v>149.127486336511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1EAC-914F-4388-B654-9C11D9440D17}">
  <dimension ref="A1:J51"/>
  <sheetViews>
    <sheetView topLeftCell="J8" workbookViewId="0">
      <selection activeCell="E2" sqref="E2"/>
    </sheetView>
  </sheetViews>
  <sheetFormatPr defaultRowHeight="14.5" x14ac:dyDescent="0.35"/>
  <cols>
    <col min="8" max="8" width="14.26953125" customWidth="1"/>
    <col min="9" max="9" width="15.179687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18</v>
      </c>
      <c r="E1" s="5" t="s">
        <v>17</v>
      </c>
      <c r="F1" s="5" t="s">
        <v>16</v>
      </c>
      <c r="G1" s="5" t="s">
        <v>15</v>
      </c>
      <c r="H1" s="5" t="s">
        <v>14</v>
      </c>
      <c r="I1" s="5" t="s">
        <v>13</v>
      </c>
      <c r="J1" s="5" t="s">
        <v>12</v>
      </c>
    </row>
    <row r="2" spans="1:10" x14ac:dyDescent="0.35">
      <c r="A2" s="11">
        <v>500000</v>
      </c>
      <c r="B2">
        <v>5999999.0959999999</v>
      </c>
      <c r="C2">
        <v>146.95665459614199</v>
      </c>
      <c r="D2">
        <v>0</v>
      </c>
      <c r="E2">
        <v>140</v>
      </c>
      <c r="F2" t="e">
        <f t="shared" ref="F2:F33" si="0">IF($E2 -C2 &lt; 0, NA(), $E2 -C2)</f>
        <v>#N/A</v>
      </c>
      <c r="G2">
        <f>MIN(C2:C51)</f>
        <v>125.029137069896</v>
      </c>
      <c r="H2" t="e">
        <v>#N/A</v>
      </c>
      <c r="I2" t="e">
        <v>#N/A</v>
      </c>
      <c r="J2" t="e">
        <f t="shared" ref="J2:J33" si="1">IF(OR(ISNA(I2), ISNA(H2)), NA(), F2)</f>
        <v>#N/A</v>
      </c>
    </row>
    <row r="3" spans="1:10" x14ac:dyDescent="0.35">
      <c r="A3">
        <v>500010.20409999997</v>
      </c>
      <c r="B3">
        <v>5999998.6849999996</v>
      </c>
      <c r="C3">
        <v>154.35746658519</v>
      </c>
      <c r="D3">
        <v>10.212357125462139</v>
      </c>
      <c r="E3">
        <v>140</v>
      </c>
      <c r="F3" t="e">
        <f t="shared" si="0"/>
        <v>#N/A</v>
      </c>
      <c r="H3" t="e">
        <v>#N/A</v>
      </c>
      <c r="I3" t="e">
        <v>#N/A</v>
      </c>
      <c r="J3" t="e">
        <f t="shared" si="1"/>
        <v>#N/A</v>
      </c>
    </row>
    <row r="4" spans="1:10" x14ac:dyDescent="0.35">
      <c r="A4">
        <v>500020.40820000001</v>
      </c>
      <c r="B4">
        <v>5999999.1229999997</v>
      </c>
      <c r="C4">
        <v>151.008964727501</v>
      </c>
      <c r="D4">
        <v>20.425858755415639</v>
      </c>
      <c r="E4">
        <v>140</v>
      </c>
      <c r="F4" t="e">
        <f t="shared" si="0"/>
        <v>#N/A</v>
      </c>
      <c r="H4" t="e">
        <v>#N/A</v>
      </c>
      <c r="I4" t="e">
        <v>#N/A</v>
      </c>
      <c r="J4" t="e">
        <f t="shared" si="1"/>
        <v>#N/A</v>
      </c>
    </row>
    <row r="5" spans="1:10" x14ac:dyDescent="0.35">
      <c r="A5">
        <v>500030.61219999997</v>
      </c>
      <c r="B5">
        <v>5999998.8030000003</v>
      </c>
      <c r="C5">
        <v>160.567643641144</v>
      </c>
      <c r="D5">
        <v>30.634959886287774</v>
      </c>
      <c r="E5">
        <v>140</v>
      </c>
      <c r="F5" t="e">
        <f t="shared" si="0"/>
        <v>#N/A</v>
      </c>
      <c r="H5" t="e">
        <v>#N/A</v>
      </c>
      <c r="I5" t="e">
        <v>#N/A</v>
      </c>
      <c r="J5" t="e">
        <f t="shared" si="1"/>
        <v>#N/A</v>
      </c>
    </row>
    <row r="6" spans="1:10" x14ac:dyDescent="0.35">
      <c r="A6">
        <v>500040.81630000001</v>
      </c>
      <c r="B6">
        <v>5999998.2180000003</v>
      </c>
      <c r="C6">
        <v>160.82291235416201</v>
      </c>
      <c r="D6">
        <v>40.855841413664663</v>
      </c>
      <c r="E6">
        <v>140</v>
      </c>
      <c r="F6" t="e">
        <f t="shared" si="0"/>
        <v>#N/A</v>
      </c>
      <c r="H6" t="e">
        <v>#N/A</v>
      </c>
      <c r="I6" t="e">
        <v>#N/A</v>
      </c>
      <c r="J6" t="e">
        <f t="shared" si="1"/>
        <v>#N/A</v>
      </c>
    </row>
    <row r="7" spans="1:10" x14ac:dyDescent="0.35">
      <c r="A7">
        <v>500051.02039999998</v>
      </c>
      <c r="B7">
        <v>5999997.3420000002</v>
      </c>
      <c r="C7">
        <v>159.448184007094</v>
      </c>
      <c r="D7">
        <v>51.09744363825633</v>
      </c>
      <c r="E7">
        <v>140</v>
      </c>
      <c r="F7" t="e">
        <f t="shared" si="0"/>
        <v>#N/A</v>
      </c>
      <c r="H7" t="e">
        <v>#N/A</v>
      </c>
      <c r="I7" t="e">
        <v>#N/A</v>
      </c>
      <c r="J7" t="e">
        <f t="shared" si="1"/>
        <v>#N/A</v>
      </c>
    </row>
    <row r="8" spans="1:10" x14ac:dyDescent="0.35">
      <c r="A8">
        <v>500061.22450000001</v>
      </c>
      <c r="B8">
        <v>5999997.2750000004</v>
      </c>
      <c r="C8">
        <v>163.976815723534</v>
      </c>
      <c r="D8">
        <v>61.301741165547469</v>
      </c>
      <c r="E8">
        <v>140</v>
      </c>
      <c r="F8" t="e">
        <f t="shared" si="0"/>
        <v>#N/A</v>
      </c>
      <c r="H8" t="e">
        <v>#N/A</v>
      </c>
      <c r="I8" t="e">
        <v>#N/A</v>
      </c>
      <c r="J8" t="e">
        <f t="shared" si="1"/>
        <v>#N/A</v>
      </c>
    </row>
    <row r="9" spans="1:10" x14ac:dyDescent="0.35">
      <c r="A9">
        <v>500071.42859999998</v>
      </c>
      <c r="B9">
        <v>5999996.8150000004</v>
      </c>
      <c r="C9">
        <v>168.15179501512699</v>
      </c>
      <c r="D9">
        <v>71.51619650978752</v>
      </c>
      <c r="E9">
        <v>140</v>
      </c>
      <c r="F9" t="e">
        <f t="shared" si="0"/>
        <v>#N/A</v>
      </c>
      <c r="H9" t="e">
        <v>#N/A</v>
      </c>
      <c r="I9" t="e">
        <v>#N/A</v>
      </c>
      <c r="J9" t="e">
        <f t="shared" si="1"/>
        <v>#N/A</v>
      </c>
    </row>
    <row r="10" spans="1:10" x14ac:dyDescent="0.35">
      <c r="A10">
        <v>500081.63270000002</v>
      </c>
      <c r="B10">
        <v>5999997.7350000003</v>
      </c>
      <c r="C10">
        <v>162.52794206849799</v>
      </c>
      <c r="D10">
        <v>81.761621034653658</v>
      </c>
      <c r="E10">
        <v>140</v>
      </c>
      <c r="F10" t="e">
        <f t="shared" si="0"/>
        <v>#N/A</v>
      </c>
      <c r="H10" t="e">
        <v>#N/A</v>
      </c>
      <c r="I10" t="e">
        <v>#N/A</v>
      </c>
      <c r="J10" t="e">
        <f t="shared" si="1"/>
        <v>#N/A</v>
      </c>
    </row>
    <row r="11" spans="1:10" x14ac:dyDescent="0.35">
      <c r="A11">
        <v>500091.83669999999</v>
      </c>
      <c r="B11">
        <v>5999997.7640000004</v>
      </c>
      <c r="C11">
        <v>168.15550111421601</v>
      </c>
      <c r="D11">
        <v>91.965744325753604</v>
      </c>
      <c r="E11">
        <v>140</v>
      </c>
      <c r="F11" t="e">
        <f t="shared" si="0"/>
        <v>#N/A</v>
      </c>
      <c r="H11" t="e">
        <v>#N/A</v>
      </c>
      <c r="I11" t="e">
        <v>#N/A</v>
      </c>
      <c r="J11" t="e">
        <f t="shared" si="1"/>
        <v>#N/A</v>
      </c>
    </row>
    <row r="12" spans="1:10" x14ac:dyDescent="0.35">
      <c r="A12">
        <v>500102.04080000002</v>
      </c>
      <c r="B12">
        <v>5999997.9119999995</v>
      </c>
      <c r="C12">
        <v>170.62367285843499</v>
      </c>
      <c r="D12">
        <v>102.17090153966249</v>
      </c>
      <c r="E12">
        <v>140</v>
      </c>
      <c r="F12" t="e">
        <f t="shared" si="0"/>
        <v>#N/A</v>
      </c>
      <c r="H12" t="e">
        <v>#N/A</v>
      </c>
      <c r="I12" t="e">
        <v>#N/A</v>
      </c>
      <c r="J12" t="e">
        <f t="shared" si="1"/>
        <v>#N/A</v>
      </c>
    </row>
    <row r="13" spans="1:10" x14ac:dyDescent="0.35">
      <c r="A13">
        <v>500112.24489999999</v>
      </c>
      <c r="B13">
        <v>5999997.4409999996</v>
      </c>
      <c r="C13">
        <v>174.56299346160199</v>
      </c>
      <c r="D13">
        <v>112.38582736593412</v>
      </c>
      <c r="E13">
        <v>140</v>
      </c>
      <c r="F13" t="e">
        <f t="shared" si="0"/>
        <v>#N/A</v>
      </c>
      <c r="H13" t="e">
        <v>#N/A</v>
      </c>
      <c r="I13" t="e">
        <v>#N/A</v>
      </c>
      <c r="J13" t="e">
        <f t="shared" si="1"/>
        <v>#N/A</v>
      </c>
    </row>
    <row r="14" spans="1:10" x14ac:dyDescent="0.35">
      <c r="A14">
        <v>500122.44900000002</v>
      </c>
      <c r="B14">
        <v>5999997.7379999999</v>
      </c>
      <c r="C14">
        <v>165.68327835707299</v>
      </c>
      <c r="D14">
        <v>122.59420691651373</v>
      </c>
      <c r="E14">
        <v>140</v>
      </c>
      <c r="F14" t="e">
        <f t="shared" si="0"/>
        <v>#N/A</v>
      </c>
      <c r="H14" t="e">
        <v>#N/A</v>
      </c>
      <c r="I14" t="e">
        <v>#N/A</v>
      </c>
      <c r="J14" t="e">
        <f t="shared" si="1"/>
        <v>#N/A</v>
      </c>
    </row>
    <row r="15" spans="1:10" x14ac:dyDescent="0.35">
      <c r="A15">
        <v>500132.6531</v>
      </c>
      <c r="B15">
        <v>5999997.2350000003</v>
      </c>
      <c r="C15">
        <v>173.58726489934301</v>
      </c>
      <c r="D15">
        <v>132.81064181807284</v>
      </c>
      <c r="E15">
        <v>140</v>
      </c>
      <c r="F15" t="e">
        <f t="shared" si="0"/>
        <v>#N/A</v>
      </c>
      <c r="H15" t="e">
        <v>#N/A</v>
      </c>
      <c r="I15" t="e">
        <v>#N/A</v>
      </c>
      <c r="J15" t="e">
        <f t="shared" si="1"/>
        <v>#N/A</v>
      </c>
    </row>
    <row r="16" spans="1:10" x14ac:dyDescent="0.35">
      <c r="A16">
        <v>500142.85710000002</v>
      </c>
      <c r="B16">
        <v>5999996.4450000003</v>
      </c>
      <c r="C16">
        <v>164.79443470844299</v>
      </c>
      <c r="D16">
        <v>143.04530571513146</v>
      </c>
      <c r="E16">
        <v>140</v>
      </c>
      <c r="F16" t="e">
        <f t="shared" si="0"/>
        <v>#N/A</v>
      </c>
      <c r="H16" t="e">
        <v>#N/A</v>
      </c>
      <c r="I16" t="e">
        <v>#N/A</v>
      </c>
      <c r="J16" t="e">
        <f t="shared" si="1"/>
        <v>#N/A</v>
      </c>
    </row>
    <row r="17" spans="1:10" x14ac:dyDescent="0.35">
      <c r="A17">
        <v>500153.0612</v>
      </c>
      <c r="B17">
        <v>5999996.5480000004</v>
      </c>
      <c r="C17">
        <v>167.55157275140499</v>
      </c>
      <c r="D17">
        <v>153.24990887754328</v>
      </c>
      <c r="E17">
        <v>140</v>
      </c>
      <c r="F17" t="e">
        <f t="shared" si="0"/>
        <v>#N/A</v>
      </c>
      <c r="H17" t="e">
        <v>#N/A</v>
      </c>
      <c r="I17" t="e">
        <v>#N/A</v>
      </c>
      <c r="J17" t="e">
        <f t="shared" si="1"/>
        <v>#N/A</v>
      </c>
    </row>
    <row r="18" spans="1:10" x14ac:dyDescent="0.35">
      <c r="A18">
        <v>500163.26530000003</v>
      </c>
      <c r="B18">
        <v>5999996.7019999996</v>
      </c>
      <c r="C18">
        <v>164.39385847900201</v>
      </c>
      <c r="D18">
        <v>163.45514943911286</v>
      </c>
      <c r="E18">
        <v>140</v>
      </c>
      <c r="F18" t="e">
        <f t="shared" si="0"/>
        <v>#N/A</v>
      </c>
      <c r="H18" t="e">
        <v>#N/A</v>
      </c>
      <c r="I18" t="e">
        <v>#N/A</v>
      </c>
      <c r="J18" t="e">
        <f t="shared" si="1"/>
        <v>#N/A</v>
      </c>
    </row>
    <row r="19" spans="1:10" x14ac:dyDescent="0.35">
      <c r="A19">
        <v>500173.4694</v>
      </c>
      <c r="B19">
        <v>5999996.0899999999</v>
      </c>
      <c r="C19">
        <v>168.52742719967199</v>
      </c>
      <c r="D19">
        <v>173.67754745433652</v>
      </c>
      <c r="E19">
        <v>140</v>
      </c>
      <c r="F19" t="e">
        <f t="shared" si="0"/>
        <v>#N/A</v>
      </c>
      <c r="H19" t="e">
        <v>#N/A</v>
      </c>
      <c r="I19" t="e">
        <v>#N/A</v>
      </c>
      <c r="J19" t="e">
        <f t="shared" si="1"/>
        <v>#N/A</v>
      </c>
    </row>
    <row r="20" spans="1:10" x14ac:dyDescent="0.35">
      <c r="A20">
        <v>500183.67349999998</v>
      </c>
      <c r="B20">
        <v>5999996.3550000004</v>
      </c>
      <c r="C20">
        <v>165.55156806663999</v>
      </c>
      <c r="D20">
        <v>183.88508208202023</v>
      </c>
      <c r="E20">
        <v>140</v>
      </c>
      <c r="F20" t="e">
        <f t="shared" si="0"/>
        <v>#N/A</v>
      </c>
      <c r="H20" t="e">
        <v>#N/A</v>
      </c>
      <c r="I20" t="e">
        <v>#N/A</v>
      </c>
      <c r="J20" t="e">
        <f t="shared" si="1"/>
        <v>#N/A</v>
      </c>
    </row>
    <row r="21" spans="1:10" x14ac:dyDescent="0.35">
      <c r="A21">
        <v>500193.87760000001</v>
      </c>
      <c r="B21">
        <v>5999996.7819999997</v>
      </c>
      <c r="C21">
        <v>165.84180450851801</v>
      </c>
      <c r="D21">
        <v>194.09807745660581</v>
      </c>
      <c r="E21">
        <v>140</v>
      </c>
      <c r="F21" t="e">
        <f t="shared" si="0"/>
        <v>#N/A</v>
      </c>
      <c r="H21" t="e">
        <v>#N/A</v>
      </c>
      <c r="I21" t="e">
        <v>#N/A</v>
      </c>
      <c r="J21" t="e">
        <f t="shared" si="1"/>
        <v>#N/A</v>
      </c>
    </row>
    <row r="22" spans="1:10" x14ac:dyDescent="0.35">
      <c r="A22">
        <v>500204.08159999998</v>
      </c>
      <c r="B22">
        <v>5999995.943</v>
      </c>
      <c r="C22">
        <v>159.96473160584401</v>
      </c>
      <c r="D22">
        <v>204.33659647578224</v>
      </c>
      <c r="E22">
        <v>140</v>
      </c>
      <c r="F22" t="e">
        <f t="shared" si="0"/>
        <v>#N/A</v>
      </c>
      <c r="H22" t="e">
        <v>#N/A</v>
      </c>
      <c r="I22" t="e">
        <v>#N/A</v>
      </c>
      <c r="J22" t="e">
        <f t="shared" si="1"/>
        <v>#N/A</v>
      </c>
    </row>
    <row r="23" spans="1:10" x14ac:dyDescent="0.35">
      <c r="A23">
        <v>500214.28570000001</v>
      </c>
      <c r="B23">
        <v>5999995.7209999999</v>
      </c>
      <c r="C23">
        <v>162.47261493362501</v>
      </c>
      <c r="D23">
        <v>214.54309957277039</v>
      </c>
      <c r="E23">
        <v>140</v>
      </c>
      <c r="F23" t="e">
        <f t="shared" si="0"/>
        <v>#N/A</v>
      </c>
      <c r="H23" t="e">
        <v>#N/A</v>
      </c>
      <c r="I23" t="e">
        <v>#N/A</v>
      </c>
      <c r="J23" t="e">
        <f t="shared" si="1"/>
        <v>#N/A</v>
      </c>
    </row>
    <row r="24" spans="1:10" x14ac:dyDescent="0.35">
      <c r="A24">
        <v>500224.48979999998</v>
      </c>
      <c r="B24">
        <v>5999996.1430000002</v>
      </c>
      <c r="C24">
        <v>152.99515885586101</v>
      </c>
      <c r="D24">
        <v>224.75590702900908</v>
      </c>
      <c r="E24">
        <v>140</v>
      </c>
      <c r="F24" t="e">
        <f t="shared" si="0"/>
        <v>#N/A</v>
      </c>
      <c r="H24" t="e">
        <v>#N/A</v>
      </c>
      <c r="I24" t="e">
        <v>#N/A</v>
      </c>
      <c r="J24" t="e">
        <f t="shared" si="1"/>
        <v>#N/A</v>
      </c>
    </row>
    <row r="25" spans="1:10" x14ac:dyDescent="0.35">
      <c r="A25">
        <v>500234.69390000001</v>
      </c>
      <c r="B25">
        <v>5999996.5070000002</v>
      </c>
      <c r="C25">
        <v>151.627185016966</v>
      </c>
      <c r="D25">
        <v>234.96650023242989</v>
      </c>
      <c r="E25">
        <v>140</v>
      </c>
      <c r="F25" t="e">
        <f t="shared" si="0"/>
        <v>#N/A</v>
      </c>
      <c r="H25" t="e">
        <v>#N/A</v>
      </c>
      <c r="I25" t="e">
        <v>#N/A</v>
      </c>
      <c r="J25" t="e">
        <f t="shared" si="1"/>
        <v>#N/A</v>
      </c>
    </row>
    <row r="26" spans="1:10" x14ac:dyDescent="0.35">
      <c r="A26">
        <v>500244.89799999999</v>
      </c>
      <c r="B26">
        <v>5999996.9510000004</v>
      </c>
      <c r="C26">
        <v>155.94529899752101</v>
      </c>
      <c r="D26">
        <v>245.18022318364558</v>
      </c>
      <c r="E26">
        <v>140</v>
      </c>
      <c r="F26" t="e">
        <f t="shared" si="0"/>
        <v>#N/A</v>
      </c>
      <c r="H26" t="e">
        <v>#N/A</v>
      </c>
      <c r="I26" t="e">
        <v>#N/A</v>
      </c>
      <c r="J26" t="e">
        <f t="shared" si="1"/>
        <v>#N/A</v>
      </c>
    </row>
    <row r="27" spans="1:10" x14ac:dyDescent="0.35">
      <c r="A27">
        <v>500255.10200000001</v>
      </c>
      <c r="B27">
        <v>5999997.8430000003</v>
      </c>
      <c r="C27">
        <v>150.21165883417899</v>
      </c>
      <c r="D27">
        <v>255.4231959937741</v>
      </c>
      <c r="E27">
        <v>140</v>
      </c>
      <c r="F27" t="e">
        <f t="shared" si="0"/>
        <v>#N/A</v>
      </c>
      <c r="H27" t="e">
        <v>#N/A</v>
      </c>
      <c r="I27" t="e">
        <v>#N/A</v>
      </c>
      <c r="J27" t="e">
        <f t="shared" si="1"/>
        <v>#N/A</v>
      </c>
    </row>
    <row r="28" spans="1:10" x14ac:dyDescent="0.35">
      <c r="A28">
        <v>500265.30609999999</v>
      </c>
      <c r="B28">
        <v>5999998.2829999998</v>
      </c>
      <c r="C28">
        <v>148.17037938339399</v>
      </c>
      <c r="D28">
        <v>265.63678649760209</v>
      </c>
      <c r="E28">
        <v>140</v>
      </c>
      <c r="F28" t="e">
        <f t="shared" si="0"/>
        <v>#N/A</v>
      </c>
      <c r="H28" t="e">
        <v>#N/A</v>
      </c>
      <c r="I28" t="e">
        <v>#N/A</v>
      </c>
      <c r="J28" t="e">
        <f t="shared" si="1"/>
        <v>#N/A</v>
      </c>
    </row>
    <row r="29" spans="1:10" x14ac:dyDescent="0.35">
      <c r="A29">
        <v>500275.51020000002</v>
      </c>
      <c r="B29">
        <v>5999997.3099999996</v>
      </c>
      <c r="C29">
        <v>144.91881493659599</v>
      </c>
      <c r="D29">
        <v>275.88721001573373</v>
      </c>
      <c r="E29">
        <v>140</v>
      </c>
      <c r="F29" t="e">
        <f t="shared" si="0"/>
        <v>#N/A</v>
      </c>
      <c r="H29" t="e">
        <v>#N/A</v>
      </c>
      <c r="I29" t="e">
        <v>#N/A</v>
      </c>
      <c r="J29" t="e">
        <f t="shared" si="1"/>
        <v>#N/A</v>
      </c>
    </row>
    <row r="30" spans="1:10" x14ac:dyDescent="0.35">
      <c r="A30">
        <v>500285.71429999999</v>
      </c>
      <c r="B30">
        <v>5999998.2240000004</v>
      </c>
      <c r="C30">
        <v>144.67717117967001</v>
      </c>
      <c r="D30">
        <v>286.13220305076959</v>
      </c>
      <c r="E30">
        <v>140</v>
      </c>
      <c r="F30" t="e">
        <f t="shared" si="0"/>
        <v>#N/A</v>
      </c>
      <c r="H30" t="e">
        <v>#N/A</v>
      </c>
      <c r="I30" t="e">
        <v>#N/A</v>
      </c>
      <c r="J30" t="e">
        <f t="shared" si="1"/>
        <v>#N/A</v>
      </c>
    </row>
    <row r="31" spans="1:10" x14ac:dyDescent="0.35">
      <c r="A31">
        <v>500295.91840000002</v>
      </c>
      <c r="B31">
        <v>5999999.1459999997</v>
      </c>
      <c r="C31">
        <v>141.344748933213</v>
      </c>
      <c r="D31">
        <v>296.37782154708958</v>
      </c>
      <c r="E31">
        <v>140</v>
      </c>
      <c r="F31" t="e">
        <f t="shared" si="0"/>
        <v>#N/A</v>
      </c>
      <c r="H31" t="e">
        <v>#N/A</v>
      </c>
      <c r="I31" t="e">
        <v>#N/A</v>
      </c>
      <c r="J31" t="e">
        <f t="shared" si="1"/>
        <v>#N/A</v>
      </c>
    </row>
    <row r="32" spans="1:10" x14ac:dyDescent="0.35">
      <c r="A32">
        <v>500306.12239999999</v>
      </c>
      <c r="B32">
        <v>5999998.5650000004</v>
      </c>
      <c r="C32">
        <v>139.91503399244701</v>
      </c>
      <c r="D32">
        <v>306.59842734786054</v>
      </c>
      <c r="E32">
        <v>140</v>
      </c>
      <c r="F32">
        <f t="shared" si="0"/>
        <v>8.4966007552992551E-2</v>
      </c>
      <c r="H32">
        <v>8.4966000000008535E-2</v>
      </c>
      <c r="I32">
        <v>8.4966000000008535E-2</v>
      </c>
      <c r="J32">
        <f t="shared" si="1"/>
        <v>8.4966007552992551E-2</v>
      </c>
    </row>
    <row r="33" spans="1:10" x14ac:dyDescent="0.35">
      <c r="A33">
        <v>500316.32650000002</v>
      </c>
      <c r="B33">
        <v>5999999.1900000004</v>
      </c>
      <c r="C33">
        <v>130.506484059678</v>
      </c>
      <c r="D33">
        <v>316.82160839747763</v>
      </c>
      <c r="E33">
        <v>140</v>
      </c>
      <c r="F33">
        <f t="shared" si="0"/>
        <v>9.4935159403219984</v>
      </c>
      <c r="H33">
        <v>9.4935159000000056</v>
      </c>
      <c r="I33">
        <v>9.4935159000000056</v>
      </c>
      <c r="J33">
        <f t="shared" si="1"/>
        <v>9.4935159403219984</v>
      </c>
    </row>
    <row r="34" spans="1:10" x14ac:dyDescent="0.35">
      <c r="A34">
        <v>500326.5306</v>
      </c>
      <c r="B34">
        <v>6000000.1349999998</v>
      </c>
      <c r="C34">
        <v>128.62917733108401</v>
      </c>
      <c r="D34">
        <v>327.06934737051029</v>
      </c>
      <c r="E34">
        <v>140</v>
      </c>
      <c r="F34">
        <f t="shared" ref="F34:F51" si="2">IF($E34 -C34 &lt; 0, NA(), $E34 -C34)</f>
        <v>11.370822668915991</v>
      </c>
      <c r="H34">
        <v>11.370822699999991</v>
      </c>
      <c r="I34">
        <v>11.370822699999991</v>
      </c>
      <c r="J34">
        <f t="shared" ref="J34:J51" si="3">IF(OR(ISNA(I34), ISNA(H34)), NA(), F34)</f>
        <v>11.370822668915991</v>
      </c>
    </row>
    <row r="35" spans="1:10" x14ac:dyDescent="0.35">
      <c r="A35">
        <v>500336.73469999997</v>
      </c>
      <c r="B35">
        <v>5999999.3439999996</v>
      </c>
      <c r="C35">
        <v>132.03919081702699</v>
      </c>
      <c r="D35">
        <v>337.30402914146805</v>
      </c>
      <c r="E35">
        <v>140</v>
      </c>
      <c r="F35">
        <f t="shared" si="2"/>
        <v>7.9608091829730085</v>
      </c>
      <c r="H35">
        <v>7.9608091999999999</v>
      </c>
      <c r="I35">
        <v>7.9608091999999999</v>
      </c>
      <c r="J35">
        <f t="shared" si="3"/>
        <v>7.9608091829730085</v>
      </c>
    </row>
    <row r="36" spans="1:10" x14ac:dyDescent="0.35">
      <c r="A36">
        <v>500346.9388</v>
      </c>
      <c r="B36">
        <v>5999998.5729999999</v>
      </c>
      <c r="C36">
        <v>126.254020801129</v>
      </c>
      <c r="D36">
        <v>347.53720673952739</v>
      </c>
      <c r="E36">
        <v>140</v>
      </c>
      <c r="F36">
        <f t="shared" si="2"/>
        <v>13.745979198870998</v>
      </c>
      <c r="H36">
        <v>13.745979199999994</v>
      </c>
      <c r="I36">
        <v>13.745979199999994</v>
      </c>
      <c r="J36">
        <f t="shared" si="3"/>
        <v>13.745979198870998</v>
      </c>
    </row>
    <row r="37" spans="1:10" x14ac:dyDescent="0.35">
      <c r="A37">
        <v>500357.14289999998</v>
      </c>
      <c r="B37">
        <v>5999999.3269999996</v>
      </c>
      <c r="C37">
        <v>131.167686591956</v>
      </c>
      <c r="D37">
        <v>357.76910035417558</v>
      </c>
      <c r="E37">
        <v>140</v>
      </c>
      <c r="F37">
        <f t="shared" si="2"/>
        <v>8.8323134080440013</v>
      </c>
      <c r="H37">
        <v>8.8323134000000039</v>
      </c>
      <c r="I37">
        <v>8.8323134000000039</v>
      </c>
      <c r="J37">
        <f t="shared" si="3"/>
        <v>8.8323134080440013</v>
      </c>
    </row>
    <row r="38" spans="1:10" x14ac:dyDescent="0.35">
      <c r="A38">
        <v>500367.3469</v>
      </c>
      <c r="B38">
        <v>5999999.8169999998</v>
      </c>
      <c r="C38">
        <v>128.83036429882799</v>
      </c>
      <c r="D38">
        <v>367.98494392339944</v>
      </c>
      <c r="E38">
        <v>140</v>
      </c>
      <c r="F38">
        <f t="shared" si="2"/>
        <v>11.169635701172012</v>
      </c>
      <c r="H38">
        <v>11.169635699999986</v>
      </c>
      <c r="I38">
        <v>11.169635699999986</v>
      </c>
      <c r="J38">
        <f t="shared" si="3"/>
        <v>11.169635701172012</v>
      </c>
    </row>
    <row r="39" spans="1:10" x14ac:dyDescent="0.35">
      <c r="A39">
        <v>500377.55099999998</v>
      </c>
      <c r="B39">
        <v>5999999.0449999999</v>
      </c>
      <c r="C39">
        <v>125.029137069896</v>
      </c>
      <c r="D39">
        <v>378.21818468719812</v>
      </c>
      <c r="E39">
        <v>140</v>
      </c>
      <c r="F39">
        <f t="shared" si="2"/>
        <v>14.970862930104005</v>
      </c>
      <c r="H39">
        <v>14.9708629</v>
      </c>
      <c r="I39">
        <v>14.9708629</v>
      </c>
      <c r="J39">
        <f t="shared" si="3"/>
        <v>14.970862930104005</v>
      </c>
    </row>
    <row r="40" spans="1:10" x14ac:dyDescent="0.35">
      <c r="A40">
        <v>500387.75510000001</v>
      </c>
      <c r="B40">
        <v>5999999.3559999997</v>
      </c>
      <c r="C40">
        <v>125.795298917349</v>
      </c>
      <c r="D40">
        <v>388.42702042307883</v>
      </c>
      <c r="E40">
        <v>140</v>
      </c>
      <c r="F40">
        <f t="shared" si="2"/>
        <v>14.204701082650999</v>
      </c>
      <c r="H40">
        <v>14.204701099999994</v>
      </c>
      <c r="I40">
        <v>14.204701099999994</v>
      </c>
      <c r="J40">
        <f t="shared" si="3"/>
        <v>14.204701082650999</v>
      </c>
    </row>
    <row r="41" spans="1:10" x14ac:dyDescent="0.35">
      <c r="A41">
        <v>500397.95919999998</v>
      </c>
      <c r="B41">
        <v>5999998.4469999997</v>
      </c>
      <c r="C41">
        <v>135.347452072804</v>
      </c>
      <c r="D41">
        <v>398.67155958574693</v>
      </c>
      <c r="E41">
        <v>140</v>
      </c>
      <c r="F41">
        <f t="shared" si="2"/>
        <v>4.6525479271959966</v>
      </c>
      <c r="H41">
        <v>4.6525479000000018</v>
      </c>
      <c r="I41">
        <v>4.6525479000000018</v>
      </c>
      <c r="J41">
        <f t="shared" si="3"/>
        <v>4.6525479271959966</v>
      </c>
    </row>
    <row r="42" spans="1:10" x14ac:dyDescent="0.35">
      <c r="A42">
        <v>500408.16330000001</v>
      </c>
      <c r="B42">
        <v>5999998.1469999999</v>
      </c>
      <c r="C42">
        <v>128.06671766842501</v>
      </c>
      <c r="D42">
        <v>408.88003901476924</v>
      </c>
      <c r="E42">
        <v>140</v>
      </c>
      <c r="F42">
        <f t="shared" si="2"/>
        <v>11.933282331574986</v>
      </c>
      <c r="H42">
        <v>11.933282300000002</v>
      </c>
      <c r="I42">
        <v>11.933282300000002</v>
      </c>
      <c r="J42">
        <f t="shared" si="3"/>
        <v>11.933282331574986</v>
      </c>
    </row>
    <row r="43" spans="1:10" x14ac:dyDescent="0.35">
      <c r="A43">
        <v>500418.36729999998</v>
      </c>
      <c r="B43">
        <v>5999997.4639999997</v>
      </c>
      <c r="C43">
        <v>132.450166877736</v>
      </c>
      <c r="D43">
        <v>419.10692689672999</v>
      </c>
      <c r="E43">
        <v>140</v>
      </c>
      <c r="F43">
        <f t="shared" si="2"/>
        <v>7.5498331222640047</v>
      </c>
      <c r="H43">
        <v>7.5498331000000007</v>
      </c>
      <c r="I43">
        <v>7.5498331000000007</v>
      </c>
      <c r="J43">
        <f t="shared" si="3"/>
        <v>7.5498331222640047</v>
      </c>
    </row>
    <row r="44" spans="1:10" x14ac:dyDescent="0.35">
      <c r="A44">
        <v>500428.57140000002</v>
      </c>
      <c r="B44">
        <v>5999997.0760000004</v>
      </c>
      <c r="C44">
        <v>139.234638858198</v>
      </c>
      <c r="D44">
        <v>429.31839611342036</v>
      </c>
      <c r="E44">
        <v>140</v>
      </c>
      <c r="F44">
        <f t="shared" si="2"/>
        <v>0.76536114180200343</v>
      </c>
      <c r="H44">
        <v>0.7653611000000069</v>
      </c>
      <c r="I44">
        <v>0.7653611000000069</v>
      </c>
      <c r="J44">
        <f t="shared" si="3"/>
        <v>0.76536114180200343</v>
      </c>
    </row>
    <row r="45" spans="1:10" x14ac:dyDescent="0.35">
      <c r="A45">
        <v>500438.77549999999</v>
      </c>
      <c r="B45">
        <v>5999996.5899999999</v>
      </c>
      <c r="C45">
        <v>139.590466112179</v>
      </c>
      <c r="D45">
        <v>439.53406615544259</v>
      </c>
      <c r="E45">
        <v>140</v>
      </c>
      <c r="F45">
        <f t="shared" si="2"/>
        <v>0.40953388782099864</v>
      </c>
      <c r="H45">
        <v>0.40953390000001377</v>
      </c>
      <c r="I45">
        <v>0.40953390000001377</v>
      </c>
      <c r="J45">
        <f t="shared" si="3"/>
        <v>0.40953388782099864</v>
      </c>
    </row>
    <row r="46" spans="1:10" x14ac:dyDescent="0.35">
      <c r="A46">
        <v>500448.97960000002</v>
      </c>
      <c r="B46">
        <v>5999995.7369999997</v>
      </c>
      <c r="C46">
        <v>139.20154896633201</v>
      </c>
      <c r="D46">
        <v>449.77370721158627</v>
      </c>
      <c r="E46">
        <v>140</v>
      </c>
      <c r="F46">
        <f t="shared" si="2"/>
        <v>0.79845103366798753</v>
      </c>
      <c r="H46">
        <v>0.79845100000000002</v>
      </c>
      <c r="I46">
        <v>0.79845100000000002</v>
      </c>
      <c r="J46">
        <f t="shared" si="3"/>
        <v>0.79845103366798753</v>
      </c>
    </row>
    <row r="47" spans="1:10" x14ac:dyDescent="0.35">
      <c r="A47">
        <v>500459.18369999999</v>
      </c>
      <c r="B47">
        <v>5999996.1710000001</v>
      </c>
      <c r="C47">
        <v>138.95080404388699</v>
      </c>
      <c r="D47">
        <v>459.98703117923452</v>
      </c>
      <c r="E47">
        <v>140</v>
      </c>
      <c r="F47">
        <f t="shared" si="2"/>
        <v>1.0491959561130102</v>
      </c>
      <c r="H47">
        <v>1.0491959999999949</v>
      </c>
      <c r="I47">
        <v>1.0491959999999949</v>
      </c>
      <c r="J47">
        <f t="shared" si="3"/>
        <v>1.0491959561130102</v>
      </c>
    </row>
    <row r="48" spans="1:10" x14ac:dyDescent="0.35">
      <c r="A48">
        <v>500469.38780000003</v>
      </c>
      <c r="B48">
        <v>5999997.0719999997</v>
      </c>
      <c r="C48">
        <v>138.933110494517</v>
      </c>
      <c r="D48">
        <v>470.23074266659063</v>
      </c>
      <c r="E48">
        <v>140</v>
      </c>
      <c r="F48">
        <f t="shared" si="2"/>
        <v>1.0668895054830045</v>
      </c>
      <c r="H48">
        <v>1.066889500000002</v>
      </c>
      <c r="I48">
        <v>1.066889500000002</v>
      </c>
      <c r="J48">
        <f t="shared" si="3"/>
        <v>1.0668895054830045</v>
      </c>
    </row>
    <row r="49" spans="1:10" x14ac:dyDescent="0.35">
      <c r="A49">
        <v>500479.59179999999</v>
      </c>
      <c r="B49">
        <v>5999997.7630000003</v>
      </c>
      <c r="C49">
        <v>148.55007364474301</v>
      </c>
      <c r="D49">
        <v>480.45823316704457</v>
      </c>
      <c r="E49">
        <v>140</v>
      </c>
      <c r="F49" t="e">
        <f t="shared" si="2"/>
        <v>#N/A</v>
      </c>
      <c r="H49" t="e">
        <v>#N/A</v>
      </c>
      <c r="I49" t="e">
        <v>#N/A</v>
      </c>
      <c r="J49" t="e">
        <f t="shared" si="3"/>
        <v>#N/A</v>
      </c>
    </row>
    <row r="50" spans="1:10" x14ac:dyDescent="0.35">
      <c r="A50">
        <v>500489.79590000003</v>
      </c>
      <c r="B50">
        <v>5999997.9929999998</v>
      </c>
      <c r="C50">
        <v>146.10014692256101</v>
      </c>
      <c r="D50">
        <v>490.66489094815591</v>
      </c>
      <c r="E50">
        <v>140</v>
      </c>
      <c r="F50" t="e">
        <f t="shared" si="2"/>
        <v>#N/A</v>
      </c>
      <c r="H50" t="e">
        <v>#N/A</v>
      </c>
      <c r="I50" t="e">
        <v>#N/A</v>
      </c>
      <c r="J50" t="e">
        <f t="shared" si="3"/>
        <v>#N/A</v>
      </c>
    </row>
    <row r="51" spans="1:10" x14ac:dyDescent="0.35">
      <c r="A51">
        <v>500500</v>
      </c>
      <c r="B51">
        <v>5999998.4220000003</v>
      </c>
      <c r="C51">
        <v>149.127486336511</v>
      </c>
      <c r="D51">
        <v>500.87802361935337</v>
      </c>
      <c r="E51">
        <v>140</v>
      </c>
      <c r="F51" t="e">
        <f t="shared" si="2"/>
        <v>#N/A</v>
      </c>
      <c r="H51" t="e">
        <v>#N/A</v>
      </c>
      <c r="I51" t="e">
        <v>#N/A</v>
      </c>
      <c r="J51" t="e">
        <f t="shared" si="3"/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C286-C253-4057-AD91-AD240390FD3C}">
  <dimension ref="A1:BE1160"/>
  <sheetViews>
    <sheetView workbookViewId="0">
      <selection activeCell="A317" sqref="A317:C366"/>
    </sheetView>
  </sheetViews>
  <sheetFormatPr defaultRowHeight="14.5" x14ac:dyDescent="0.35"/>
  <cols>
    <col min="1" max="4" width="8.7265625" style="1"/>
    <col min="5" max="5" width="13" style="1" customWidth="1"/>
    <col min="6" max="6" width="9.81640625" style="1" customWidth="1"/>
    <col min="7" max="7" width="8.7265625" style="1"/>
    <col min="8" max="8" width="10.54296875" style="1" customWidth="1"/>
    <col min="9" max="9" width="11.7265625" style="1" customWidth="1"/>
    <col min="10" max="10" width="12.26953125" style="1" customWidth="1"/>
    <col min="11" max="13" width="8.7265625" style="1"/>
    <col min="14" max="14" width="12" style="1" customWidth="1"/>
    <col min="15" max="15" width="10" style="1" customWidth="1"/>
    <col min="16" max="16" width="12.36328125" style="1" customWidth="1"/>
    <col min="17" max="17" width="16.36328125" style="1" customWidth="1"/>
    <col min="18" max="18" width="13.08984375" style="1" customWidth="1"/>
    <col min="19" max="19" width="21.1796875" style="1" customWidth="1"/>
    <col min="20" max="20" width="23.36328125" style="1" customWidth="1"/>
    <col min="21" max="22" width="16.6328125" style="1" customWidth="1"/>
    <col min="23" max="23" width="25.90625" style="1" customWidth="1"/>
    <col min="24" max="24" width="25" style="1" customWidth="1"/>
    <col min="25" max="25" width="16" style="1" customWidth="1"/>
    <col min="26" max="26" width="19.26953125" style="1" customWidth="1"/>
    <col min="27" max="27" width="29.6328125" style="1" customWidth="1"/>
    <col min="28" max="28" width="23.26953125" style="1" customWidth="1"/>
    <col min="29" max="29" width="18.453125" style="1" customWidth="1"/>
    <col min="30" max="30" width="20" style="1" customWidth="1"/>
    <col min="31" max="31" width="19.26953125" style="1" customWidth="1"/>
    <col min="32" max="32" width="13.6328125" style="1" customWidth="1"/>
    <col min="33" max="33" width="14.453125" style="1" customWidth="1"/>
    <col min="34" max="34" width="14.90625" style="1" customWidth="1"/>
    <col min="35" max="35" width="14.453125" style="1" customWidth="1"/>
    <col min="36" max="36" width="22.81640625" style="1" customWidth="1"/>
    <col min="37" max="37" width="18" style="1" customWidth="1"/>
    <col min="38" max="38" width="19.81640625" style="1" customWidth="1"/>
    <col min="39" max="39" width="17.6328125" style="1" customWidth="1"/>
    <col min="40" max="40" width="17.7265625" style="1" customWidth="1"/>
    <col min="41" max="41" width="15.1796875" style="1" customWidth="1"/>
    <col min="42" max="42" width="13.54296875" style="1" customWidth="1"/>
    <col min="43" max="43" width="14.90625" style="1" customWidth="1"/>
    <col min="44" max="44" width="17.90625" style="1" customWidth="1"/>
    <col min="45" max="45" width="16.26953125" style="1" customWidth="1"/>
    <col min="46" max="46" width="17.08984375" style="1" customWidth="1"/>
    <col min="47" max="47" width="17.1796875" style="1" customWidth="1"/>
    <col min="48" max="48" width="22.08984375" style="1" customWidth="1"/>
    <col min="49" max="49" width="18.7265625" style="1" customWidth="1"/>
    <col min="50" max="50" width="17.90625" style="1" customWidth="1"/>
    <col min="51" max="51" width="25.6328125" style="1" customWidth="1"/>
    <col min="52" max="53" width="17.36328125" style="1" customWidth="1"/>
    <col min="54" max="54" width="18.1796875" style="1" customWidth="1"/>
    <col min="55" max="55" width="16.26953125" style="1" customWidth="1"/>
    <col min="56" max="56" width="17.453125" style="1" customWidth="1"/>
    <col min="57" max="16384" width="8.7265625" style="1"/>
  </cols>
  <sheetData>
    <row r="1" spans="1:57" x14ac:dyDescent="0.35">
      <c r="A1" s="1" t="s">
        <v>0</v>
      </c>
      <c r="B1" s="1" t="s">
        <v>1</v>
      </c>
      <c r="C1" s="1" t="s">
        <v>2</v>
      </c>
      <c r="D1" s="1" t="s">
        <v>18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61</v>
      </c>
      <c r="L1" s="1" t="s">
        <v>60</v>
      </c>
      <c r="M1" s="1" t="s">
        <v>59</v>
      </c>
      <c r="N1" s="1" t="s">
        <v>58</v>
      </c>
      <c r="O1" s="1" t="s">
        <v>57</v>
      </c>
      <c r="P1" s="1" t="s">
        <v>56</v>
      </c>
      <c r="Q1" s="1" t="s">
        <v>55</v>
      </c>
      <c r="R1" s="1" t="s">
        <v>54</v>
      </c>
      <c r="S1" s="1" t="s">
        <v>16</v>
      </c>
      <c r="T1" s="1" t="s">
        <v>53</v>
      </c>
      <c r="U1" s="10" t="s">
        <v>52</v>
      </c>
      <c r="V1" s="10" t="s">
        <v>51</v>
      </c>
      <c r="W1" s="10" t="s">
        <v>50</v>
      </c>
      <c r="X1" s="10" t="s">
        <v>49</v>
      </c>
      <c r="Y1" s="1" t="s">
        <v>48</v>
      </c>
      <c r="Z1" s="1" t="s">
        <v>47</v>
      </c>
      <c r="AA1" s="1" t="s">
        <v>46</v>
      </c>
      <c r="AB1" s="1" t="s">
        <v>45</v>
      </c>
      <c r="AC1" s="1" t="s">
        <v>44</v>
      </c>
      <c r="AD1" s="1" t="s">
        <v>43</v>
      </c>
      <c r="AE1" s="1" t="s">
        <v>42</v>
      </c>
      <c r="AF1" s="1" t="s">
        <v>41</v>
      </c>
      <c r="AG1" s="1" t="s">
        <v>40</v>
      </c>
      <c r="AH1" s="1" t="s">
        <v>39</v>
      </c>
      <c r="AI1" s="1" t="s">
        <v>38</v>
      </c>
      <c r="AJ1" s="1" t="s">
        <v>37</v>
      </c>
      <c r="AK1" s="1" t="s">
        <v>36</v>
      </c>
      <c r="AL1" s="1" t="s">
        <v>35</v>
      </c>
      <c r="AM1" s="1" t="s">
        <v>34</v>
      </c>
      <c r="AN1" s="1" t="s">
        <v>34</v>
      </c>
      <c r="AO1" s="7" t="s">
        <v>33</v>
      </c>
      <c r="AP1" s="7" t="s">
        <v>32</v>
      </c>
      <c r="AQ1" s="7" t="s">
        <v>31</v>
      </c>
      <c r="AR1" s="7" t="s">
        <v>30</v>
      </c>
      <c r="AS1" s="7" t="s">
        <v>29</v>
      </c>
      <c r="AT1" s="7" t="s">
        <v>28</v>
      </c>
      <c r="AU1" s="7" t="s">
        <v>27</v>
      </c>
      <c r="AV1" s="7" t="s">
        <v>27</v>
      </c>
      <c r="AW1" s="1" t="s">
        <v>26</v>
      </c>
      <c r="AX1" s="1" t="s">
        <v>25</v>
      </c>
      <c r="AY1" s="1" t="s">
        <v>24</v>
      </c>
      <c r="AZ1" s="1" t="s">
        <v>23</v>
      </c>
      <c r="BA1" s="1" t="s">
        <v>22</v>
      </c>
      <c r="BB1" s="1" t="s">
        <v>21</v>
      </c>
      <c r="BC1" s="1" t="s">
        <v>20</v>
      </c>
      <c r="BD1" s="1" t="s">
        <v>20</v>
      </c>
      <c r="BE1" s="1" t="s">
        <v>19</v>
      </c>
    </row>
    <row r="2" spans="1:57" x14ac:dyDescent="0.35">
      <c r="A2" s="1">
        <v>500000</v>
      </c>
      <c r="B2" s="1">
        <v>5999999.0959999999</v>
      </c>
      <c r="C2" s="1">
        <v>146.95665459614199</v>
      </c>
      <c r="D2" s="1">
        <v>0</v>
      </c>
      <c r="E2" s="1">
        <v>0.01</v>
      </c>
      <c r="F2" s="1">
        <v>0.05</v>
      </c>
      <c r="G2" s="1">
        <v>0.1</v>
      </c>
      <c r="H2" s="1">
        <v>9.81</v>
      </c>
      <c r="I2" s="1">
        <v>2650</v>
      </c>
      <c r="J2" s="1">
        <v>1000</v>
      </c>
      <c r="K2" s="1">
        <v>1.65</v>
      </c>
      <c r="L2" s="1">
        <v>6.5</v>
      </c>
      <c r="M2" s="1">
        <v>2.5</v>
      </c>
      <c r="N2" s="6">
        <v>9.9999999999999995E-7</v>
      </c>
      <c r="O2" s="1">
        <f xml:space="preserve"> (D3 - D2) / 2</f>
        <v>5.1061868798967165</v>
      </c>
      <c r="P2" s="1">
        <f t="shared" ref="P2:P33" si="0">SQRT((D3 - D2)^2 + (C3 - C2)^2)</f>
        <v>12.612081347143071</v>
      </c>
      <c r="Q2" s="1">
        <f t="shared" ref="Q2:Q33" si="1">IF(ROW()=2, P2/2, (P2 + P1)/2)</f>
        <v>6.3060406735715357</v>
      </c>
      <c r="R2" s="1">
        <f t="shared" ref="R2:R33" si="2">125.1291</f>
        <v>125.12909999999999</v>
      </c>
      <c r="S2" s="1" t="e">
        <f t="shared" ref="S2:S33" si="3">IF(R2 - C2 &lt; 0, NA(), R2 - C2)</f>
        <v>#N/A</v>
      </c>
      <c r="T2" s="1" t="e">
        <v>#N/A</v>
      </c>
      <c r="U2" s="10" cm="1">
        <f t="array" ref="U2">SUMPRODUCT(IF(ISNA(T2:T51), 0, T2:T51), IF(ISNA(O2:O51), 0, O2:O51))</f>
        <v>1.0217260924767091</v>
      </c>
      <c r="V2" s="10">
        <f>SUMIF(S2:S51, "&gt;0", O2:O51)</f>
        <v>10.221049857319429</v>
      </c>
      <c r="W2" s="10">
        <f>SUMIF(S2:S51, "&gt;0", Q2:Q51)</f>
        <v>10.577000852837193</v>
      </c>
      <c r="X2" s="10">
        <f>U2/W2</f>
        <v>9.6598847508142113E-2</v>
      </c>
      <c r="Y2" s="1">
        <f xml:space="preserve"> (6.5 * 2.5 * (X2 / G2)) / SQRT(6.5^2 + 2.5^2 * (X2 / G2)^(5/3))</f>
        <v>2.2621860163958121</v>
      </c>
      <c r="Z2" s="1">
        <f>Y2*SQRT(X2*H2*E2)</f>
        <v>0.22021595934646818</v>
      </c>
      <c r="AA2" s="1">
        <f>J2*H2*X2*E2</f>
        <v>9.4763469405487406</v>
      </c>
      <c r="AB2" s="1">
        <f>(AA2 / (9.81 * 1000 *1.65 * F2))</f>
        <v>1.1708951213108134E-2</v>
      </c>
      <c r="AC2" s="9">
        <f xml:space="preserve"> F2 * (K2 * H2 / (N2)^2)^(1/3)</f>
        <v>1264.7974700106745</v>
      </c>
      <c r="AD2" s="1">
        <f xml:space="preserve"> 0.3 / (1 + 1.2 * AC2) + 0.055 * (1 - EXP(-0.02 * AC2))</f>
        <v>5.5197529957883754E-2</v>
      </c>
      <c r="AE2" s="1">
        <f>IF(AC2 &lt;= 4, 0.24 * AC2^-1, IF(AC2 &gt; 4, IF(AC2 &lt;= 10, 0.14 * AC2^-0.64, IF(AC2 &lt;= 20, 0.04 * AC2^-0.1, IF(AC2 &lt;= 150, 0.013 * AC2^0.29, 0.056)))))</f>
        <v>5.6000000000000001E-2</v>
      </c>
      <c r="AF2" s="1">
        <f>AB2/AD2-1</f>
        <v>-0.78787182647407994</v>
      </c>
      <c r="AG2" s="1">
        <f xml:space="preserve"> 2.45 * SQRT(AD2) / (K2 + 1)^0.4</f>
        <v>0.38978718496890047</v>
      </c>
      <c r="AH2" s="1">
        <f>SQRT(2/3 + 36 / AC2^3) - SQRT(36 / AC2^3)</f>
        <v>0.81636320289979147</v>
      </c>
      <c r="AI2" s="1">
        <f>AA2* Z2 / (J2 * (H2* K2 * F2)^(3/2))</f>
        <v>2.8661921893569147E-3</v>
      </c>
      <c r="AJ2" s="1">
        <f>AD2* K2 * F2 / E2</f>
        <v>0.45537962215254096</v>
      </c>
      <c r="AK2" s="1">
        <f>Y2 * AD2^(3/2)</f>
        <v>2.9336464895115474E-2</v>
      </c>
      <c r="AL2" s="1">
        <f>(0.92 - 0.25 * SQRT(AK2 / AI2))^9</f>
        <v>5.2305893192041002E-9</v>
      </c>
      <c r="AM2" s="1">
        <v>5.2759527000000001E-2</v>
      </c>
      <c r="AN2" s="1">
        <v>4.7434165E-2</v>
      </c>
      <c r="AO2" s="7">
        <f>IF(AB2 &gt; 0.047, 8 * (AB2 - 0.047)^(3/2), 0)</f>
        <v>0</v>
      </c>
      <c r="AP2" s="7">
        <f>IF(AB2&gt; 0.047, 4 * (AB2 - 0.047)^(3/2), 0)</f>
        <v>0</v>
      </c>
      <c r="AQ2" s="7" t="e">
        <f xml:space="preserve"> (0.053 / AC2^(0.3)) * ((AB2 / AE2) - 1)^2.1</f>
        <v>#NUM!</v>
      </c>
      <c r="AR2" s="7">
        <f xml:space="preserve"> IF(AB2 &gt; AD2, 0.635 * AF2 * SQRT(AB2) * (1 - (1 / (AG2*AF2)) * LOG(1 + AF2*AG2)), 0)</f>
        <v>0</v>
      </c>
      <c r="AS2" s="8">
        <f>IF(AB2&gt;= 0.19, 40 * AH2 * AB2^3, (AH2 * EXP(-0.391 / AB2)) / 0.465)</f>
        <v>5.5198064917839915E-15</v>
      </c>
      <c r="AT2" s="7">
        <f>AL2* AI2</f>
        <v>1.4991874252436495E-11</v>
      </c>
      <c r="AU2" s="7">
        <f>14 * AB2^2.5 / (1 + (AM2/AB2)^4)</f>
        <v>5.0261931155106007E-7</v>
      </c>
      <c r="AV2" s="7">
        <f>14*AB2^2.5/(1+(AN2/AB2)^4)</f>
        <v>7.6828170293154611E-7</v>
      </c>
      <c r="AW2" s="1">
        <f>AO2*SQRT(1.65*9.81*F2^3)</f>
        <v>0</v>
      </c>
      <c r="AX2" s="1">
        <f>AP2*SQRT(1.65*9.81*F2^3)</f>
        <v>0</v>
      </c>
      <c r="AY2" s="1" t="e">
        <f>AQ2*SQRT(1.65*9.81*F2^3)</f>
        <v>#NUM!</v>
      </c>
      <c r="AZ2" s="1">
        <f>AR2*SQRT(1.65*9.81*F2^3)</f>
        <v>0</v>
      </c>
      <c r="BA2" s="1">
        <f>AS2*SQRT(1.65*9.81*F2^3)</f>
        <v>2.4828777418782583E-16</v>
      </c>
      <c r="BB2" s="1">
        <f>AT2*SQRT(1.65*9.81*F2^3)</f>
        <v>6.7435318513098681E-13</v>
      </c>
      <c r="BC2" s="1">
        <f>AU2*SQRT(1.65*9.81*G2^3)</f>
        <v>6.3946333269759519E-8</v>
      </c>
      <c r="BD2" s="1">
        <f>AV2*SQRT(1.65*9.81*G2^3)</f>
        <v>9.7745543578717292E-8</v>
      </c>
      <c r="BE2" s="1">
        <f>U2*Z2</f>
        <v>0.22500039164407676</v>
      </c>
    </row>
    <row r="3" spans="1:57" x14ac:dyDescent="0.35">
      <c r="A3" s="1">
        <v>500010.20409999997</v>
      </c>
      <c r="B3" s="1">
        <v>5999998.6849999996</v>
      </c>
      <c r="C3" s="1">
        <v>154.35746658519</v>
      </c>
      <c r="D3" s="1">
        <f t="shared" ref="D3:D34" si="4">D2 + SQRT((A3 - A2)^2 + (B3 - B2)^2)</f>
        <v>10.212373759793433</v>
      </c>
      <c r="E3" s="1">
        <v>0.01</v>
      </c>
      <c r="F3" s="1">
        <v>0.05</v>
      </c>
      <c r="G3" s="1">
        <v>0.1</v>
      </c>
      <c r="H3" s="1">
        <v>9.81</v>
      </c>
      <c r="I3" s="1">
        <v>2650</v>
      </c>
      <c r="J3" s="1">
        <v>1000</v>
      </c>
      <c r="K3" s="1">
        <v>1.65</v>
      </c>
      <c r="L3" s="1">
        <v>6.5</v>
      </c>
      <c r="M3" s="1">
        <v>2.5</v>
      </c>
      <c r="N3" s="6">
        <v>9.9999999999999995E-7</v>
      </c>
      <c r="O3" s="1">
        <f t="shared" ref="O3:O50" si="5" xml:space="preserve"> (D4 - D3 + D3 - D2) / 2</f>
        <v>10.212934886473896</v>
      </c>
      <c r="P3" s="1">
        <f t="shared" si="0"/>
        <v>10.748393624242958</v>
      </c>
      <c r="Q3" s="1">
        <f t="shared" si="1"/>
        <v>11.680237485693015</v>
      </c>
      <c r="R3" s="1">
        <f t="shared" si="2"/>
        <v>125.12909999999999</v>
      </c>
      <c r="S3" s="1" t="e">
        <f t="shared" si="3"/>
        <v>#N/A</v>
      </c>
      <c r="T3" s="1" t="e">
        <v>#N/A</v>
      </c>
      <c r="AO3" s="7"/>
      <c r="AP3" s="7"/>
      <c r="AQ3" s="7"/>
      <c r="AR3" s="7"/>
      <c r="AS3" s="7"/>
      <c r="AT3" s="7"/>
      <c r="AU3" s="7"/>
      <c r="AV3" s="7"/>
    </row>
    <row r="4" spans="1:57" x14ac:dyDescent="0.35">
      <c r="A4" s="1">
        <v>500020.40820000001</v>
      </c>
      <c r="B4" s="1">
        <v>5999999.1229999997</v>
      </c>
      <c r="C4" s="1">
        <v>151.008964727501</v>
      </c>
      <c r="D4" s="1">
        <f t="shared" si="4"/>
        <v>20.425869772947792</v>
      </c>
      <c r="E4" s="1">
        <v>0.01</v>
      </c>
      <c r="F4" s="1">
        <v>0.05</v>
      </c>
      <c r="G4" s="1">
        <v>0.1</v>
      </c>
      <c r="H4" s="1">
        <v>9.81</v>
      </c>
      <c r="I4" s="1">
        <v>2650</v>
      </c>
      <c r="J4" s="1">
        <v>1000</v>
      </c>
      <c r="K4" s="1">
        <v>1.65</v>
      </c>
      <c r="L4" s="1">
        <v>6.5</v>
      </c>
      <c r="M4" s="1">
        <v>2.5</v>
      </c>
      <c r="N4" s="6">
        <v>9.9999999999999995E-7</v>
      </c>
      <c r="O4" s="1">
        <f t="shared" si="5"/>
        <v>10.21125621009096</v>
      </c>
      <c r="P4" s="1">
        <f t="shared" si="0"/>
        <v>13.985433799960637</v>
      </c>
      <c r="Q4" s="1">
        <f t="shared" si="1"/>
        <v>12.366913712101798</v>
      </c>
      <c r="R4" s="1">
        <f t="shared" si="2"/>
        <v>125.12909999999999</v>
      </c>
      <c r="S4" s="1" t="e">
        <f t="shared" si="3"/>
        <v>#N/A</v>
      </c>
      <c r="T4" s="1" t="e">
        <v>#N/A</v>
      </c>
    </row>
    <row r="5" spans="1:57" x14ac:dyDescent="0.35">
      <c r="A5" s="1">
        <v>500030.61219999997</v>
      </c>
      <c r="B5" s="1">
        <v>5999998.8030000003</v>
      </c>
      <c r="C5" s="1">
        <v>160.567643641144</v>
      </c>
      <c r="D5" s="1">
        <f t="shared" si="4"/>
        <v>30.634886179975354</v>
      </c>
      <c r="E5" s="1">
        <v>0.01</v>
      </c>
      <c r="F5" s="1">
        <v>0.05</v>
      </c>
      <c r="G5" s="1">
        <v>0.1</v>
      </c>
      <c r="H5" s="1">
        <v>9.81</v>
      </c>
      <c r="I5" s="1">
        <v>2650</v>
      </c>
      <c r="J5" s="1">
        <v>1000</v>
      </c>
      <c r="K5" s="1">
        <v>1.65</v>
      </c>
      <c r="L5" s="1">
        <v>6.5</v>
      </c>
      <c r="M5" s="1">
        <v>2.5</v>
      </c>
      <c r="N5" s="6">
        <v>9.9999999999999995E-7</v>
      </c>
      <c r="O5" s="1">
        <f t="shared" si="5"/>
        <v>10.214935822867286</v>
      </c>
      <c r="P5" s="1">
        <f t="shared" si="0"/>
        <v>10.224042445454263</v>
      </c>
      <c r="Q5" s="1">
        <f t="shared" si="1"/>
        <v>12.104738122707449</v>
      </c>
      <c r="R5" s="1">
        <f t="shared" si="2"/>
        <v>125.12909999999999</v>
      </c>
      <c r="S5" s="1" t="e">
        <f t="shared" si="3"/>
        <v>#N/A</v>
      </c>
      <c r="T5" s="1" t="e">
        <v>#N/A</v>
      </c>
    </row>
    <row r="6" spans="1:57" x14ac:dyDescent="0.35">
      <c r="A6" s="1">
        <v>500040.81630000001</v>
      </c>
      <c r="B6" s="1">
        <v>5999998.2180000003</v>
      </c>
      <c r="C6" s="1">
        <v>160.82291235416201</v>
      </c>
      <c r="D6" s="1">
        <f t="shared" si="4"/>
        <v>40.855741418682364</v>
      </c>
      <c r="E6" s="1">
        <v>0.01</v>
      </c>
      <c r="F6" s="1">
        <v>0.05</v>
      </c>
      <c r="G6" s="1">
        <v>0.1</v>
      </c>
      <c r="H6" s="1">
        <v>9.81</v>
      </c>
      <c r="I6" s="1">
        <v>2650</v>
      </c>
      <c r="J6" s="1">
        <v>1000</v>
      </c>
      <c r="K6" s="1">
        <v>1.65</v>
      </c>
      <c r="L6" s="1">
        <v>6.5</v>
      </c>
      <c r="M6" s="1">
        <v>2.5</v>
      </c>
      <c r="N6" s="6">
        <v>9.9999999999999995E-7</v>
      </c>
      <c r="O6" s="1">
        <f t="shared" si="5"/>
        <v>10.231243785008825</v>
      </c>
      <c r="P6" s="1">
        <f t="shared" si="0"/>
        <v>10.333484931908488</v>
      </c>
      <c r="Q6" s="1">
        <f t="shared" si="1"/>
        <v>10.278763688681376</v>
      </c>
      <c r="R6" s="1">
        <f t="shared" si="2"/>
        <v>125.12909999999999</v>
      </c>
      <c r="S6" s="1" t="e">
        <f t="shared" si="3"/>
        <v>#N/A</v>
      </c>
      <c r="T6" s="1" t="e">
        <v>#N/A</v>
      </c>
    </row>
    <row r="7" spans="1:57" x14ac:dyDescent="0.35">
      <c r="A7" s="1">
        <v>500051.02039999998</v>
      </c>
      <c r="B7" s="1">
        <v>5999997.3420000002</v>
      </c>
      <c r="C7" s="1">
        <v>159.448184007094</v>
      </c>
      <c r="D7" s="1">
        <f t="shared" si="4"/>
        <v>51.097373749993004</v>
      </c>
      <c r="E7" s="1">
        <v>0.01</v>
      </c>
      <c r="F7" s="1">
        <v>0.05</v>
      </c>
      <c r="G7" s="1">
        <v>0.1</v>
      </c>
      <c r="H7" s="1">
        <v>9.81</v>
      </c>
      <c r="I7" s="1">
        <v>2650</v>
      </c>
      <c r="J7" s="1">
        <v>1000</v>
      </c>
      <c r="K7" s="1">
        <v>1.65</v>
      </c>
      <c r="L7" s="1">
        <v>6.5</v>
      </c>
      <c r="M7" s="1">
        <v>2.5</v>
      </c>
      <c r="N7" s="6">
        <v>9.9999999999999995E-7</v>
      </c>
      <c r="O7" s="1">
        <f t="shared" si="5"/>
        <v>10.22297614478725</v>
      </c>
      <c r="P7" s="1">
        <f t="shared" si="0"/>
        <v>11.164078602095582</v>
      </c>
      <c r="Q7" s="1">
        <f t="shared" si="1"/>
        <v>10.748781767002036</v>
      </c>
      <c r="R7" s="1">
        <f t="shared" si="2"/>
        <v>125.12909999999999</v>
      </c>
      <c r="S7" s="1" t="e">
        <f t="shared" si="3"/>
        <v>#N/A</v>
      </c>
      <c r="T7" s="1" t="e">
        <v>#N/A</v>
      </c>
    </row>
    <row r="8" spans="1:57" x14ac:dyDescent="0.35">
      <c r="A8" s="1">
        <v>500061.22450000001</v>
      </c>
      <c r="B8" s="1">
        <v>5999997.2750000004</v>
      </c>
      <c r="C8" s="1">
        <v>163.976815723534</v>
      </c>
      <c r="D8" s="1">
        <f t="shared" si="4"/>
        <v>61.301693708256863</v>
      </c>
      <c r="E8" s="1">
        <v>0.01</v>
      </c>
      <c r="F8" s="1">
        <v>0.05</v>
      </c>
      <c r="G8" s="1">
        <v>0.1</v>
      </c>
      <c r="H8" s="1">
        <v>9.81</v>
      </c>
      <c r="I8" s="1">
        <v>2650</v>
      </c>
      <c r="J8" s="1">
        <v>1000</v>
      </c>
      <c r="K8" s="1">
        <v>1.65</v>
      </c>
      <c r="L8" s="1">
        <v>6.5</v>
      </c>
      <c r="M8" s="1">
        <v>2.5</v>
      </c>
      <c r="N8" s="6">
        <v>9.9999999999999995E-7</v>
      </c>
      <c r="O8" s="1">
        <f t="shared" si="5"/>
        <v>10.209391538632293</v>
      </c>
      <c r="P8" s="1">
        <f t="shared" si="0"/>
        <v>11.034750060361873</v>
      </c>
      <c r="Q8" s="1">
        <f t="shared" si="1"/>
        <v>11.099414331228727</v>
      </c>
      <c r="R8" s="1">
        <f t="shared" si="2"/>
        <v>125.12909999999999</v>
      </c>
      <c r="S8" s="1" t="e">
        <f t="shared" si="3"/>
        <v>#N/A</v>
      </c>
      <c r="T8" s="1" t="e">
        <v>#N/A</v>
      </c>
    </row>
    <row r="9" spans="1:57" x14ac:dyDescent="0.35">
      <c r="A9" s="1">
        <v>500071.42859999998</v>
      </c>
      <c r="B9" s="1">
        <v>5999996.8150000004</v>
      </c>
      <c r="C9" s="1">
        <v>168.15179501512699</v>
      </c>
      <c r="D9" s="1">
        <f t="shared" si="4"/>
        <v>71.516156827257589</v>
      </c>
      <c r="E9" s="1">
        <v>0.01</v>
      </c>
      <c r="F9" s="1">
        <v>0.05</v>
      </c>
      <c r="G9" s="1">
        <v>0.1</v>
      </c>
      <c r="H9" s="1">
        <v>9.81</v>
      </c>
      <c r="I9" s="1">
        <v>2650</v>
      </c>
      <c r="J9" s="1">
        <v>1000</v>
      </c>
      <c r="K9" s="1">
        <v>1.65</v>
      </c>
      <c r="L9" s="1">
        <v>6.5</v>
      </c>
      <c r="M9" s="1">
        <v>2.5</v>
      </c>
      <c r="N9" s="6">
        <v>9.9999999999999995E-7</v>
      </c>
      <c r="O9" s="1">
        <f t="shared" si="5"/>
        <v>10.229976351370027</v>
      </c>
      <c r="P9" s="1">
        <f t="shared" si="0"/>
        <v>11.687505241745082</v>
      </c>
      <c r="Q9" s="1">
        <f t="shared" si="1"/>
        <v>11.361127651053478</v>
      </c>
      <c r="R9" s="1">
        <f t="shared" si="2"/>
        <v>125.12909999999999</v>
      </c>
      <c r="S9" s="1" t="e">
        <f t="shared" si="3"/>
        <v>#N/A</v>
      </c>
      <c r="T9" s="1" t="e">
        <v>#N/A</v>
      </c>
    </row>
    <row r="10" spans="1:57" x14ac:dyDescent="0.35">
      <c r="A10" s="1">
        <v>500081.63270000002</v>
      </c>
      <c r="B10" s="1">
        <v>5999997.7350000003</v>
      </c>
      <c r="C10" s="1">
        <v>162.52794206849799</v>
      </c>
      <c r="D10" s="1">
        <f t="shared" si="4"/>
        <v>81.761646410996917</v>
      </c>
      <c r="E10" s="1">
        <v>0.01</v>
      </c>
      <c r="F10" s="1">
        <v>0.05</v>
      </c>
      <c r="G10" s="1">
        <v>0.1</v>
      </c>
      <c r="H10" s="1">
        <v>9.81</v>
      </c>
      <c r="I10" s="1">
        <v>2650</v>
      </c>
      <c r="J10" s="1">
        <v>1000</v>
      </c>
      <c r="K10" s="1">
        <v>1.65</v>
      </c>
      <c r="L10" s="1">
        <v>6.5</v>
      </c>
      <c r="M10" s="1">
        <v>2.5</v>
      </c>
      <c r="N10" s="6">
        <v>9.9999999999999995E-7</v>
      </c>
      <c r="O10" s="1">
        <f t="shared" si="5"/>
        <v>10.224765396477437</v>
      </c>
      <c r="P10" s="1">
        <f t="shared" si="0"/>
        <v>11.652977208096294</v>
      </c>
      <c r="Q10" s="1">
        <f t="shared" si="1"/>
        <v>11.670241224920687</v>
      </c>
      <c r="R10" s="1">
        <f t="shared" si="2"/>
        <v>125.12909999999999</v>
      </c>
      <c r="S10" s="1" t="e">
        <f t="shared" si="3"/>
        <v>#N/A</v>
      </c>
      <c r="T10" s="1" t="e">
        <v>#N/A</v>
      </c>
    </row>
    <row r="11" spans="1:57" x14ac:dyDescent="0.35">
      <c r="A11" s="1">
        <v>500091.83669999999</v>
      </c>
      <c r="B11" s="1">
        <v>5999997.7640000004</v>
      </c>
      <c r="C11" s="1">
        <v>168.15550111421601</v>
      </c>
      <c r="D11" s="1">
        <f t="shared" si="4"/>
        <v>91.965687620212464</v>
      </c>
      <c r="E11" s="1">
        <v>0.01</v>
      </c>
      <c r="F11" s="1">
        <v>0.05</v>
      </c>
      <c r="G11" s="1">
        <v>0.1</v>
      </c>
      <c r="H11" s="1">
        <v>9.81</v>
      </c>
      <c r="I11" s="1">
        <v>2650</v>
      </c>
      <c r="J11" s="1">
        <v>1000</v>
      </c>
      <c r="K11" s="1">
        <v>1.65</v>
      </c>
      <c r="L11" s="1">
        <v>6.5</v>
      </c>
      <c r="M11" s="1">
        <v>2.5</v>
      </c>
      <c r="N11" s="6">
        <v>9.9999999999999995E-7</v>
      </c>
      <c r="O11" s="1">
        <f t="shared" si="5"/>
        <v>10.204607223431253</v>
      </c>
      <c r="P11" s="1">
        <f t="shared" si="0"/>
        <v>10.499401533865951</v>
      </c>
      <c r="Q11" s="1">
        <f t="shared" si="1"/>
        <v>11.076189370981123</v>
      </c>
      <c r="R11" s="1">
        <f t="shared" si="2"/>
        <v>125.12909999999999</v>
      </c>
      <c r="S11" s="1" t="e">
        <f t="shared" si="3"/>
        <v>#N/A</v>
      </c>
      <c r="T11" s="1" t="e">
        <v>#N/A</v>
      </c>
    </row>
    <row r="12" spans="1:57" x14ac:dyDescent="0.35">
      <c r="A12" s="1">
        <v>500102.04080000002</v>
      </c>
      <c r="B12" s="1">
        <v>5999997.9119999995</v>
      </c>
      <c r="C12" s="1">
        <v>170.62367285843499</v>
      </c>
      <c r="D12" s="1">
        <f t="shared" si="4"/>
        <v>102.17086085785942</v>
      </c>
      <c r="E12" s="1">
        <v>0.01</v>
      </c>
      <c r="F12" s="1">
        <v>0.05</v>
      </c>
      <c r="G12" s="1">
        <v>0.1</v>
      </c>
      <c r="H12" s="1">
        <v>9.81</v>
      </c>
      <c r="I12" s="1">
        <v>2650</v>
      </c>
      <c r="J12" s="1">
        <v>1000</v>
      </c>
      <c r="K12" s="1">
        <v>1.65</v>
      </c>
      <c r="L12" s="1">
        <v>6.5</v>
      </c>
      <c r="M12" s="1">
        <v>2.5</v>
      </c>
      <c r="N12" s="6">
        <v>9.9999999999999995E-7</v>
      </c>
      <c r="O12" s="1">
        <f t="shared" si="5"/>
        <v>10.21006882166494</v>
      </c>
      <c r="P12" s="1">
        <f t="shared" si="0"/>
        <v>10.948230205101877</v>
      </c>
      <c r="Q12" s="1">
        <f t="shared" si="1"/>
        <v>10.723815869483914</v>
      </c>
      <c r="R12" s="1">
        <f t="shared" si="2"/>
        <v>125.12909999999999</v>
      </c>
      <c r="S12" s="1" t="e">
        <f t="shared" si="3"/>
        <v>#N/A</v>
      </c>
      <c r="T12" s="1" t="e">
        <v>#N/A</v>
      </c>
    </row>
    <row r="13" spans="1:57" x14ac:dyDescent="0.35">
      <c r="A13" s="1">
        <v>500112.24489999999</v>
      </c>
      <c r="B13" s="1">
        <v>5999997.4409999996</v>
      </c>
      <c r="C13" s="1">
        <v>174.56299346160199</v>
      </c>
      <c r="D13" s="1">
        <f t="shared" si="4"/>
        <v>112.38582526354234</v>
      </c>
      <c r="E13" s="1">
        <v>0.01</v>
      </c>
      <c r="F13" s="1">
        <v>0.05</v>
      </c>
      <c r="G13" s="1">
        <v>0.1</v>
      </c>
      <c r="H13" s="1">
        <v>9.81</v>
      </c>
      <c r="I13" s="1">
        <v>2650</v>
      </c>
      <c r="J13" s="1">
        <v>1000</v>
      </c>
      <c r="K13" s="1">
        <v>1.65</v>
      </c>
      <c r="L13" s="1">
        <v>6.5</v>
      </c>
      <c r="M13" s="1">
        <v>2.5</v>
      </c>
      <c r="N13" s="6">
        <v>9.9999999999999995E-7</v>
      </c>
      <c r="O13" s="1">
        <f t="shared" si="5"/>
        <v>10.211692861963954</v>
      </c>
      <c r="P13" s="1">
        <f t="shared" si="0"/>
        <v>13.530011313683339</v>
      </c>
      <c r="Q13" s="1">
        <f t="shared" si="1"/>
        <v>12.239120759392609</v>
      </c>
      <c r="R13" s="1">
        <f t="shared" si="2"/>
        <v>125.12909999999999</v>
      </c>
      <c r="S13" s="1" t="e">
        <f t="shared" si="3"/>
        <v>#N/A</v>
      </c>
      <c r="T13" s="1" t="e">
        <v>#N/A</v>
      </c>
    </row>
    <row r="14" spans="1:57" x14ac:dyDescent="0.35">
      <c r="A14" s="1">
        <v>500122.44900000002</v>
      </c>
      <c r="B14" s="1">
        <v>5999997.7379999999</v>
      </c>
      <c r="C14" s="1">
        <v>165.68327835707299</v>
      </c>
      <c r="D14" s="1">
        <f t="shared" si="4"/>
        <v>122.59424658178733</v>
      </c>
      <c r="E14" s="1">
        <v>0.01</v>
      </c>
      <c r="F14" s="1">
        <v>0.05</v>
      </c>
      <c r="G14" s="1">
        <v>0.1</v>
      </c>
      <c r="H14" s="1">
        <v>9.81</v>
      </c>
      <c r="I14" s="1">
        <v>2650</v>
      </c>
      <c r="J14" s="1">
        <v>1000</v>
      </c>
      <c r="K14" s="1">
        <v>1.65</v>
      </c>
      <c r="L14" s="1">
        <v>6.5</v>
      </c>
      <c r="M14" s="1">
        <v>2.5</v>
      </c>
      <c r="N14" s="6">
        <v>9.9999999999999995E-7</v>
      </c>
      <c r="O14" s="1">
        <f t="shared" si="5"/>
        <v>10.212455607463802</v>
      </c>
      <c r="P14" s="1">
        <f t="shared" si="0"/>
        <v>12.917030195420445</v>
      </c>
      <c r="Q14" s="1">
        <f t="shared" si="1"/>
        <v>13.223520754551892</v>
      </c>
      <c r="R14" s="1">
        <f t="shared" si="2"/>
        <v>125.12909999999999</v>
      </c>
      <c r="S14" s="1" t="e">
        <f t="shared" si="3"/>
        <v>#N/A</v>
      </c>
      <c r="T14" s="1" t="e">
        <v>#N/A</v>
      </c>
    </row>
    <row r="15" spans="1:57" x14ac:dyDescent="0.35">
      <c r="A15" s="1">
        <v>500132.6531</v>
      </c>
      <c r="B15" s="1">
        <v>5999997.2350000003</v>
      </c>
      <c r="C15" s="1">
        <v>173.58726489934301</v>
      </c>
      <c r="D15" s="1">
        <f t="shared" si="4"/>
        <v>132.81073647846995</v>
      </c>
      <c r="E15" s="1">
        <v>0.01</v>
      </c>
      <c r="F15" s="1">
        <v>0.05</v>
      </c>
      <c r="G15" s="1">
        <v>0.1</v>
      </c>
      <c r="H15" s="1">
        <v>9.81</v>
      </c>
      <c r="I15" s="1">
        <v>2650</v>
      </c>
      <c r="J15" s="1">
        <v>1000</v>
      </c>
      <c r="K15" s="1">
        <v>1.65</v>
      </c>
      <c r="L15" s="1">
        <v>6.5</v>
      </c>
      <c r="M15" s="1">
        <v>2.5</v>
      </c>
      <c r="N15" s="6">
        <v>9.9999999999999995E-7</v>
      </c>
      <c r="O15" s="1">
        <f t="shared" si="5"/>
        <v>10.225512676353247</v>
      </c>
      <c r="P15" s="1">
        <f t="shared" si="0"/>
        <v>13.492945518552009</v>
      </c>
      <c r="Q15" s="1">
        <f t="shared" si="1"/>
        <v>13.204987856986227</v>
      </c>
      <c r="R15" s="1">
        <f t="shared" si="2"/>
        <v>125.12909999999999</v>
      </c>
      <c r="S15" s="1" t="e">
        <f t="shared" si="3"/>
        <v>#N/A</v>
      </c>
      <c r="T15" s="1" t="e">
        <v>#N/A</v>
      </c>
    </row>
    <row r="16" spans="1:57" x14ac:dyDescent="0.35">
      <c r="A16" s="1">
        <v>500142.85710000002</v>
      </c>
      <c r="B16" s="1">
        <v>5999996.4450000003</v>
      </c>
      <c r="C16" s="1">
        <v>164.79443470844299</v>
      </c>
      <c r="D16" s="1">
        <f t="shared" si="4"/>
        <v>143.04527193449383</v>
      </c>
      <c r="E16" s="1">
        <v>0.01</v>
      </c>
      <c r="F16" s="1">
        <v>0.05</v>
      </c>
      <c r="G16" s="1">
        <v>0.1</v>
      </c>
      <c r="H16" s="1">
        <v>9.81</v>
      </c>
      <c r="I16" s="1">
        <v>2650</v>
      </c>
      <c r="J16" s="1">
        <v>1000</v>
      </c>
      <c r="K16" s="1">
        <v>1.65</v>
      </c>
      <c r="L16" s="1">
        <v>6.5</v>
      </c>
      <c r="M16" s="1">
        <v>2.5</v>
      </c>
      <c r="N16" s="6">
        <v>9.9999999999999995E-7</v>
      </c>
      <c r="O16" s="1">
        <f t="shared" si="5"/>
        <v>10.219577641411078</v>
      </c>
      <c r="P16" s="1">
        <f t="shared" si="0"/>
        <v>10.57052865269438</v>
      </c>
      <c r="Q16" s="1">
        <f t="shared" si="1"/>
        <v>12.031737085623195</v>
      </c>
      <c r="R16" s="1">
        <f t="shared" si="2"/>
        <v>125.12909999999999</v>
      </c>
      <c r="S16" s="1" t="e">
        <f t="shared" si="3"/>
        <v>#N/A</v>
      </c>
      <c r="T16" s="1" t="e">
        <v>#N/A</v>
      </c>
    </row>
    <row r="17" spans="1:20" x14ac:dyDescent="0.35">
      <c r="A17" s="1">
        <v>500153.0612</v>
      </c>
      <c r="B17" s="1">
        <v>5999996.5480000004</v>
      </c>
      <c r="C17" s="1">
        <v>167.55157275140499</v>
      </c>
      <c r="D17" s="1">
        <f t="shared" si="4"/>
        <v>153.2498917612921</v>
      </c>
      <c r="E17" s="1">
        <v>0.01</v>
      </c>
      <c r="F17" s="1">
        <v>0.05</v>
      </c>
      <c r="G17" s="1">
        <v>0.1</v>
      </c>
      <c r="H17" s="1">
        <v>9.81</v>
      </c>
      <c r="I17" s="1">
        <v>2650</v>
      </c>
      <c r="J17" s="1">
        <v>1000</v>
      </c>
      <c r="K17" s="1">
        <v>1.65</v>
      </c>
      <c r="L17" s="1">
        <v>6.5</v>
      </c>
      <c r="M17" s="1">
        <v>2.5</v>
      </c>
      <c r="N17" s="6">
        <v>9.9999999999999995E-7</v>
      </c>
      <c r="O17" s="1">
        <f t="shared" si="5"/>
        <v>10.204940921281036</v>
      </c>
      <c r="P17" s="1">
        <f t="shared" si="0"/>
        <v>10.682627590463349</v>
      </c>
      <c r="Q17" s="1">
        <f t="shared" si="1"/>
        <v>10.626578121578865</v>
      </c>
      <c r="R17" s="1">
        <f t="shared" si="2"/>
        <v>125.12909999999999</v>
      </c>
      <c r="S17" s="1" t="e">
        <f t="shared" si="3"/>
        <v>#N/A</v>
      </c>
      <c r="T17" s="1" t="e">
        <v>#N/A</v>
      </c>
    </row>
    <row r="18" spans="1:20" x14ac:dyDescent="0.35">
      <c r="A18" s="1">
        <v>500163.26530000003</v>
      </c>
      <c r="B18" s="1">
        <v>5999996.7019999996</v>
      </c>
      <c r="C18" s="1">
        <v>164.39385847900201</v>
      </c>
      <c r="D18" s="1">
        <f t="shared" si="4"/>
        <v>163.4551537770559</v>
      </c>
      <c r="E18" s="1">
        <v>0.01</v>
      </c>
      <c r="F18" s="1">
        <v>0.05</v>
      </c>
      <c r="G18" s="1">
        <v>0.1</v>
      </c>
      <c r="H18" s="1">
        <v>9.81</v>
      </c>
      <c r="I18" s="1">
        <v>2650</v>
      </c>
      <c r="J18" s="1">
        <v>1000</v>
      </c>
      <c r="K18" s="1">
        <v>1.65</v>
      </c>
      <c r="L18" s="1">
        <v>6.5</v>
      </c>
      <c r="M18" s="1">
        <v>2.5</v>
      </c>
      <c r="N18" s="6">
        <v>9.9999999999999995E-7</v>
      </c>
      <c r="O18" s="1">
        <f t="shared" si="5"/>
        <v>10.213849082106762</v>
      </c>
      <c r="P18" s="1">
        <f t="shared" si="0"/>
        <v>11.026540308620518</v>
      </c>
      <c r="Q18" s="1">
        <f t="shared" si="1"/>
        <v>10.854583949541933</v>
      </c>
      <c r="R18" s="1">
        <f t="shared" si="2"/>
        <v>125.12909999999999</v>
      </c>
      <c r="S18" s="1" t="e">
        <f t="shared" si="3"/>
        <v>#N/A</v>
      </c>
      <c r="T18" s="1" t="e">
        <v>#N/A</v>
      </c>
    </row>
    <row r="19" spans="1:20" x14ac:dyDescent="0.35">
      <c r="A19" s="1">
        <v>500173.4694</v>
      </c>
      <c r="B19" s="1">
        <v>5999996.0899999999</v>
      </c>
      <c r="C19" s="1">
        <v>168.52742719967199</v>
      </c>
      <c r="D19" s="1">
        <f t="shared" si="4"/>
        <v>173.67758992550563</v>
      </c>
      <c r="E19" s="1">
        <v>0.01</v>
      </c>
      <c r="F19" s="1">
        <v>0.05</v>
      </c>
      <c r="G19" s="1">
        <v>0.1</v>
      </c>
      <c r="H19" s="1">
        <v>9.81</v>
      </c>
      <c r="I19" s="1">
        <v>2650</v>
      </c>
      <c r="J19" s="1">
        <v>1000</v>
      </c>
      <c r="K19" s="1">
        <v>1.65</v>
      </c>
      <c r="L19" s="1">
        <v>6.5</v>
      </c>
      <c r="M19" s="1">
        <v>2.5</v>
      </c>
      <c r="N19" s="6">
        <v>9.9999999999999995E-7</v>
      </c>
      <c r="O19" s="1">
        <f t="shared" si="5"/>
        <v>10.214988293625822</v>
      </c>
      <c r="P19" s="1">
        <f t="shared" si="0"/>
        <v>10.632479456336906</v>
      </c>
      <c r="Q19" s="1">
        <f t="shared" si="1"/>
        <v>10.829509882478712</v>
      </c>
      <c r="R19" s="1">
        <f t="shared" si="2"/>
        <v>125.12909999999999</v>
      </c>
      <c r="S19" s="1" t="e">
        <f t="shared" si="3"/>
        <v>#N/A</v>
      </c>
      <c r="T19" s="1" t="e">
        <v>#N/A</v>
      </c>
    </row>
    <row r="20" spans="1:20" x14ac:dyDescent="0.35">
      <c r="A20" s="1">
        <v>500183.67349999998</v>
      </c>
      <c r="B20" s="1">
        <v>5999996.3550000004</v>
      </c>
      <c r="C20" s="1">
        <v>165.55156806663999</v>
      </c>
      <c r="D20" s="1">
        <f t="shared" si="4"/>
        <v>183.88513036430754</v>
      </c>
      <c r="E20" s="1">
        <v>0.01</v>
      </c>
      <c r="F20" s="1">
        <v>0.05</v>
      </c>
      <c r="G20" s="1">
        <v>0.1</v>
      </c>
      <c r="H20" s="1">
        <v>9.81</v>
      </c>
      <c r="I20" s="1">
        <v>2650</v>
      </c>
      <c r="J20" s="1">
        <v>1000</v>
      </c>
      <c r="K20" s="1">
        <v>1.65</v>
      </c>
      <c r="L20" s="1">
        <v>6.5</v>
      </c>
      <c r="M20" s="1">
        <v>2.5</v>
      </c>
      <c r="N20" s="6">
        <v>9.9999999999999995E-7</v>
      </c>
      <c r="O20" s="1">
        <f t="shared" si="5"/>
        <v>10.210285318026777</v>
      </c>
      <c r="P20" s="1">
        <f t="shared" si="0"/>
        <v>10.217153370786205</v>
      </c>
      <c r="Q20" s="1">
        <f t="shared" si="1"/>
        <v>10.424816413561555</v>
      </c>
      <c r="R20" s="1">
        <f t="shared" si="2"/>
        <v>125.12909999999999</v>
      </c>
      <c r="S20" s="1" t="e">
        <f t="shared" si="3"/>
        <v>#N/A</v>
      </c>
      <c r="T20" s="1" t="e">
        <v>#N/A</v>
      </c>
    </row>
    <row r="21" spans="1:20" x14ac:dyDescent="0.35">
      <c r="A21" s="1">
        <v>500193.87760000001</v>
      </c>
      <c r="B21" s="1">
        <v>5999996.7819999997</v>
      </c>
      <c r="C21" s="1">
        <v>165.84180450851801</v>
      </c>
      <c r="D21" s="1">
        <f t="shared" si="4"/>
        <v>194.09816056155918</v>
      </c>
      <c r="E21" s="1">
        <v>0.01</v>
      </c>
      <c r="F21" s="1">
        <v>0.05</v>
      </c>
      <c r="G21" s="1">
        <v>0.1</v>
      </c>
      <c r="H21" s="1">
        <v>9.81</v>
      </c>
      <c r="I21" s="1">
        <v>2650</v>
      </c>
      <c r="J21" s="1">
        <v>1000</v>
      </c>
      <c r="K21" s="1">
        <v>1.65</v>
      </c>
      <c r="L21" s="1">
        <v>6.5</v>
      </c>
      <c r="M21" s="1">
        <v>2.5</v>
      </c>
      <c r="N21" s="6">
        <v>9.9999999999999995E-7</v>
      </c>
      <c r="O21" s="1">
        <f t="shared" si="5"/>
        <v>10.225732250662787</v>
      </c>
      <c r="P21" s="1">
        <f t="shared" si="0"/>
        <v>11.805317568883225</v>
      </c>
      <c r="Q21" s="1">
        <f t="shared" si="1"/>
        <v>11.011235469834716</v>
      </c>
      <c r="R21" s="1">
        <f t="shared" si="2"/>
        <v>125.12909999999999</v>
      </c>
      <c r="S21" s="1" t="e">
        <f t="shared" si="3"/>
        <v>#N/A</v>
      </c>
      <c r="T21" s="1" t="e">
        <v>#N/A</v>
      </c>
    </row>
    <row r="22" spans="1:20" x14ac:dyDescent="0.35">
      <c r="A22" s="1">
        <v>500204.08159999998</v>
      </c>
      <c r="B22" s="1">
        <v>5999995.943</v>
      </c>
      <c r="C22" s="1">
        <v>159.96473160584401</v>
      </c>
      <c r="D22" s="1">
        <f t="shared" si="4"/>
        <v>204.33659486563312</v>
      </c>
      <c r="E22" s="1">
        <v>0.01</v>
      </c>
      <c r="F22" s="1">
        <v>0.05</v>
      </c>
      <c r="G22" s="1">
        <v>0.1</v>
      </c>
      <c r="H22" s="1">
        <v>9.81</v>
      </c>
      <c r="I22" s="1">
        <v>2650</v>
      </c>
      <c r="J22" s="1">
        <v>1000</v>
      </c>
      <c r="K22" s="1">
        <v>1.65</v>
      </c>
      <c r="L22" s="1">
        <v>6.5</v>
      </c>
      <c r="M22" s="1">
        <v>2.5</v>
      </c>
      <c r="N22" s="6">
        <v>9.9999999999999995E-7</v>
      </c>
      <c r="O22" s="1">
        <f t="shared" si="5"/>
        <v>10.222474465035148</v>
      </c>
      <c r="P22" s="1">
        <f t="shared" si="0"/>
        <v>10.510110351296964</v>
      </c>
      <c r="Q22" s="1">
        <f t="shared" si="1"/>
        <v>11.157713960090096</v>
      </c>
      <c r="R22" s="1">
        <f t="shared" si="2"/>
        <v>125.12909999999999</v>
      </c>
      <c r="S22" s="1" t="e">
        <f t="shared" si="3"/>
        <v>#N/A</v>
      </c>
      <c r="T22" s="1" t="e">
        <v>#N/A</v>
      </c>
    </row>
    <row r="23" spans="1:20" x14ac:dyDescent="0.35">
      <c r="A23" s="1">
        <v>500214.28570000001</v>
      </c>
      <c r="B23" s="1">
        <v>5999995.7209999999</v>
      </c>
      <c r="C23" s="1">
        <v>162.47261493362501</v>
      </c>
      <c r="D23" s="1">
        <f t="shared" si="4"/>
        <v>214.54310949162948</v>
      </c>
      <c r="E23" s="1">
        <v>0.01</v>
      </c>
      <c r="F23" s="1">
        <v>0.05</v>
      </c>
      <c r="G23" s="1">
        <v>0.1</v>
      </c>
      <c r="H23" s="1">
        <v>9.81</v>
      </c>
      <c r="I23" s="1">
        <v>2650</v>
      </c>
      <c r="J23" s="1">
        <v>1000</v>
      </c>
      <c r="K23" s="1">
        <v>1.65</v>
      </c>
      <c r="L23" s="1">
        <v>6.5</v>
      </c>
      <c r="M23" s="1">
        <v>2.5</v>
      </c>
      <c r="N23" s="6">
        <v>9.9999999999999995E-7</v>
      </c>
      <c r="O23" s="1">
        <f t="shared" si="5"/>
        <v>10.209668499185454</v>
      </c>
      <c r="P23" s="1">
        <f t="shared" si="0"/>
        <v>13.932835838967597</v>
      </c>
      <c r="Q23" s="1">
        <f t="shared" si="1"/>
        <v>12.22147309513228</v>
      </c>
      <c r="R23" s="1">
        <f t="shared" si="2"/>
        <v>125.12909999999999</v>
      </c>
      <c r="S23" s="1" t="e">
        <f t="shared" si="3"/>
        <v>#N/A</v>
      </c>
      <c r="T23" s="1" t="e">
        <v>#N/A</v>
      </c>
    </row>
    <row r="24" spans="1:20" x14ac:dyDescent="0.35">
      <c r="A24" s="1">
        <v>500224.48979999998</v>
      </c>
      <c r="B24" s="1">
        <v>5999996.1430000002</v>
      </c>
      <c r="C24" s="1">
        <v>152.99515885586101</v>
      </c>
      <c r="D24" s="1">
        <f t="shared" si="4"/>
        <v>224.75593186400403</v>
      </c>
      <c r="E24" s="1">
        <v>0.01</v>
      </c>
      <c r="F24" s="1">
        <v>0.05</v>
      </c>
      <c r="G24" s="1">
        <v>0.1</v>
      </c>
      <c r="H24" s="1">
        <v>9.81</v>
      </c>
      <c r="I24" s="1">
        <v>2650</v>
      </c>
      <c r="J24" s="1">
        <v>1000</v>
      </c>
      <c r="K24" s="1">
        <v>1.65</v>
      </c>
      <c r="L24" s="1">
        <v>6.5</v>
      </c>
      <c r="M24" s="1">
        <v>2.5</v>
      </c>
      <c r="N24" s="6">
        <v>9.9999999999999995E-7</v>
      </c>
      <c r="O24" s="1">
        <f t="shared" si="5"/>
        <v>10.211706300347956</v>
      </c>
      <c r="P24" s="1">
        <f t="shared" si="0"/>
        <v>10.301820481574744</v>
      </c>
      <c r="Q24" s="1">
        <f t="shared" si="1"/>
        <v>12.117328160271171</v>
      </c>
      <c r="R24" s="1">
        <f t="shared" si="2"/>
        <v>125.12909999999999</v>
      </c>
      <c r="S24" s="1" t="e">
        <f t="shared" si="3"/>
        <v>#N/A</v>
      </c>
      <c r="T24" s="1" t="e">
        <v>#N/A</v>
      </c>
    </row>
    <row r="25" spans="1:20" x14ac:dyDescent="0.35">
      <c r="A25" s="1">
        <v>500234.69390000001</v>
      </c>
      <c r="B25" s="1">
        <v>5999996.5070000002</v>
      </c>
      <c r="C25" s="1">
        <v>151.627185016966</v>
      </c>
      <c r="D25" s="1">
        <f t="shared" si="4"/>
        <v>234.96652209232539</v>
      </c>
      <c r="E25" s="1">
        <v>0.01</v>
      </c>
      <c r="F25" s="1">
        <v>0.05</v>
      </c>
      <c r="G25" s="1">
        <v>0.1</v>
      </c>
      <c r="H25" s="1">
        <v>9.81</v>
      </c>
      <c r="I25" s="1">
        <v>2650</v>
      </c>
      <c r="J25" s="1">
        <v>1000</v>
      </c>
      <c r="K25" s="1">
        <v>1.65</v>
      </c>
      <c r="L25" s="1">
        <v>6.5</v>
      </c>
      <c r="M25" s="1">
        <v>2.5</v>
      </c>
      <c r="N25" s="6">
        <v>9.9999999999999995E-7</v>
      </c>
      <c r="O25" s="1">
        <f t="shared" si="5"/>
        <v>10.212172653557417</v>
      </c>
      <c r="P25" s="1">
        <f t="shared" si="0"/>
        <v>11.089044194999135</v>
      </c>
      <c r="Q25" s="1">
        <f t="shared" si="1"/>
        <v>10.695432338286938</v>
      </c>
      <c r="R25" s="1">
        <f t="shared" si="2"/>
        <v>125.12909999999999</v>
      </c>
      <c r="S25" s="1" t="e">
        <f t="shared" si="3"/>
        <v>#N/A</v>
      </c>
      <c r="T25" s="1" t="e">
        <v>#N/A</v>
      </c>
    </row>
    <row r="26" spans="1:20" x14ac:dyDescent="0.35">
      <c r="A26" s="1">
        <v>500244.89799999999</v>
      </c>
      <c r="B26" s="1">
        <v>5999996.9510000004</v>
      </c>
      <c r="C26" s="1">
        <v>155.94529899752101</v>
      </c>
      <c r="D26" s="1">
        <f t="shared" si="4"/>
        <v>245.18027717111886</v>
      </c>
      <c r="E26" s="1">
        <v>0.01</v>
      </c>
      <c r="F26" s="1">
        <v>0.05</v>
      </c>
      <c r="G26" s="1">
        <v>0.1</v>
      </c>
      <c r="H26" s="1">
        <v>9.81</v>
      </c>
      <c r="I26" s="1">
        <v>2650</v>
      </c>
      <c r="J26" s="1">
        <v>1000</v>
      </c>
      <c r="K26" s="1">
        <v>1.65</v>
      </c>
      <c r="L26" s="1">
        <v>6.5</v>
      </c>
      <c r="M26" s="1">
        <v>2.5</v>
      </c>
      <c r="N26" s="6">
        <v>9.9999999999999995E-7</v>
      </c>
      <c r="O26" s="1">
        <f t="shared" si="5"/>
        <v>10.228334363400478</v>
      </c>
      <c r="P26" s="1">
        <f t="shared" si="0"/>
        <v>11.738479864242503</v>
      </c>
      <c r="Q26" s="1">
        <f t="shared" si="1"/>
        <v>11.41376202962082</v>
      </c>
      <c r="R26" s="1">
        <f t="shared" si="2"/>
        <v>125.12909999999999</v>
      </c>
      <c r="S26" s="1" t="e">
        <f t="shared" si="3"/>
        <v>#N/A</v>
      </c>
      <c r="T26" s="1" t="e">
        <v>#N/A</v>
      </c>
    </row>
    <row r="27" spans="1:20" x14ac:dyDescent="0.35">
      <c r="A27" s="1">
        <v>500255.10200000001</v>
      </c>
      <c r="B27" s="1">
        <v>5999997.8430000003</v>
      </c>
      <c r="C27" s="1">
        <v>150.21165883417899</v>
      </c>
      <c r="D27" s="1">
        <f t="shared" si="4"/>
        <v>255.42319081912635</v>
      </c>
      <c r="E27" s="1">
        <v>0.01</v>
      </c>
      <c r="F27" s="1">
        <v>0.05</v>
      </c>
      <c r="G27" s="1">
        <v>0.1</v>
      </c>
      <c r="H27" s="1">
        <v>9.81</v>
      </c>
      <c r="I27" s="1">
        <v>2650</v>
      </c>
      <c r="J27" s="1">
        <v>1000</v>
      </c>
      <c r="K27" s="1">
        <v>1.65</v>
      </c>
      <c r="L27" s="1">
        <v>6.5</v>
      </c>
      <c r="M27" s="1">
        <v>2.5</v>
      </c>
      <c r="N27" s="6">
        <v>9.9999999999999995E-7</v>
      </c>
      <c r="O27" s="1">
        <f t="shared" si="5"/>
        <v>10.228247812702051</v>
      </c>
      <c r="P27" s="1">
        <f t="shared" si="0"/>
        <v>10.415569048554094</v>
      </c>
      <c r="Q27" s="1">
        <f t="shared" si="1"/>
        <v>11.077024456398298</v>
      </c>
      <c r="R27" s="1">
        <f t="shared" si="2"/>
        <v>125.12909999999999</v>
      </c>
      <c r="S27" s="1" t="e">
        <f t="shared" si="3"/>
        <v>#N/A</v>
      </c>
      <c r="T27" s="1" t="e">
        <v>#N/A</v>
      </c>
    </row>
    <row r="28" spans="1:20" x14ac:dyDescent="0.35">
      <c r="A28" s="1">
        <v>500265.30609999999</v>
      </c>
      <c r="B28" s="1">
        <v>5999998.2829999998</v>
      </c>
      <c r="C28" s="1">
        <v>148.17037938339399</v>
      </c>
      <c r="D28" s="1">
        <f t="shared" si="4"/>
        <v>265.63677279652296</v>
      </c>
      <c r="E28" s="1">
        <v>0.01</v>
      </c>
      <c r="F28" s="1">
        <v>0.05</v>
      </c>
      <c r="G28" s="1">
        <v>0.1</v>
      </c>
      <c r="H28" s="1">
        <v>9.81</v>
      </c>
      <c r="I28" s="1">
        <v>2650</v>
      </c>
      <c r="J28" s="1">
        <v>1000</v>
      </c>
      <c r="K28" s="1">
        <v>1.65</v>
      </c>
      <c r="L28" s="1">
        <v>6.5</v>
      </c>
      <c r="M28" s="1">
        <v>2.5</v>
      </c>
      <c r="N28" s="6">
        <v>9.9999999999999995E-7</v>
      </c>
      <c r="O28" s="1">
        <f t="shared" si="5"/>
        <v>10.23198332194535</v>
      </c>
      <c r="P28" s="1">
        <f t="shared" si="0"/>
        <v>10.753746192038282</v>
      </c>
      <c r="Q28" s="1">
        <f t="shared" si="1"/>
        <v>10.584657620296188</v>
      </c>
      <c r="R28" s="1">
        <f t="shared" si="2"/>
        <v>125.12909999999999</v>
      </c>
      <c r="S28" s="1" t="e">
        <f t="shared" si="3"/>
        <v>#N/A</v>
      </c>
      <c r="T28" s="1" t="e">
        <v>#N/A</v>
      </c>
    </row>
    <row r="29" spans="1:20" x14ac:dyDescent="0.35">
      <c r="A29" s="1">
        <v>500275.51020000002</v>
      </c>
      <c r="B29" s="1">
        <v>5999997.3099999996</v>
      </c>
      <c r="C29" s="1">
        <v>144.91881493659599</v>
      </c>
      <c r="D29" s="1">
        <f t="shared" si="4"/>
        <v>275.88715746301705</v>
      </c>
      <c r="E29" s="1">
        <v>0.01</v>
      </c>
      <c r="F29" s="1">
        <v>0.05</v>
      </c>
      <c r="G29" s="1">
        <v>0.1</v>
      </c>
      <c r="H29" s="1">
        <v>9.81</v>
      </c>
      <c r="I29" s="1">
        <v>2650</v>
      </c>
      <c r="J29" s="1">
        <v>1000</v>
      </c>
      <c r="K29" s="1">
        <v>1.65</v>
      </c>
      <c r="L29" s="1">
        <v>6.5</v>
      </c>
      <c r="M29" s="1">
        <v>2.5</v>
      </c>
      <c r="N29" s="6">
        <v>9.9999999999999995E-7</v>
      </c>
      <c r="O29" s="1">
        <f t="shared" si="5"/>
        <v>10.247668609691146</v>
      </c>
      <c r="P29" s="1">
        <f t="shared" si="0"/>
        <v>10.247801935839309</v>
      </c>
      <c r="Q29" s="1">
        <f t="shared" si="1"/>
        <v>10.500774063938795</v>
      </c>
      <c r="R29" s="1">
        <f t="shared" si="2"/>
        <v>125.12909999999999</v>
      </c>
      <c r="S29" s="1" t="e">
        <f t="shared" si="3"/>
        <v>#N/A</v>
      </c>
      <c r="T29" s="1" t="e">
        <v>#N/A</v>
      </c>
    </row>
    <row r="30" spans="1:20" x14ac:dyDescent="0.35">
      <c r="A30" s="1">
        <v>500285.71429999999</v>
      </c>
      <c r="B30" s="1">
        <v>5999998.2240000004</v>
      </c>
      <c r="C30" s="1">
        <v>144.67717117967001</v>
      </c>
      <c r="D30" s="1">
        <f t="shared" si="4"/>
        <v>286.13211001590525</v>
      </c>
      <c r="E30" s="1">
        <v>0.01</v>
      </c>
      <c r="F30" s="1">
        <v>0.05</v>
      </c>
      <c r="G30" s="1">
        <v>0.1</v>
      </c>
      <c r="H30" s="1">
        <v>9.81</v>
      </c>
      <c r="I30" s="1">
        <v>2650</v>
      </c>
      <c r="J30" s="1">
        <v>1000</v>
      </c>
      <c r="K30" s="1">
        <v>1.65</v>
      </c>
      <c r="L30" s="1">
        <v>6.5</v>
      </c>
      <c r="M30" s="1">
        <v>2.5</v>
      </c>
      <c r="N30" s="6">
        <v>9.9999999999999995E-7</v>
      </c>
      <c r="O30" s="1">
        <f t="shared" si="5"/>
        <v>10.245310960713113</v>
      </c>
      <c r="P30" s="1">
        <f t="shared" si="0"/>
        <v>10.773986209295044</v>
      </c>
      <c r="Q30" s="1">
        <f t="shared" si="1"/>
        <v>10.510894072567176</v>
      </c>
      <c r="R30" s="1">
        <f t="shared" si="2"/>
        <v>125.12909999999999</v>
      </c>
      <c r="S30" s="1" t="e">
        <f t="shared" si="3"/>
        <v>#N/A</v>
      </c>
      <c r="T30" s="1" t="e">
        <v>#N/A</v>
      </c>
    </row>
    <row r="31" spans="1:20" x14ac:dyDescent="0.35">
      <c r="A31" s="1">
        <v>500295.91840000002</v>
      </c>
      <c r="B31" s="1">
        <v>5999999.1459999997</v>
      </c>
      <c r="C31" s="1">
        <v>141.344748933213</v>
      </c>
      <c r="D31" s="1">
        <f t="shared" si="4"/>
        <v>296.37777938444327</v>
      </c>
      <c r="E31" s="1">
        <v>0.01</v>
      </c>
      <c r="F31" s="1">
        <v>0.05</v>
      </c>
      <c r="G31" s="1">
        <v>0.1</v>
      </c>
      <c r="H31" s="1">
        <v>9.81</v>
      </c>
      <c r="I31" s="1">
        <v>2650</v>
      </c>
      <c r="J31" s="1">
        <v>1000</v>
      </c>
      <c r="K31" s="1">
        <v>1.65</v>
      </c>
      <c r="L31" s="1">
        <v>6.5</v>
      </c>
      <c r="M31" s="1">
        <v>2.5</v>
      </c>
      <c r="N31" s="6">
        <v>9.9999999999999995E-7</v>
      </c>
      <c r="O31" s="1">
        <f t="shared" si="5"/>
        <v>10.233098302678485</v>
      </c>
      <c r="P31" s="1">
        <f t="shared" si="0"/>
        <v>10.320041754295742</v>
      </c>
      <c r="Q31" s="1">
        <f t="shared" si="1"/>
        <v>10.547013981795393</v>
      </c>
      <c r="R31" s="1">
        <f t="shared" si="2"/>
        <v>125.12909999999999</v>
      </c>
      <c r="S31" s="1" t="e">
        <f t="shared" si="3"/>
        <v>#N/A</v>
      </c>
      <c r="T31" s="1" t="e">
        <v>#N/A</v>
      </c>
    </row>
    <row r="32" spans="1:20" x14ac:dyDescent="0.35">
      <c r="A32" s="1">
        <v>500306.12239999999</v>
      </c>
      <c r="B32" s="1">
        <v>5999998.5650000004</v>
      </c>
      <c r="C32" s="1">
        <v>139.91503399244701</v>
      </c>
      <c r="D32" s="1">
        <f t="shared" si="4"/>
        <v>306.59830662126222</v>
      </c>
      <c r="E32" s="1">
        <v>0.01</v>
      </c>
      <c r="F32" s="1">
        <v>0.05</v>
      </c>
      <c r="G32" s="1">
        <v>0.1</v>
      </c>
      <c r="H32" s="1">
        <v>9.81</v>
      </c>
      <c r="I32" s="1">
        <v>2650</v>
      </c>
      <c r="J32" s="1">
        <v>1000</v>
      </c>
      <c r="K32" s="1">
        <v>1.65</v>
      </c>
      <c r="L32" s="1">
        <v>6.5</v>
      </c>
      <c r="M32" s="1">
        <v>2.5</v>
      </c>
      <c r="N32" s="6">
        <v>9.9999999999999995E-7</v>
      </c>
      <c r="O32" s="1">
        <f t="shared" si="5"/>
        <v>10.221874954638196</v>
      </c>
      <c r="P32" s="1">
        <f t="shared" si="0"/>
        <v>13.893706980070347</v>
      </c>
      <c r="Q32" s="1">
        <f t="shared" si="1"/>
        <v>12.106874367183044</v>
      </c>
      <c r="R32" s="1">
        <f t="shared" si="2"/>
        <v>125.12909999999999</v>
      </c>
      <c r="S32" s="1" t="e">
        <f t="shared" si="3"/>
        <v>#N/A</v>
      </c>
      <c r="T32" s="1" t="e">
        <v>#N/A</v>
      </c>
    </row>
    <row r="33" spans="1:20" x14ac:dyDescent="0.35">
      <c r="A33" s="1">
        <v>500316.32650000002</v>
      </c>
      <c r="B33" s="1">
        <v>5999999.1900000004</v>
      </c>
      <c r="C33" s="1">
        <v>130.506484059678</v>
      </c>
      <c r="D33" s="1">
        <f t="shared" si="4"/>
        <v>316.82152929371966</v>
      </c>
      <c r="E33" s="1">
        <v>0.01</v>
      </c>
      <c r="F33" s="1">
        <v>0.05</v>
      </c>
      <c r="G33" s="1">
        <v>0.1</v>
      </c>
      <c r="H33" s="1">
        <v>9.81</v>
      </c>
      <c r="I33" s="1">
        <v>2650</v>
      </c>
      <c r="J33" s="1">
        <v>1000</v>
      </c>
      <c r="K33" s="1">
        <v>1.65</v>
      </c>
      <c r="L33" s="1">
        <v>6.5</v>
      </c>
      <c r="M33" s="1">
        <v>2.5</v>
      </c>
      <c r="N33" s="6">
        <v>9.9999999999999995E-7</v>
      </c>
      <c r="O33" s="1">
        <f t="shared" si="5"/>
        <v>10.235493697492075</v>
      </c>
      <c r="P33" s="1">
        <f t="shared" si="0"/>
        <v>10.418299398725649</v>
      </c>
      <c r="Q33" s="1">
        <f t="shared" si="1"/>
        <v>12.156003189397998</v>
      </c>
      <c r="R33" s="1">
        <f t="shared" si="2"/>
        <v>125.12909999999999</v>
      </c>
      <c r="S33" s="1" t="e">
        <f t="shared" si="3"/>
        <v>#N/A</v>
      </c>
      <c r="T33" s="1" t="e">
        <v>#N/A</v>
      </c>
    </row>
    <row r="34" spans="1:20" x14ac:dyDescent="0.35">
      <c r="A34" s="1">
        <v>500326.5306</v>
      </c>
      <c r="B34" s="1">
        <v>6000000.1349999998</v>
      </c>
      <c r="C34" s="1">
        <v>128.62917733108401</v>
      </c>
      <c r="D34" s="1">
        <f t="shared" si="4"/>
        <v>327.06929401624637</v>
      </c>
      <c r="E34" s="1">
        <v>0.01</v>
      </c>
      <c r="F34" s="1">
        <v>0.05</v>
      </c>
      <c r="G34" s="1">
        <v>0.1</v>
      </c>
      <c r="H34" s="1">
        <v>9.81</v>
      </c>
      <c r="I34" s="1">
        <v>2650</v>
      </c>
      <c r="J34" s="1">
        <v>1000</v>
      </c>
      <c r="K34" s="1">
        <v>1.65</v>
      </c>
      <c r="L34" s="1">
        <v>6.5</v>
      </c>
      <c r="M34" s="1">
        <v>2.5</v>
      </c>
      <c r="N34" s="6">
        <v>9.9999999999999995E-7</v>
      </c>
      <c r="O34" s="1">
        <f t="shared" si="5"/>
        <v>10.241238558797846</v>
      </c>
      <c r="P34" s="1">
        <f t="shared" ref="P34:P50" si="6">SQRT((D35 - D34)^2 + (C35 - C34)^2)</f>
        <v>10.787841757464356</v>
      </c>
      <c r="Q34" s="1">
        <f t="shared" ref="Q34:Q50" si="7">IF(ROW()=2, P34/2, (P34 + P33)/2)</f>
        <v>10.603070578095004</v>
      </c>
      <c r="R34" s="1">
        <f t="shared" ref="R34:R50" si="8">125.1291</f>
        <v>125.12909999999999</v>
      </c>
      <c r="S34" s="1" t="e">
        <f t="shared" ref="S34:S50" si="9">IF(R34 - C34 &lt; 0, NA(), R34 - C34)</f>
        <v>#N/A</v>
      </c>
      <c r="T34" s="1" t="e">
        <v>#N/A</v>
      </c>
    </row>
    <row r="35" spans="1:20" x14ac:dyDescent="0.35">
      <c r="A35" s="1">
        <v>500336.73469999997</v>
      </c>
      <c r="B35" s="1">
        <v>5999999.3439999996</v>
      </c>
      <c r="C35" s="1">
        <v>132.03919081702699</v>
      </c>
      <c r="D35" s="1">
        <f t="shared" ref="D35:D51" si="10">D34 + SQRT((A35 - A34)^2 + (B35 - B34)^2)</f>
        <v>337.30400641131536</v>
      </c>
      <c r="E35" s="1">
        <v>0.01</v>
      </c>
      <c r="F35" s="1">
        <v>0.05</v>
      </c>
      <c r="G35" s="1">
        <v>0.1</v>
      </c>
      <c r="H35" s="1">
        <v>9.81</v>
      </c>
      <c r="I35" s="1">
        <v>2650</v>
      </c>
      <c r="J35" s="1">
        <v>1000</v>
      </c>
      <c r="K35" s="1">
        <v>1.65</v>
      </c>
      <c r="L35" s="1">
        <v>6.5</v>
      </c>
      <c r="M35" s="1">
        <v>2.5</v>
      </c>
      <c r="N35" s="6">
        <v>9.9999999999999995E-7</v>
      </c>
      <c r="O35" s="1">
        <f t="shared" si="5"/>
        <v>10.233949248828765</v>
      </c>
      <c r="P35" s="1">
        <f t="shared" si="6"/>
        <v>11.755266476054745</v>
      </c>
      <c r="Q35" s="1">
        <f t="shared" si="7"/>
        <v>11.27155411675955</v>
      </c>
      <c r="R35" s="1">
        <f t="shared" si="8"/>
        <v>125.12909999999999</v>
      </c>
      <c r="S35" s="1" t="e">
        <f t="shared" si="9"/>
        <v>#N/A</v>
      </c>
      <c r="T35" s="1" t="e">
        <v>#N/A</v>
      </c>
    </row>
    <row r="36" spans="1:20" x14ac:dyDescent="0.35">
      <c r="A36" s="1">
        <v>500346.9388</v>
      </c>
      <c r="B36" s="1">
        <v>5999998.5729999999</v>
      </c>
      <c r="C36" s="1">
        <v>126.254020801129</v>
      </c>
      <c r="D36" s="1">
        <f t="shared" si="10"/>
        <v>347.5371925139039</v>
      </c>
      <c r="E36" s="1">
        <v>0.01</v>
      </c>
      <c r="F36" s="1">
        <v>0.05</v>
      </c>
      <c r="G36" s="1">
        <v>0.1</v>
      </c>
      <c r="H36" s="1">
        <v>9.81</v>
      </c>
      <c r="I36" s="1">
        <v>2650</v>
      </c>
      <c r="J36" s="1">
        <v>1000</v>
      </c>
      <c r="K36" s="1">
        <v>1.65</v>
      </c>
      <c r="L36" s="1">
        <v>6.5</v>
      </c>
      <c r="M36" s="1">
        <v>2.5</v>
      </c>
      <c r="N36" s="6">
        <v>9.9999999999999995E-7</v>
      </c>
      <c r="O36" s="1">
        <f t="shared" si="5"/>
        <v>10.232552707337419</v>
      </c>
      <c r="P36" s="1">
        <f t="shared" si="6"/>
        <v>11.350607222214496</v>
      </c>
      <c r="Q36" s="1">
        <f t="shared" si="7"/>
        <v>11.552936849134621</v>
      </c>
      <c r="R36" s="1">
        <f t="shared" si="8"/>
        <v>125.12909999999999</v>
      </c>
      <c r="S36" s="1" t="e">
        <f t="shared" si="9"/>
        <v>#N/A</v>
      </c>
      <c r="T36" s="1" t="e">
        <v>#N/A</v>
      </c>
    </row>
    <row r="37" spans="1:20" x14ac:dyDescent="0.35">
      <c r="A37" s="1">
        <v>500357.14289999998</v>
      </c>
      <c r="B37" s="1">
        <v>5999999.3269999996</v>
      </c>
      <c r="C37" s="1">
        <v>131.167686591956</v>
      </c>
      <c r="D37" s="1">
        <f t="shared" si="10"/>
        <v>357.76911182599019</v>
      </c>
      <c r="E37" s="1">
        <v>0.01</v>
      </c>
      <c r="F37" s="1">
        <v>0.05</v>
      </c>
      <c r="G37" s="1">
        <v>0.1</v>
      </c>
      <c r="H37" s="1">
        <v>9.81</v>
      </c>
      <c r="I37" s="1">
        <v>2650</v>
      </c>
      <c r="J37" s="1">
        <v>1000</v>
      </c>
      <c r="K37" s="1">
        <v>1.65</v>
      </c>
      <c r="L37" s="1">
        <v>6.5</v>
      </c>
      <c r="M37" s="1">
        <v>2.5</v>
      </c>
      <c r="N37" s="6">
        <v>9.9999999999999995E-7</v>
      </c>
      <c r="O37" s="1">
        <f t="shared" si="5"/>
        <v>10.223838765829584</v>
      </c>
      <c r="P37" s="1">
        <f t="shared" si="6"/>
        <v>10.479732415606993</v>
      </c>
      <c r="Q37" s="1">
        <f t="shared" si="7"/>
        <v>10.915169818910744</v>
      </c>
      <c r="R37" s="1">
        <f t="shared" si="8"/>
        <v>125.12909999999999</v>
      </c>
      <c r="S37" s="1" t="e">
        <f t="shared" si="9"/>
        <v>#N/A</v>
      </c>
      <c r="T37" s="1" t="e">
        <v>#N/A</v>
      </c>
    </row>
    <row r="38" spans="1:20" x14ac:dyDescent="0.35">
      <c r="A38" s="1">
        <v>500367.3469</v>
      </c>
      <c r="B38" s="1">
        <v>5999999.8169999998</v>
      </c>
      <c r="C38" s="1">
        <v>128.83036429882799</v>
      </c>
      <c r="D38" s="1">
        <f t="shared" si="10"/>
        <v>367.98487004556307</v>
      </c>
      <c r="E38" s="1">
        <v>0.01</v>
      </c>
      <c r="F38" s="1">
        <v>0.05</v>
      </c>
      <c r="G38" s="1">
        <v>0.1</v>
      </c>
      <c r="H38" s="1">
        <v>9.81</v>
      </c>
      <c r="I38" s="1">
        <v>2650</v>
      </c>
      <c r="J38" s="1">
        <v>1000</v>
      </c>
      <c r="K38" s="1">
        <v>1.65</v>
      </c>
      <c r="L38" s="1">
        <v>6.5</v>
      </c>
      <c r="M38" s="1">
        <v>2.5</v>
      </c>
      <c r="N38" s="6">
        <v>9.9999999999999995E-7</v>
      </c>
      <c r="O38" s="1">
        <f t="shared" si="5"/>
        <v>10.224509856901079</v>
      </c>
      <c r="P38" s="1">
        <f t="shared" si="6"/>
        <v>10.91645406051112</v>
      </c>
      <c r="Q38" s="1">
        <f t="shared" si="7"/>
        <v>10.698093238059055</v>
      </c>
      <c r="R38" s="1">
        <f t="shared" si="8"/>
        <v>125.12909999999999</v>
      </c>
      <c r="S38" s="1" t="e">
        <f t="shared" si="9"/>
        <v>#N/A</v>
      </c>
      <c r="T38" s="1" t="e">
        <v>#N/A</v>
      </c>
    </row>
    <row r="39" spans="1:20" x14ac:dyDescent="0.35">
      <c r="A39" s="1">
        <v>500377.55099999998</v>
      </c>
      <c r="B39" s="1">
        <v>5999999.0449999999</v>
      </c>
      <c r="C39" s="1">
        <v>125.029137069896</v>
      </c>
      <c r="D39" s="1">
        <f t="shared" si="10"/>
        <v>378.21813153979235</v>
      </c>
      <c r="E39" s="1">
        <v>0.01</v>
      </c>
      <c r="F39" s="1">
        <v>0.05</v>
      </c>
      <c r="G39" s="1">
        <v>0.1</v>
      </c>
      <c r="H39" s="1">
        <v>9.81</v>
      </c>
      <c r="I39" s="1">
        <v>2650</v>
      </c>
      <c r="J39" s="1">
        <v>1000</v>
      </c>
      <c r="K39" s="1">
        <v>1.65</v>
      </c>
      <c r="L39" s="1">
        <v>6.5</v>
      </c>
      <c r="M39" s="1">
        <v>2.5</v>
      </c>
      <c r="N39" s="6">
        <v>9.9999999999999995E-7</v>
      </c>
      <c r="O39" s="1">
        <f t="shared" si="5"/>
        <v>10.221049857319429</v>
      </c>
      <c r="P39" s="1">
        <f t="shared" si="6"/>
        <v>10.237547645163266</v>
      </c>
      <c r="Q39" s="1">
        <f t="shared" si="7"/>
        <v>10.577000852837193</v>
      </c>
      <c r="R39" s="1">
        <f t="shared" si="8"/>
        <v>125.12909999999999</v>
      </c>
      <c r="S39" s="1">
        <f t="shared" si="9"/>
        <v>9.9962930103998815E-2</v>
      </c>
      <c r="T39" s="1">
        <v>9.9962930103998815E-2</v>
      </c>
    </row>
    <row r="40" spans="1:20" x14ac:dyDescent="0.35">
      <c r="A40" s="1">
        <v>500387.75510000001</v>
      </c>
      <c r="B40" s="1">
        <v>5999999.3559999997</v>
      </c>
      <c r="C40" s="1">
        <v>125.795298917349</v>
      </c>
      <c r="D40" s="1">
        <f t="shared" si="10"/>
        <v>388.42696976020193</v>
      </c>
      <c r="E40" s="1">
        <v>0.01</v>
      </c>
      <c r="F40" s="1">
        <v>0.05</v>
      </c>
      <c r="G40" s="1">
        <v>0.1</v>
      </c>
      <c r="H40" s="1">
        <v>9.81</v>
      </c>
      <c r="I40" s="1">
        <v>2650</v>
      </c>
      <c r="J40" s="1">
        <v>1000</v>
      </c>
      <c r="K40" s="1">
        <v>1.65</v>
      </c>
      <c r="L40" s="1">
        <v>6.5</v>
      </c>
      <c r="M40" s="1">
        <v>2.5</v>
      </c>
      <c r="N40" s="6">
        <v>9.9999999999999995E-7</v>
      </c>
      <c r="O40" s="1">
        <f t="shared" si="5"/>
        <v>10.226672955179509</v>
      </c>
      <c r="P40" s="1">
        <f t="shared" si="6"/>
        <v>14.006911426674414</v>
      </c>
      <c r="Q40" s="1">
        <f t="shared" si="7"/>
        <v>12.122229535918841</v>
      </c>
      <c r="R40" s="1">
        <f t="shared" si="8"/>
        <v>125.12909999999999</v>
      </c>
      <c r="S40" s="1" t="e">
        <f t="shared" si="9"/>
        <v>#N/A</v>
      </c>
      <c r="T40" s="1" t="e">
        <v>#N/A</v>
      </c>
    </row>
    <row r="41" spans="1:20" x14ac:dyDescent="0.35">
      <c r="A41" s="1">
        <v>500397.95919999998</v>
      </c>
      <c r="B41" s="1">
        <v>5999998.4469999997</v>
      </c>
      <c r="C41" s="1">
        <v>135.347452072804</v>
      </c>
      <c r="D41" s="1">
        <f t="shared" si="10"/>
        <v>398.67147745015137</v>
      </c>
      <c r="E41" s="1">
        <v>0.01</v>
      </c>
      <c r="F41" s="1">
        <v>0.05</v>
      </c>
      <c r="G41" s="1">
        <v>0.1</v>
      </c>
      <c r="H41" s="1">
        <v>9.81</v>
      </c>
      <c r="I41" s="1">
        <v>2650</v>
      </c>
      <c r="J41" s="1">
        <v>1000</v>
      </c>
      <c r="K41" s="1">
        <v>1.65</v>
      </c>
      <c r="L41" s="1">
        <v>6.5</v>
      </c>
      <c r="M41" s="1">
        <v>2.5</v>
      </c>
      <c r="N41" s="6">
        <v>9.9999999999999995E-7</v>
      </c>
      <c r="O41" s="1">
        <f t="shared" si="5"/>
        <v>10.22650836474881</v>
      </c>
      <c r="P41" s="1">
        <f t="shared" si="6"/>
        <v>12.538849639326756</v>
      </c>
      <c r="Q41" s="1">
        <f t="shared" si="7"/>
        <v>13.272880533000585</v>
      </c>
      <c r="R41" s="1">
        <f t="shared" si="8"/>
        <v>125.12909999999999</v>
      </c>
      <c r="S41" s="1" t="e">
        <f t="shared" si="9"/>
        <v>#N/A</v>
      </c>
      <c r="T41" s="1" t="e">
        <v>#N/A</v>
      </c>
    </row>
    <row r="42" spans="1:20" x14ac:dyDescent="0.35">
      <c r="A42" s="1">
        <v>500408.16330000001</v>
      </c>
      <c r="B42" s="1">
        <v>5999998.1469999999</v>
      </c>
      <c r="C42" s="1">
        <v>128.06671766842501</v>
      </c>
      <c r="D42" s="1">
        <f t="shared" si="10"/>
        <v>408.87998648969955</v>
      </c>
      <c r="E42" s="1">
        <v>0.01</v>
      </c>
      <c r="F42" s="1">
        <v>0.05</v>
      </c>
      <c r="G42" s="1">
        <v>0.1</v>
      </c>
      <c r="H42" s="1">
        <v>9.81</v>
      </c>
      <c r="I42" s="1">
        <v>2650</v>
      </c>
      <c r="J42" s="1">
        <v>1000</v>
      </c>
      <c r="K42" s="1">
        <v>1.65</v>
      </c>
      <c r="L42" s="1">
        <v>6.5</v>
      </c>
      <c r="M42" s="1">
        <v>2.5</v>
      </c>
      <c r="N42" s="6">
        <v>9.9999999999999995E-7</v>
      </c>
      <c r="O42" s="1">
        <f t="shared" si="5"/>
        <v>10.217670819070179</v>
      </c>
      <c r="P42" s="1">
        <f t="shared" si="6"/>
        <v>11.126667604014996</v>
      </c>
      <c r="Q42" s="1">
        <f t="shared" si="7"/>
        <v>11.832758621670877</v>
      </c>
      <c r="R42" s="1">
        <f t="shared" si="8"/>
        <v>125.12909999999999</v>
      </c>
      <c r="S42" s="1" t="e">
        <f t="shared" si="9"/>
        <v>#N/A</v>
      </c>
      <c r="T42" s="1" t="e">
        <v>#N/A</v>
      </c>
    </row>
    <row r="43" spans="1:20" x14ac:dyDescent="0.35">
      <c r="A43" s="1">
        <v>500418.36729999998</v>
      </c>
      <c r="B43" s="1">
        <v>5999997.4639999997</v>
      </c>
      <c r="C43" s="1">
        <v>132.450166877736</v>
      </c>
      <c r="D43" s="1">
        <f t="shared" si="10"/>
        <v>419.10681908829173</v>
      </c>
      <c r="E43" s="1">
        <v>0.01</v>
      </c>
      <c r="F43" s="1">
        <v>0.05</v>
      </c>
      <c r="G43" s="1">
        <v>0.1</v>
      </c>
      <c r="H43" s="1">
        <v>9.81</v>
      </c>
      <c r="I43" s="1">
        <v>2650</v>
      </c>
      <c r="J43" s="1">
        <v>1000</v>
      </c>
      <c r="K43" s="1">
        <v>1.65</v>
      </c>
      <c r="L43" s="1">
        <v>6.5</v>
      </c>
      <c r="M43" s="1">
        <v>2.5</v>
      </c>
      <c r="N43" s="6">
        <v>9.9999999999999995E-7</v>
      </c>
      <c r="O43" s="1">
        <f t="shared" si="5"/>
        <v>10.219153288461655</v>
      </c>
      <c r="P43" s="1">
        <f t="shared" si="6"/>
        <v>12.259823035582844</v>
      </c>
      <c r="Q43" s="1">
        <f t="shared" si="7"/>
        <v>11.693245319798919</v>
      </c>
      <c r="R43" s="1">
        <f t="shared" si="8"/>
        <v>125.12909999999999</v>
      </c>
      <c r="S43" s="1" t="e">
        <f t="shared" si="9"/>
        <v>#N/A</v>
      </c>
      <c r="T43" s="1" t="e">
        <v>#N/A</v>
      </c>
    </row>
    <row r="44" spans="1:20" x14ac:dyDescent="0.35">
      <c r="A44" s="1">
        <v>500428.57140000002</v>
      </c>
      <c r="B44" s="1">
        <v>5999997.0760000004</v>
      </c>
      <c r="C44" s="1">
        <v>139.234638858198</v>
      </c>
      <c r="D44" s="1">
        <f t="shared" si="10"/>
        <v>429.31829306662286</v>
      </c>
      <c r="E44" s="1">
        <v>0.01</v>
      </c>
      <c r="F44" s="1">
        <v>0.05</v>
      </c>
      <c r="G44" s="1">
        <v>0.1</v>
      </c>
      <c r="H44" s="1">
        <v>9.81</v>
      </c>
      <c r="I44" s="1">
        <v>2650</v>
      </c>
      <c r="J44" s="1">
        <v>1000</v>
      </c>
      <c r="K44" s="1">
        <v>1.65</v>
      </c>
      <c r="L44" s="1">
        <v>6.5</v>
      </c>
      <c r="M44" s="1">
        <v>2.5</v>
      </c>
      <c r="N44" s="6">
        <v>9.9999999999999995E-7</v>
      </c>
      <c r="O44" s="1">
        <f t="shared" si="5"/>
        <v>10.213570502749036</v>
      </c>
      <c r="P44" s="1">
        <f t="shared" si="6"/>
        <v>10.221862151517284</v>
      </c>
      <c r="Q44" s="1">
        <f t="shared" si="7"/>
        <v>11.240842593550063</v>
      </c>
      <c r="R44" s="1">
        <f t="shared" si="8"/>
        <v>125.12909999999999</v>
      </c>
      <c r="S44" s="1" t="e">
        <f t="shared" si="9"/>
        <v>#N/A</v>
      </c>
      <c r="T44" s="1" t="e">
        <v>#N/A</v>
      </c>
    </row>
    <row r="45" spans="1:20" x14ac:dyDescent="0.35">
      <c r="A45" s="1">
        <v>500438.77549999999</v>
      </c>
      <c r="B45" s="1">
        <v>5999996.5899999999</v>
      </c>
      <c r="C45" s="1">
        <v>139.590466112179</v>
      </c>
      <c r="D45" s="1">
        <f t="shared" si="10"/>
        <v>439.5339600937898</v>
      </c>
      <c r="E45" s="1">
        <v>0.01</v>
      </c>
      <c r="F45" s="1">
        <v>0.05</v>
      </c>
      <c r="G45" s="1">
        <v>0.1</v>
      </c>
      <c r="H45" s="1">
        <v>9.81</v>
      </c>
      <c r="I45" s="1">
        <v>2650</v>
      </c>
      <c r="J45" s="1">
        <v>1000</v>
      </c>
      <c r="K45" s="1">
        <v>1.65</v>
      </c>
      <c r="L45" s="1">
        <v>6.5</v>
      </c>
      <c r="M45" s="1">
        <v>2.5</v>
      </c>
      <c r="N45" s="6">
        <v>9.9999999999999995E-7</v>
      </c>
      <c r="O45" s="1">
        <f t="shared" si="5"/>
        <v>10.227678867958247</v>
      </c>
      <c r="P45" s="1">
        <f t="shared" si="6"/>
        <v>10.247073843648518</v>
      </c>
      <c r="Q45" s="1">
        <f t="shared" si="7"/>
        <v>10.2344679975829</v>
      </c>
      <c r="R45" s="1">
        <f t="shared" si="8"/>
        <v>125.12909999999999</v>
      </c>
      <c r="S45" s="1" t="e">
        <f t="shared" si="9"/>
        <v>#N/A</v>
      </c>
      <c r="T45" s="1" t="e">
        <v>#N/A</v>
      </c>
    </row>
    <row r="46" spans="1:20" x14ac:dyDescent="0.35">
      <c r="A46" s="1">
        <v>500448.97960000002</v>
      </c>
      <c r="B46" s="1">
        <v>5999995.7369999997</v>
      </c>
      <c r="C46" s="1">
        <v>139.20154896633201</v>
      </c>
      <c r="D46" s="1">
        <f t="shared" si="10"/>
        <v>449.77365080253935</v>
      </c>
      <c r="E46" s="1">
        <v>0.01</v>
      </c>
      <c r="F46" s="1">
        <v>0.05</v>
      </c>
      <c r="G46" s="1">
        <v>0.1</v>
      </c>
      <c r="H46" s="1">
        <v>9.81</v>
      </c>
      <c r="I46" s="1">
        <v>2650</v>
      </c>
      <c r="J46" s="1">
        <v>1000</v>
      </c>
      <c r="K46" s="1">
        <v>1.65</v>
      </c>
      <c r="L46" s="1">
        <v>6.5</v>
      </c>
      <c r="M46" s="1">
        <v>2.5</v>
      </c>
      <c r="N46" s="6">
        <v>9.9999999999999995E-7</v>
      </c>
      <c r="O46" s="1">
        <f t="shared" si="5"/>
        <v>10.226507982984828</v>
      </c>
      <c r="P46" s="1">
        <f t="shared" si="6"/>
        <v>10.216402783069102</v>
      </c>
      <c r="Q46" s="1">
        <f t="shared" si="7"/>
        <v>10.231738313358811</v>
      </c>
      <c r="R46" s="1">
        <f t="shared" si="8"/>
        <v>125.12909999999999</v>
      </c>
      <c r="S46" s="1" t="e">
        <f t="shared" si="9"/>
        <v>#N/A</v>
      </c>
      <c r="T46" s="1" t="e">
        <v>#N/A</v>
      </c>
    </row>
    <row r="47" spans="1:20" x14ac:dyDescent="0.35">
      <c r="A47" s="1">
        <v>500459.18369999999</v>
      </c>
      <c r="B47" s="1">
        <v>5999996.1710000001</v>
      </c>
      <c r="C47" s="1">
        <v>138.95080404388699</v>
      </c>
      <c r="D47" s="1">
        <f t="shared" si="10"/>
        <v>459.98697605975946</v>
      </c>
      <c r="E47" s="1">
        <v>0.01</v>
      </c>
      <c r="F47" s="1">
        <v>0.05</v>
      </c>
      <c r="G47" s="1">
        <v>0.1</v>
      </c>
      <c r="H47" s="1">
        <v>9.81</v>
      </c>
      <c r="I47" s="1">
        <v>2650</v>
      </c>
      <c r="J47" s="1">
        <v>1000</v>
      </c>
      <c r="K47" s="1">
        <v>1.65</v>
      </c>
      <c r="L47" s="1">
        <v>6.5</v>
      </c>
      <c r="M47" s="1">
        <v>2.5</v>
      </c>
      <c r="N47" s="6">
        <v>9.9999999999999995E-7</v>
      </c>
      <c r="O47" s="1">
        <f t="shared" si="5"/>
        <v>10.228563101333435</v>
      </c>
      <c r="P47" s="1">
        <f t="shared" si="6"/>
        <v>10.24381622597874</v>
      </c>
      <c r="Q47" s="1">
        <f t="shared" si="7"/>
        <v>10.23010950452392</v>
      </c>
      <c r="R47" s="1">
        <f t="shared" si="8"/>
        <v>125.12909999999999</v>
      </c>
      <c r="S47" s="1" t="e">
        <f t="shared" si="9"/>
        <v>#N/A</v>
      </c>
      <c r="T47" s="1" t="e">
        <v>#N/A</v>
      </c>
    </row>
    <row r="48" spans="1:20" x14ac:dyDescent="0.35">
      <c r="A48" s="1">
        <v>500469.38780000003</v>
      </c>
      <c r="B48" s="1">
        <v>5999997.0719999997</v>
      </c>
      <c r="C48" s="1">
        <v>138.933110494517</v>
      </c>
      <c r="D48" s="1">
        <f t="shared" si="10"/>
        <v>470.23077700520622</v>
      </c>
      <c r="E48" s="1">
        <v>0.01</v>
      </c>
      <c r="F48" s="1">
        <v>0.05</v>
      </c>
      <c r="G48" s="1">
        <v>0.1</v>
      </c>
      <c r="H48" s="1">
        <v>9.81</v>
      </c>
      <c r="I48" s="1">
        <v>2650</v>
      </c>
      <c r="J48" s="1">
        <v>1000</v>
      </c>
      <c r="K48" s="1">
        <v>1.65</v>
      </c>
      <c r="L48" s="1">
        <v>6.5</v>
      </c>
      <c r="M48" s="1">
        <v>2.5</v>
      </c>
      <c r="N48" s="6">
        <v>9.9999999999999995E-7</v>
      </c>
      <c r="O48" s="1">
        <f t="shared" si="5"/>
        <v>10.235585469869676</v>
      </c>
      <c r="P48" s="1">
        <f t="shared" si="6"/>
        <v>14.038699271405504</v>
      </c>
      <c r="Q48" s="1">
        <f t="shared" si="7"/>
        <v>12.141257748692123</v>
      </c>
      <c r="R48" s="1">
        <f t="shared" si="8"/>
        <v>125.12909999999999</v>
      </c>
      <c r="S48" s="1" t="e">
        <f t="shared" si="9"/>
        <v>#N/A</v>
      </c>
      <c r="T48" s="1" t="e">
        <v>#N/A</v>
      </c>
    </row>
    <row r="49" spans="1:57" x14ac:dyDescent="0.35">
      <c r="A49" s="1">
        <v>500479.59179999999</v>
      </c>
      <c r="B49" s="1">
        <v>5999997.7630000003</v>
      </c>
      <c r="C49" s="1">
        <v>148.55007364474301</v>
      </c>
      <c r="D49" s="1">
        <f t="shared" si="10"/>
        <v>480.45814699949881</v>
      </c>
      <c r="E49" s="1">
        <v>0.01</v>
      </c>
      <c r="F49" s="1">
        <v>0.05</v>
      </c>
      <c r="G49" s="1">
        <v>0.1</v>
      </c>
      <c r="H49" s="1">
        <v>9.81</v>
      </c>
      <c r="I49" s="1">
        <v>2650</v>
      </c>
      <c r="J49" s="1">
        <v>1000</v>
      </c>
      <c r="K49" s="1">
        <v>1.65</v>
      </c>
      <c r="L49" s="1">
        <v>6.5</v>
      </c>
      <c r="M49" s="1">
        <v>2.5</v>
      </c>
      <c r="N49" s="6">
        <v>9.9999999999999995E-7</v>
      </c>
      <c r="O49" s="1">
        <f t="shared" si="5"/>
        <v>10.217030880251457</v>
      </c>
      <c r="P49" s="1">
        <f t="shared" si="6"/>
        <v>10.496604105828091</v>
      </c>
      <c r="Q49" s="1">
        <f t="shared" si="7"/>
        <v>12.267651688616798</v>
      </c>
      <c r="R49" s="1">
        <f t="shared" si="8"/>
        <v>125.12909999999999</v>
      </c>
      <c r="S49" s="1" t="e">
        <f t="shared" si="9"/>
        <v>#N/A</v>
      </c>
      <c r="T49" s="1" t="e">
        <v>#N/A</v>
      </c>
    </row>
    <row r="50" spans="1:57" x14ac:dyDescent="0.35">
      <c r="A50" s="1">
        <v>500489.79590000003</v>
      </c>
      <c r="B50" s="1">
        <v>5999997.9929999998</v>
      </c>
      <c r="C50" s="1">
        <v>146.10014692256101</v>
      </c>
      <c r="D50" s="1">
        <f t="shared" si="10"/>
        <v>490.66483876570913</v>
      </c>
      <c r="E50" s="1">
        <v>0.01</v>
      </c>
      <c r="F50" s="1">
        <v>0.05</v>
      </c>
      <c r="G50" s="1">
        <v>0.1</v>
      </c>
      <c r="H50" s="1">
        <v>9.81</v>
      </c>
      <c r="I50" s="1">
        <v>2650</v>
      </c>
      <c r="J50" s="1">
        <v>1000</v>
      </c>
      <c r="K50" s="1">
        <v>1.65</v>
      </c>
      <c r="L50" s="1">
        <v>6.5</v>
      </c>
      <c r="M50" s="1">
        <v>2.5</v>
      </c>
      <c r="N50" s="6">
        <v>9.9999999999999995E-7</v>
      </c>
      <c r="O50" s="1">
        <f t="shared" si="5"/>
        <v>10.209902888805345</v>
      </c>
      <c r="P50" s="1">
        <f t="shared" si="6"/>
        <v>10.652346301971106</v>
      </c>
      <c r="Q50" s="1">
        <f t="shared" si="7"/>
        <v>10.574475203899599</v>
      </c>
      <c r="R50" s="1">
        <f t="shared" si="8"/>
        <v>125.12909999999999</v>
      </c>
      <c r="S50" s="1" t="e">
        <f t="shared" si="9"/>
        <v>#N/A</v>
      </c>
      <c r="T50" s="1" t="e">
        <v>#N/A</v>
      </c>
    </row>
    <row r="51" spans="1:57" x14ac:dyDescent="0.35">
      <c r="A51" s="1">
        <v>500500</v>
      </c>
      <c r="B51" s="1">
        <v>5999998.4220000003</v>
      </c>
      <c r="C51" s="1">
        <v>149.127486336511</v>
      </c>
      <c r="D51" s="1">
        <f t="shared" si="10"/>
        <v>500.8779527771095</v>
      </c>
      <c r="E51" s="1">
        <v>0.01</v>
      </c>
      <c r="F51" s="1">
        <v>0.05</v>
      </c>
      <c r="G51" s="1">
        <v>0.1</v>
      </c>
      <c r="H51" s="1">
        <v>9.81</v>
      </c>
      <c r="I51" s="1">
        <v>2650</v>
      </c>
      <c r="J51" s="1">
        <v>1000</v>
      </c>
      <c r="K51" s="1">
        <v>1.65</v>
      </c>
      <c r="L51" s="1">
        <v>6.5</v>
      </c>
      <c r="M51" s="1">
        <v>2.5</v>
      </c>
      <c r="N51" s="6">
        <v>9.9999999999999995E-7</v>
      </c>
      <c r="O51" s="1">
        <f xml:space="preserve"> (D51 - D50) / 2</f>
        <v>5.1065570057001821</v>
      </c>
    </row>
    <row r="53" spans="1:57" ht="19" customHeight="1" x14ac:dyDescent="0.35"/>
    <row r="54" spans="1:57" x14ac:dyDescent="0.35">
      <c r="A54" s="1" t="s">
        <v>0</v>
      </c>
      <c r="B54" s="1" t="s">
        <v>1</v>
      </c>
      <c r="C54" s="1" t="s">
        <v>2</v>
      </c>
      <c r="D54" s="1" t="s">
        <v>18</v>
      </c>
      <c r="E54" s="1" t="s">
        <v>67</v>
      </c>
      <c r="F54" s="1" t="s">
        <v>66</v>
      </c>
      <c r="G54" s="1" t="s">
        <v>65</v>
      </c>
      <c r="H54" s="1" t="s">
        <v>64</v>
      </c>
      <c r="I54" s="1" t="s">
        <v>63</v>
      </c>
      <c r="J54" s="1" t="s">
        <v>62</v>
      </c>
      <c r="K54" s="1" t="s">
        <v>61</v>
      </c>
      <c r="L54" s="1" t="s">
        <v>60</v>
      </c>
      <c r="M54" s="1" t="s">
        <v>59</v>
      </c>
      <c r="N54" s="1" t="s">
        <v>58</v>
      </c>
      <c r="O54" s="1" t="s">
        <v>57</v>
      </c>
      <c r="P54" s="1" t="s">
        <v>56</v>
      </c>
      <c r="Q54" s="1" t="s">
        <v>55</v>
      </c>
      <c r="R54" s="1" t="s">
        <v>54</v>
      </c>
      <c r="S54" s="1" t="s">
        <v>16</v>
      </c>
      <c r="T54" s="1" t="s">
        <v>53</v>
      </c>
      <c r="U54" s="10" t="s">
        <v>52</v>
      </c>
      <c r="V54" s="10" t="s">
        <v>51</v>
      </c>
      <c r="W54" s="10" t="s">
        <v>50</v>
      </c>
      <c r="X54" s="10" t="s">
        <v>49</v>
      </c>
      <c r="Y54" s="1" t="s">
        <v>48</v>
      </c>
      <c r="Z54" s="1" t="s">
        <v>47</v>
      </c>
      <c r="AA54" s="1" t="s">
        <v>46</v>
      </c>
      <c r="AB54" s="1" t="s">
        <v>45</v>
      </c>
      <c r="AC54" s="1" t="s">
        <v>44</v>
      </c>
      <c r="AD54" s="1" t="s">
        <v>43</v>
      </c>
      <c r="AE54" s="1" t="s">
        <v>42</v>
      </c>
      <c r="AF54" s="1" t="s">
        <v>41</v>
      </c>
      <c r="AG54" s="1" t="s">
        <v>40</v>
      </c>
      <c r="AH54" s="1" t="s">
        <v>39</v>
      </c>
      <c r="AI54" s="1" t="s">
        <v>38</v>
      </c>
      <c r="AJ54" s="1" t="s">
        <v>37</v>
      </c>
      <c r="AK54" s="1" t="s">
        <v>36</v>
      </c>
      <c r="AL54" s="1" t="s">
        <v>35</v>
      </c>
      <c r="AM54" s="1" t="s">
        <v>34</v>
      </c>
      <c r="AN54" s="1" t="s">
        <v>34</v>
      </c>
      <c r="AO54" s="7" t="s">
        <v>33</v>
      </c>
      <c r="AP54" s="7" t="s">
        <v>32</v>
      </c>
      <c r="AQ54" s="7" t="s">
        <v>31</v>
      </c>
      <c r="AR54" s="7" t="s">
        <v>30</v>
      </c>
      <c r="AS54" s="7" t="s">
        <v>29</v>
      </c>
      <c r="AT54" s="7" t="s">
        <v>28</v>
      </c>
      <c r="AU54" s="7" t="s">
        <v>27</v>
      </c>
      <c r="AV54" s="7" t="s">
        <v>27</v>
      </c>
      <c r="AW54" s="1" t="s">
        <v>26</v>
      </c>
      <c r="AX54" s="1" t="s">
        <v>25</v>
      </c>
      <c r="AY54" s="1" t="s">
        <v>24</v>
      </c>
      <c r="AZ54" s="1" t="s">
        <v>23</v>
      </c>
      <c r="BA54" s="1" t="s">
        <v>22</v>
      </c>
      <c r="BB54" s="1" t="s">
        <v>21</v>
      </c>
      <c r="BC54" s="1" t="s">
        <v>20</v>
      </c>
      <c r="BD54" s="1" t="s">
        <v>20</v>
      </c>
      <c r="BE54" s="1" t="s">
        <v>19</v>
      </c>
    </row>
    <row r="55" spans="1:57" x14ac:dyDescent="0.35">
      <c r="A55" s="1">
        <v>500000</v>
      </c>
      <c r="B55" s="1">
        <v>5999999.0959999999</v>
      </c>
      <c r="C55" s="1">
        <v>146.95665459614199</v>
      </c>
      <c r="D55" s="1">
        <v>0</v>
      </c>
      <c r="E55" s="1">
        <v>0.01</v>
      </c>
      <c r="F55" s="1">
        <v>0.05</v>
      </c>
      <c r="G55" s="1">
        <v>0.1</v>
      </c>
      <c r="H55" s="1">
        <v>9.81</v>
      </c>
      <c r="I55" s="1">
        <v>2650</v>
      </c>
      <c r="J55" s="1">
        <v>1000</v>
      </c>
      <c r="K55" s="1">
        <v>1.65</v>
      </c>
      <c r="L55" s="1">
        <v>6.5</v>
      </c>
      <c r="M55" s="1">
        <v>2.5</v>
      </c>
      <c r="N55" s="6">
        <v>9.9999999999999995E-7</v>
      </c>
      <c r="O55" s="1">
        <f xml:space="preserve"> (D56 - D55) / 2</f>
        <v>5.1061868798967165</v>
      </c>
      <c r="P55" s="1">
        <f t="shared" ref="P55:P86" si="11">SQRT((D56 - D55)^2 + (C56 - C55)^2)</f>
        <v>12.612081347143071</v>
      </c>
      <c r="Q55" s="1">
        <f t="shared" ref="Q55:Q86" si="12">IF(ROW()=55, P55/2, (P55 + P54)/2)</f>
        <v>6.3060406735715357</v>
      </c>
      <c r="R55" s="1">
        <v>125.17909999999999</v>
      </c>
      <c r="S55" s="1" t="e">
        <f t="shared" ref="S55:S86" si="13">IF(R55 - C55 &lt; 0, NA(), R55 - C55)</f>
        <v>#N/A</v>
      </c>
      <c r="T55" s="1" t="e">
        <v>#N/A</v>
      </c>
      <c r="U55" s="10" cm="1">
        <f t="array" ref="U55">SUMPRODUCT(IF(ISNA(T55:T104), 0, T55:T104), IF(ISNA(O55:O104), 0, O55:O104))</f>
        <v>1.5327785853426514</v>
      </c>
      <c r="V55" s="10">
        <f>SUMIF(S55:S104, "&gt;0", O55:O104)</f>
        <v>10.221049857319429</v>
      </c>
      <c r="W55" s="10">
        <f>SUMIF(S55:S104, "&gt;0", Q55:Q104)</f>
        <v>10.577000852837193</v>
      </c>
      <c r="X55" s="10">
        <f>U55/W55</f>
        <v>0.14491618244802318</v>
      </c>
      <c r="Y55" s="1">
        <f xml:space="preserve"> (6.5 * 2.5 * (X55 / G55)) / SQRT(6.5^2 + 2.5^2 * (X55 / G55)^(5/3))</f>
        <v>3.2090963986897343</v>
      </c>
      <c r="Z55" s="1">
        <f>Y55*SQRT(X55*H55*E55)</f>
        <v>0.38262708508239041</v>
      </c>
      <c r="AA55" s="1">
        <f>J55*H55*X55*E55</f>
        <v>14.216277498151074</v>
      </c>
      <c r="AB55" s="1">
        <f>(AA55 / (9.81 * 1000 *1.65 * F55))</f>
        <v>1.7565597872487657E-2</v>
      </c>
      <c r="AC55" s="9">
        <f xml:space="preserve"> F55 * (K55 * H55 / (N55)^2)^(1/3)</f>
        <v>1264.7974700106745</v>
      </c>
      <c r="AD55" s="1">
        <f xml:space="preserve"> 0.3 / (1 + 1.2 * AC55) + 0.055 * (1 - EXP(-0.02 * AC55))</f>
        <v>5.5197529957883754E-2</v>
      </c>
      <c r="AE55" s="1">
        <f>IF(AC55 &lt;= 4, 0.24 * AC55^-1, IF(AC55 &gt; 4, IF(AC55 &lt;= 10, 0.14 * AC55^-0.64, IF(AC55 &lt;= 20, 0.04 * AC55^-0.1, IF(AC55 &lt;= 150, 0.013 * AC55^0.29, 0.056)))))</f>
        <v>5.6000000000000001E-2</v>
      </c>
      <c r="AF55" s="1">
        <f>AB55/AD55-1</f>
        <v>-0.68176840728397847</v>
      </c>
      <c r="AG55" s="1">
        <f xml:space="preserve"> 2.45 * SQRT(AD55) / (K55 + 1)^0.4</f>
        <v>0.38978718496890047</v>
      </c>
      <c r="AH55" s="1">
        <f>SQRT(2/3 + 36 / AC55^3) - SQRT(36 / AC55^3)</f>
        <v>0.81636320289979147</v>
      </c>
      <c r="AI55" s="1">
        <f>AA55* Z55 / (J55 * (H55* K55 * F55)^(3/2))</f>
        <v>7.4709730116353816E-3</v>
      </c>
      <c r="AJ55" s="1">
        <f>AD55* K55 * F55 / E55</f>
        <v>0.45537962215254096</v>
      </c>
      <c r="AK55" s="1">
        <f>Y55 * AD55^(3/2)</f>
        <v>4.1616181500049858E-2</v>
      </c>
      <c r="AL55" s="1">
        <f>(0.92 - 0.25 * SQRT(AK55 / AI55))^9</f>
        <v>4.6359014159050994E-5</v>
      </c>
      <c r="AM55" s="1">
        <v>5.2759527000000001E-2</v>
      </c>
      <c r="AN55" s="1">
        <v>4.7434165E-2</v>
      </c>
      <c r="AO55" s="7">
        <f>IF(AB55 &gt; 0.047, 8 * (AB55 - 0.047)^(3/2), 0)</f>
        <v>0</v>
      </c>
      <c r="AP55" s="7">
        <f>IF(AB55&gt; 0.047, 4 * (AB55 - 0.047)^(3/2), 0)</f>
        <v>0</v>
      </c>
      <c r="AQ55" s="7" t="e">
        <f xml:space="preserve"> (0.053 / AC55^(0.3)) * ((AB55 / AE55) - 1)^2.1</f>
        <v>#NUM!</v>
      </c>
      <c r="AR55" s="7">
        <f xml:space="preserve"> IF(AB55 &gt; AD55, 0.635 * AF55 * SQRT(AB55) * (1 - (1 / (AG55*AF55)) * LOG(1 + AF55*AG55)), 0)</f>
        <v>0</v>
      </c>
      <c r="AS55" s="8">
        <f>IF(AB55&gt;= 0.19, 40 * AH55 * AB55^3, (AH55 * EXP(-0.391 / AB55)) / 0.465)</f>
        <v>3.778223986328354E-10</v>
      </c>
      <c r="AT55" s="7">
        <f>AL55* AI55</f>
        <v>3.4634694362829251E-7</v>
      </c>
      <c r="AU55" s="7">
        <f>14 * AB55^2.5 / (1 + (AM55/AB55)^4)</f>
        <v>6.9491207848165051E-6</v>
      </c>
      <c r="AV55" s="7">
        <f>14*AB55^2.5/(1+(AN55/AB55)^4)</f>
        <v>1.0567707089305126E-5</v>
      </c>
      <c r="AW55" s="1">
        <f>AO55*SQRT(1.65*9.81*F55^3)</f>
        <v>0</v>
      </c>
      <c r="AX55" s="1">
        <f>AP55*SQRT(1.65*9.81*F55^3)</f>
        <v>0</v>
      </c>
      <c r="AY55" s="1" t="e">
        <f>AQ55*SQRT(1.65*9.81*F55^3)</f>
        <v>#NUM!</v>
      </c>
      <c r="AZ55" s="1">
        <f>AR55*SQRT(1.65*9.81*F55^3)</f>
        <v>0</v>
      </c>
      <c r="BA55" s="1">
        <f>AS55*SQRT(1.65*9.81*F55^3)</f>
        <v>1.6994922292019218E-11</v>
      </c>
      <c r="BB55" s="1">
        <f>AT55*SQRT(1.65*9.81*F55^3)</f>
        <v>1.5579117104598376E-8</v>
      </c>
      <c r="BC55" s="1">
        <f>AU55*SQRT(1.65*9.81*G55^3)</f>
        <v>8.8411006784912673E-7</v>
      </c>
      <c r="BD55" s="1">
        <f>AV55*SQRT(1.65*9.81*G55^3)</f>
        <v>1.3444889678920668E-6</v>
      </c>
      <c r="BE55" s="1">
        <f>U55*Z55</f>
        <v>0.58648260218636872</v>
      </c>
    </row>
    <row r="56" spans="1:57" x14ac:dyDescent="0.35">
      <c r="A56" s="1">
        <v>500010.20409999997</v>
      </c>
      <c r="B56" s="1">
        <v>5999998.6849999996</v>
      </c>
      <c r="C56" s="1">
        <v>154.35746658519</v>
      </c>
      <c r="D56" s="1">
        <f t="shared" ref="D56:D87" si="14">D55 + SQRT((A56 - A55)^2 + (B56 - B55)^2)</f>
        <v>10.212373759793433</v>
      </c>
      <c r="E56" s="1">
        <v>0.01</v>
      </c>
      <c r="F56" s="1">
        <v>0.05</v>
      </c>
      <c r="G56" s="1">
        <v>0.1</v>
      </c>
      <c r="H56" s="1">
        <v>9.81</v>
      </c>
      <c r="I56" s="1">
        <v>2650</v>
      </c>
      <c r="J56" s="1">
        <v>1000</v>
      </c>
      <c r="K56" s="1">
        <v>1.65</v>
      </c>
      <c r="L56" s="1">
        <v>6.5</v>
      </c>
      <c r="M56" s="1">
        <v>2.5</v>
      </c>
      <c r="N56" s="6">
        <v>9.9999999999999995E-7</v>
      </c>
      <c r="O56" s="1">
        <f t="shared" ref="O56:O103" si="15" xml:space="preserve"> (D57 - D56 + D56 - D55) / 2</f>
        <v>10.212934886473896</v>
      </c>
      <c r="P56" s="1">
        <f t="shared" si="11"/>
        <v>10.748393624242958</v>
      </c>
      <c r="Q56" s="1">
        <f t="shared" si="12"/>
        <v>11.680237485693015</v>
      </c>
      <c r="R56" s="1">
        <v>125.17909999999999</v>
      </c>
      <c r="S56" s="1" t="e">
        <f t="shared" si="13"/>
        <v>#N/A</v>
      </c>
      <c r="T56" s="1" t="e">
        <v>#N/A</v>
      </c>
      <c r="AO56" s="7"/>
      <c r="AP56" s="7"/>
      <c r="AQ56" s="7"/>
      <c r="AR56" s="7"/>
      <c r="AS56" s="7"/>
      <c r="AT56" s="7"/>
      <c r="AU56" s="7"/>
      <c r="AV56" s="7"/>
    </row>
    <row r="57" spans="1:57" x14ac:dyDescent="0.35">
      <c r="A57" s="1">
        <v>500020.40820000001</v>
      </c>
      <c r="B57" s="1">
        <v>5999999.1229999997</v>
      </c>
      <c r="C57" s="1">
        <v>151.008964727501</v>
      </c>
      <c r="D57" s="1">
        <f t="shared" si="14"/>
        <v>20.425869772947792</v>
      </c>
      <c r="E57" s="1">
        <v>0.01</v>
      </c>
      <c r="F57" s="1">
        <v>0.05</v>
      </c>
      <c r="G57" s="1">
        <v>0.1</v>
      </c>
      <c r="H57" s="1">
        <v>9.81</v>
      </c>
      <c r="I57" s="1">
        <v>2650</v>
      </c>
      <c r="J57" s="1">
        <v>1000</v>
      </c>
      <c r="K57" s="1">
        <v>1.65</v>
      </c>
      <c r="L57" s="1">
        <v>6.5</v>
      </c>
      <c r="M57" s="1">
        <v>2.5</v>
      </c>
      <c r="N57" s="6">
        <v>9.9999999999999995E-7</v>
      </c>
      <c r="O57" s="1">
        <f t="shared" si="15"/>
        <v>10.21125621009096</v>
      </c>
      <c r="P57" s="1">
        <f t="shared" si="11"/>
        <v>13.985433799960637</v>
      </c>
      <c r="Q57" s="1">
        <f t="shared" si="12"/>
        <v>12.366913712101798</v>
      </c>
      <c r="R57" s="1">
        <v>125.17909999999999</v>
      </c>
      <c r="S57" s="1" t="e">
        <f t="shared" si="13"/>
        <v>#N/A</v>
      </c>
      <c r="T57" s="1" t="e">
        <v>#N/A</v>
      </c>
    </row>
    <row r="58" spans="1:57" x14ac:dyDescent="0.35">
      <c r="A58" s="1">
        <v>500030.61219999997</v>
      </c>
      <c r="B58" s="1">
        <v>5999998.8030000003</v>
      </c>
      <c r="C58" s="1">
        <v>160.567643641144</v>
      </c>
      <c r="D58" s="1">
        <f t="shared" si="14"/>
        <v>30.634886179975354</v>
      </c>
      <c r="E58" s="1">
        <v>0.01</v>
      </c>
      <c r="F58" s="1">
        <v>0.05</v>
      </c>
      <c r="G58" s="1">
        <v>0.1</v>
      </c>
      <c r="H58" s="1">
        <v>9.81</v>
      </c>
      <c r="I58" s="1">
        <v>2650</v>
      </c>
      <c r="J58" s="1">
        <v>1000</v>
      </c>
      <c r="K58" s="1">
        <v>1.65</v>
      </c>
      <c r="L58" s="1">
        <v>6.5</v>
      </c>
      <c r="M58" s="1">
        <v>2.5</v>
      </c>
      <c r="N58" s="6">
        <v>9.9999999999999995E-7</v>
      </c>
      <c r="O58" s="1">
        <f t="shared" si="15"/>
        <v>10.214935822867286</v>
      </c>
      <c r="P58" s="1">
        <f t="shared" si="11"/>
        <v>10.224042445454263</v>
      </c>
      <c r="Q58" s="1">
        <f t="shared" si="12"/>
        <v>12.104738122707449</v>
      </c>
      <c r="R58" s="1">
        <v>125.17909999999999</v>
      </c>
      <c r="S58" s="1" t="e">
        <f t="shared" si="13"/>
        <v>#N/A</v>
      </c>
      <c r="T58" s="1" t="e">
        <v>#N/A</v>
      </c>
    </row>
    <row r="59" spans="1:57" x14ac:dyDescent="0.35">
      <c r="A59" s="1">
        <v>500040.81630000001</v>
      </c>
      <c r="B59" s="1">
        <v>5999998.2180000003</v>
      </c>
      <c r="C59" s="1">
        <v>160.82291235416201</v>
      </c>
      <c r="D59" s="1">
        <f t="shared" si="14"/>
        <v>40.855741418682364</v>
      </c>
      <c r="E59" s="1">
        <v>0.01</v>
      </c>
      <c r="F59" s="1">
        <v>0.05</v>
      </c>
      <c r="G59" s="1">
        <v>0.1</v>
      </c>
      <c r="H59" s="1">
        <v>9.81</v>
      </c>
      <c r="I59" s="1">
        <v>2650</v>
      </c>
      <c r="J59" s="1">
        <v>1000</v>
      </c>
      <c r="K59" s="1">
        <v>1.65</v>
      </c>
      <c r="L59" s="1">
        <v>6.5</v>
      </c>
      <c r="M59" s="1">
        <v>2.5</v>
      </c>
      <c r="N59" s="6">
        <v>9.9999999999999995E-7</v>
      </c>
      <c r="O59" s="1">
        <f t="shared" si="15"/>
        <v>10.231243785008825</v>
      </c>
      <c r="P59" s="1">
        <f t="shared" si="11"/>
        <v>10.333484931908488</v>
      </c>
      <c r="Q59" s="1">
        <f t="shared" si="12"/>
        <v>10.278763688681376</v>
      </c>
      <c r="R59" s="1">
        <v>125.17909999999999</v>
      </c>
      <c r="S59" s="1" t="e">
        <f t="shared" si="13"/>
        <v>#N/A</v>
      </c>
      <c r="T59" s="1" t="e">
        <v>#N/A</v>
      </c>
    </row>
    <row r="60" spans="1:57" x14ac:dyDescent="0.35">
      <c r="A60" s="1">
        <v>500051.02039999998</v>
      </c>
      <c r="B60" s="1">
        <v>5999997.3420000002</v>
      </c>
      <c r="C60" s="1">
        <v>159.448184007094</v>
      </c>
      <c r="D60" s="1">
        <f t="shared" si="14"/>
        <v>51.097373749993004</v>
      </c>
      <c r="E60" s="1">
        <v>0.01</v>
      </c>
      <c r="F60" s="1">
        <v>0.05</v>
      </c>
      <c r="G60" s="1">
        <v>0.1</v>
      </c>
      <c r="H60" s="1">
        <v>9.81</v>
      </c>
      <c r="I60" s="1">
        <v>2650</v>
      </c>
      <c r="J60" s="1">
        <v>1000</v>
      </c>
      <c r="K60" s="1">
        <v>1.65</v>
      </c>
      <c r="L60" s="1">
        <v>6.5</v>
      </c>
      <c r="M60" s="1">
        <v>2.5</v>
      </c>
      <c r="N60" s="6">
        <v>9.9999999999999995E-7</v>
      </c>
      <c r="O60" s="1">
        <f t="shared" si="15"/>
        <v>10.22297614478725</v>
      </c>
      <c r="P60" s="1">
        <f t="shared" si="11"/>
        <v>11.164078602095582</v>
      </c>
      <c r="Q60" s="1">
        <f t="shared" si="12"/>
        <v>10.748781767002036</v>
      </c>
      <c r="R60" s="1">
        <v>125.17909999999999</v>
      </c>
      <c r="S60" s="1" t="e">
        <f t="shared" si="13"/>
        <v>#N/A</v>
      </c>
      <c r="T60" s="1" t="e">
        <v>#N/A</v>
      </c>
    </row>
    <row r="61" spans="1:57" x14ac:dyDescent="0.35">
      <c r="A61" s="1">
        <v>500061.22450000001</v>
      </c>
      <c r="B61" s="1">
        <v>5999997.2750000004</v>
      </c>
      <c r="C61" s="1">
        <v>163.976815723534</v>
      </c>
      <c r="D61" s="1">
        <f t="shared" si="14"/>
        <v>61.301693708256863</v>
      </c>
      <c r="E61" s="1">
        <v>0.01</v>
      </c>
      <c r="F61" s="1">
        <v>0.05</v>
      </c>
      <c r="G61" s="1">
        <v>0.1</v>
      </c>
      <c r="H61" s="1">
        <v>9.81</v>
      </c>
      <c r="I61" s="1">
        <v>2650</v>
      </c>
      <c r="J61" s="1">
        <v>1000</v>
      </c>
      <c r="K61" s="1">
        <v>1.65</v>
      </c>
      <c r="L61" s="1">
        <v>6.5</v>
      </c>
      <c r="M61" s="1">
        <v>2.5</v>
      </c>
      <c r="N61" s="6">
        <v>9.9999999999999995E-7</v>
      </c>
      <c r="O61" s="1">
        <f t="shared" si="15"/>
        <v>10.209391538632293</v>
      </c>
      <c r="P61" s="1">
        <f t="shared" si="11"/>
        <v>11.034750060361873</v>
      </c>
      <c r="Q61" s="1">
        <f t="shared" si="12"/>
        <v>11.099414331228727</v>
      </c>
      <c r="R61" s="1">
        <v>125.17909999999999</v>
      </c>
      <c r="S61" s="1" t="e">
        <f t="shared" si="13"/>
        <v>#N/A</v>
      </c>
      <c r="T61" s="1" t="e">
        <v>#N/A</v>
      </c>
    </row>
    <row r="62" spans="1:57" x14ac:dyDescent="0.35">
      <c r="A62" s="1">
        <v>500071.42859999998</v>
      </c>
      <c r="B62" s="1">
        <v>5999996.8150000004</v>
      </c>
      <c r="C62" s="1">
        <v>168.15179501512699</v>
      </c>
      <c r="D62" s="1">
        <f t="shared" si="14"/>
        <v>71.516156827257589</v>
      </c>
      <c r="E62" s="1">
        <v>0.01</v>
      </c>
      <c r="F62" s="1">
        <v>0.05</v>
      </c>
      <c r="G62" s="1">
        <v>0.1</v>
      </c>
      <c r="H62" s="1">
        <v>9.81</v>
      </c>
      <c r="I62" s="1">
        <v>2650</v>
      </c>
      <c r="J62" s="1">
        <v>1000</v>
      </c>
      <c r="K62" s="1">
        <v>1.65</v>
      </c>
      <c r="L62" s="1">
        <v>6.5</v>
      </c>
      <c r="M62" s="1">
        <v>2.5</v>
      </c>
      <c r="N62" s="6">
        <v>9.9999999999999995E-7</v>
      </c>
      <c r="O62" s="1">
        <f t="shared" si="15"/>
        <v>10.229976351370027</v>
      </c>
      <c r="P62" s="1">
        <f t="shared" si="11"/>
        <v>11.687505241745082</v>
      </c>
      <c r="Q62" s="1">
        <f t="shared" si="12"/>
        <v>11.361127651053478</v>
      </c>
      <c r="R62" s="1">
        <v>125.17909999999999</v>
      </c>
      <c r="S62" s="1" t="e">
        <f t="shared" si="13"/>
        <v>#N/A</v>
      </c>
      <c r="T62" s="1" t="e">
        <v>#N/A</v>
      </c>
    </row>
    <row r="63" spans="1:57" x14ac:dyDescent="0.35">
      <c r="A63" s="1">
        <v>500081.63270000002</v>
      </c>
      <c r="B63" s="1">
        <v>5999997.7350000003</v>
      </c>
      <c r="C63" s="1">
        <v>162.52794206849799</v>
      </c>
      <c r="D63" s="1">
        <f t="shared" si="14"/>
        <v>81.761646410996917</v>
      </c>
      <c r="E63" s="1">
        <v>0.01</v>
      </c>
      <c r="F63" s="1">
        <v>0.05</v>
      </c>
      <c r="G63" s="1">
        <v>0.1</v>
      </c>
      <c r="H63" s="1">
        <v>9.81</v>
      </c>
      <c r="I63" s="1">
        <v>2650</v>
      </c>
      <c r="J63" s="1">
        <v>1000</v>
      </c>
      <c r="K63" s="1">
        <v>1.65</v>
      </c>
      <c r="L63" s="1">
        <v>6.5</v>
      </c>
      <c r="M63" s="1">
        <v>2.5</v>
      </c>
      <c r="N63" s="6">
        <v>9.9999999999999995E-7</v>
      </c>
      <c r="O63" s="1">
        <f t="shared" si="15"/>
        <v>10.224765396477437</v>
      </c>
      <c r="P63" s="1">
        <f t="shared" si="11"/>
        <v>11.652977208096294</v>
      </c>
      <c r="Q63" s="1">
        <f t="shared" si="12"/>
        <v>11.670241224920687</v>
      </c>
      <c r="R63" s="1">
        <v>125.17909999999999</v>
      </c>
      <c r="S63" s="1" t="e">
        <f t="shared" si="13"/>
        <v>#N/A</v>
      </c>
      <c r="T63" s="1" t="e">
        <v>#N/A</v>
      </c>
    </row>
    <row r="64" spans="1:57" x14ac:dyDescent="0.35">
      <c r="A64" s="1">
        <v>500091.83669999999</v>
      </c>
      <c r="B64" s="1">
        <v>5999997.7640000004</v>
      </c>
      <c r="C64" s="1">
        <v>168.15550111421601</v>
      </c>
      <c r="D64" s="1">
        <f t="shared" si="14"/>
        <v>91.965687620212464</v>
      </c>
      <c r="E64" s="1">
        <v>0.01</v>
      </c>
      <c r="F64" s="1">
        <v>0.05</v>
      </c>
      <c r="G64" s="1">
        <v>0.1</v>
      </c>
      <c r="H64" s="1">
        <v>9.81</v>
      </c>
      <c r="I64" s="1">
        <v>2650</v>
      </c>
      <c r="J64" s="1">
        <v>1000</v>
      </c>
      <c r="K64" s="1">
        <v>1.65</v>
      </c>
      <c r="L64" s="1">
        <v>6.5</v>
      </c>
      <c r="M64" s="1">
        <v>2.5</v>
      </c>
      <c r="N64" s="6">
        <v>9.9999999999999995E-7</v>
      </c>
      <c r="O64" s="1">
        <f t="shared" si="15"/>
        <v>10.204607223431253</v>
      </c>
      <c r="P64" s="1">
        <f t="shared" si="11"/>
        <v>10.499401533865951</v>
      </c>
      <c r="Q64" s="1">
        <f t="shared" si="12"/>
        <v>11.076189370981123</v>
      </c>
      <c r="R64" s="1">
        <v>125.17909999999999</v>
      </c>
      <c r="S64" s="1" t="e">
        <f t="shared" si="13"/>
        <v>#N/A</v>
      </c>
      <c r="T64" s="1" t="e">
        <v>#N/A</v>
      </c>
    </row>
    <row r="65" spans="1:20" x14ac:dyDescent="0.35">
      <c r="A65" s="1">
        <v>500102.04080000002</v>
      </c>
      <c r="B65" s="1">
        <v>5999997.9119999995</v>
      </c>
      <c r="C65" s="1">
        <v>170.62367285843499</v>
      </c>
      <c r="D65" s="1">
        <f t="shared" si="14"/>
        <v>102.17086085785942</v>
      </c>
      <c r="E65" s="1">
        <v>0.01</v>
      </c>
      <c r="F65" s="1">
        <v>0.05</v>
      </c>
      <c r="G65" s="1">
        <v>0.1</v>
      </c>
      <c r="H65" s="1">
        <v>9.81</v>
      </c>
      <c r="I65" s="1">
        <v>2650</v>
      </c>
      <c r="J65" s="1">
        <v>1000</v>
      </c>
      <c r="K65" s="1">
        <v>1.65</v>
      </c>
      <c r="L65" s="1">
        <v>6.5</v>
      </c>
      <c r="M65" s="1">
        <v>2.5</v>
      </c>
      <c r="N65" s="6">
        <v>9.9999999999999995E-7</v>
      </c>
      <c r="O65" s="1">
        <f t="shared" si="15"/>
        <v>10.21006882166494</v>
      </c>
      <c r="P65" s="1">
        <f t="shared" si="11"/>
        <v>10.948230205101877</v>
      </c>
      <c r="Q65" s="1">
        <f t="shared" si="12"/>
        <v>10.723815869483914</v>
      </c>
      <c r="R65" s="1">
        <v>125.17909999999999</v>
      </c>
      <c r="S65" s="1" t="e">
        <f t="shared" si="13"/>
        <v>#N/A</v>
      </c>
      <c r="T65" s="1" t="e">
        <v>#N/A</v>
      </c>
    </row>
    <row r="66" spans="1:20" x14ac:dyDescent="0.35">
      <c r="A66" s="1">
        <v>500112.24489999999</v>
      </c>
      <c r="B66" s="1">
        <v>5999997.4409999996</v>
      </c>
      <c r="C66" s="1">
        <v>174.56299346160199</v>
      </c>
      <c r="D66" s="1">
        <f t="shared" si="14"/>
        <v>112.38582526354234</v>
      </c>
      <c r="E66" s="1">
        <v>0.01</v>
      </c>
      <c r="F66" s="1">
        <v>0.05</v>
      </c>
      <c r="G66" s="1">
        <v>0.1</v>
      </c>
      <c r="H66" s="1">
        <v>9.81</v>
      </c>
      <c r="I66" s="1">
        <v>2650</v>
      </c>
      <c r="J66" s="1">
        <v>1000</v>
      </c>
      <c r="K66" s="1">
        <v>1.65</v>
      </c>
      <c r="L66" s="1">
        <v>6.5</v>
      </c>
      <c r="M66" s="1">
        <v>2.5</v>
      </c>
      <c r="N66" s="6">
        <v>9.9999999999999995E-7</v>
      </c>
      <c r="O66" s="1">
        <f t="shared" si="15"/>
        <v>10.211692861963954</v>
      </c>
      <c r="P66" s="1">
        <f t="shared" si="11"/>
        <v>13.530011313683339</v>
      </c>
      <c r="Q66" s="1">
        <f t="shared" si="12"/>
        <v>12.239120759392609</v>
      </c>
      <c r="R66" s="1">
        <v>125.17909999999999</v>
      </c>
      <c r="S66" s="1" t="e">
        <f t="shared" si="13"/>
        <v>#N/A</v>
      </c>
      <c r="T66" s="1" t="e">
        <v>#N/A</v>
      </c>
    </row>
    <row r="67" spans="1:20" x14ac:dyDescent="0.35">
      <c r="A67" s="1">
        <v>500122.44900000002</v>
      </c>
      <c r="B67" s="1">
        <v>5999997.7379999999</v>
      </c>
      <c r="C67" s="1">
        <v>165.68327835707299</v>
      </c>
      <c r="D67" s="1">
        <f t="shared" si="14"/>
        <v>122.59424658178733</v>
      </c>
      <c r="E67" s="1">
        <v>0.01</v>
      </c>
      <c r="F67" s="1">
        <v>0.05</v>
      </c>
      <c r="G67" s="1">
        <v>0.1</v>
      </c>
      <c r="H67" s="1">
        <v>9.81</v>
      </c>
      <c r="I67" s="1">
        <v>2650</v>
      </c>
      <c r="J67" s="1">
        <v>1000</v>
      </c>
      <c r="K67" s="1">
        <v>1.65</v>
      </c>
      <c r="L67" s="1">
        <v>6.5</v>
      </c>
      <c r="M67" s="1">
        <v>2.5</v>
      </c>
      <c r="N67" s="6">
        <v>9.9999999999999995E-7</v>
      </c>
      <c r="O67" s="1">
        <f t="shared" si="15"/>
        <v>10.212455607463802</v>
      </c>
      <c r="P67" s="1">
        <f t="shared" si="11"/>
        <v>12.917030195420445</v>
      </c>
      <c r="Q67" s="1">
        <f t="shared" si="12"/>
        <v>13.223520754551892</v>
      </c>
      <c r="R67" s="1">
        <v>125.17909999999999</v>
      </c>
      <c r="S67" s="1" t="e">
        <f t="shared" si="13"/>
        <v>#N/A</v>
      </c>
      <c r="T67" s="1" t="e">
        <v>#N/A</v>
      </c>
    </row>
    <row r="68" spans="1:20" x14ac:dyDescent="0.35">
      <c r="A68" s="1">
        <v>500132.6531</v>
      </c>
      <c r="B68" s="1">
        <v>5999997.2350000003</v>
      </c>
      <c r="C68" s="1">
        <v>173.58726489934301</v>
      </c>
      <c r="D68" s="1">
        <f t="shared" si="14"/>
        <v>132.81073647846995</v>
      </c>
      <c r="E68" s="1">
        <v>0.01</v>
      </c>
      <c r="F68" s="1">
        <v>0.05</v>
      </c>
      <c r="G68" s="1">
        <v>0.1</v>
      </c>
      <c r="H68" s="1">
        <v>9.81</v>
      </c>
      <c r="I68" s="1">
        <v>2650</v>
      </c>
      <c r="J68" s="1">
        <v>1000</v>
      </c>
      <c r="K68" s="1">
        <v>1.65</v>
      </c>
      <c r="L68" s="1">
        <v>6.5</v>
      </c>
      <c r="M68" s="1">
        <v>2.5</v>
      </c>
      <c r="N68" s="6">
        <v>9.9999999999999995E-7</v>
      </c>
      <c r="O68" s="1">
        <f t="shared" si="15"/>
        <v>10.225512676353247</v>
      </c>
      <c r="P68" s="1">
        <f t="shared" si="11"/>
        <v>13.492945518552009</v>
      </c>
      <c r="Q68" s="1">
        <f t="shared" si="12"/>
        <v>13.204987856986227</v>
      </c>
      <c r="R68" s="1">
        <v>125.17909999999999</v>
      </c>
      <c r="S68" s="1" t="e">
        <f t="shared" si="13"/>
        <v>#N/A</v>
      </c>
      <c r="T68" s="1" t="e">
        <v>#N/A</v>
      </c>
    </row>
    <row r="69" spans="1:20" x14ac:dyDescent="0.35">
      <c r="A69" s="1">
        <v>500142.85710000002</v>
      </c>
      <c r="B69" s="1">
        <v>5999996.4450000003</v>
      </c>
      <c r="C69" s="1">
        <v>164.79443470844299</v>
      </c>
      <c r="D69" s="1">
        <f t="shared" si="14"/>
        <v>143.04527193449383</v>
      </c>
      <c r="E69" s="1">
        <v>0.01</v>
      </c>
      <c r="F69" s="1">
        <v>0.05</v>
      </c>
      <c r="G69" s="1">
        <v>0.1</v>
      </c>
      <c r="H69" s="1">
        <v>9.81</v>
      </c>
      <c r="I69" s="1">
        <v>2650</v>
      </c>
      <c r="J69" s="1">
        <v>1000</v>
      </c>
      <c r="K69" s="1">
        <v>1.65</v>
      </c>
      <c r="L69" s="1">
        <v>6.5</v>
      </c>
      <c r="M69" s="1">
        <v>2.5</v>
      </c>
      <c r="N69" s="6">
        <v>9.9999999999999995E-7</v>
      </c>
      <c r="O69" s="1">
        <f t="shared" si="15"/>
        <v>10.219577641411078</v>
      </c>
      <c r="P69" s="1">
        <f t="shared" si="11"/>
        <v>10.57052865269438</v>
      </c>
      <c r="Q69" s="1">
        <f t="shared" si="12"/>
        <v>12.031737085623195</v>
      </c>
      <c r="R69" s="1">
        <v>125.17909999999999</v>
      </c>
      <c r="S69" s="1" t="e">
        <f t="shared" si="13"/>
        <v>#N/A</v>
      </c>
      <c r="T69" s="1" t="e">
        <v>#N/A</v>
      </c>
    </row>
    <row r="70" spans="1:20" x14ac:dyDescent="0.35">
      <c r="A70" s="1">
        <v>500153.0612</v>
      </c>
      <c r="B70" s="1">
        <v>5999996.5480000004</v>
      </c>
      <c r="C70" s="1">
        <v>167.55157275140499</v>
      </c>
      <c r="D70" s="1">
        <f t="shared" si="14"/>
        <v>153.2498917612921</v>
      </c>
      <c r="E70" s="1">
        <v>0.01</v>
      </c>
      <c r="F70" s="1">
        <v>0.05</v>
      </c>
      <c r="G70" s="1">
        <v>0.1</v>
      </c>
      <c r="H70" s="1">
        <v>9.81</v>
      </c>
      <c r="I70" s="1">
        <v>2650</v>
      </c>
      <c r="J70" s="1">
        <v>1000</v>
      </c>
      <c r="K70" s="1">
        <v>1.65</v>
      </c>
      <c r="L70" s="1">
        <v>6.5</v>
      </c>
      <c r="M70" s="1">
        <v>2.5</v>
      </c>
      <c r="N70" s="6">
        <v>9.9999999999999995E-7</v>
      </c>
      <c r="O70" s="1">
        <f t="shared" si="15"/>
        <v>10.204940921281036</v>
      </c>
      <c r="P70" s="1">
        <f t="shared" si="11"/>
        <v>10.682627590463349</v>
      </c>
      <c r="Q70" s="1">
        <f t="shared" si="12"/>
        <v>10.626578121578865</v>
      </c>
      <c r="R70" s="1">
        <v>125.17909999999999</v>
      </c>
      <c r="S70" s="1" t="e">
        <f t="shared" si="13"/>
        <v>#N/A</v>
      </c>
      <c r="T70" s="1" t="e">
        <v>#N/A</v>
      </c>
    </row>
    <row r="71" spans="1:20" x14ac:dyDescent="0.35">
      <c r="A71" s="1">
        <v>500163.26530000003</v>
      </c>
      <c r="B71" s="1">
        <v>5999996.7019999996</v>
      </c>
      <c r="C71" s="1">
        <v>164.39385847900201</v>
      </c>
      <c r="D71" s="1">
        <f t="shared" si="14"/>
        <v>163.4551537770559</v>
      </c>
      <c r="E71" s="1">
        <v>0.01</v>
      </c>
      <c r="F71" s="1">
        <v>0.05</v>
      </c>
      <c r="G71" s="1">
        <v>0.1</v>
      </c>
      <c r="H71" s="1">
        <v>9.81</v>
      </c>
      <c r="I71" s="1">
        <v>2650</v>
      </c>
      <c r="J71" s="1">
        <v>1000</v>
      </c>
      <c r="K71" s="1">
        <v>1.65</v>
      </c>
      <c r="L71" s="1">
        <v>6.5</v>
      </c>
      <c r="M71" s="1">
        <v>2.5</v>
      </c>
      <c r="N71" s="6">
        <v>9.9999999999999995E-7</v>
      </c>
      <c r="O71" s="1">
        <f t="shared" si="15"/>
        <v>10.213849082106762</v>
      </c>
      <c r="P71" s="1">
        <f t="shared" si="11"/>
        <v>11.026540308620518</v>
      </c>
      <c r="Q71" s="1">
        <f t="shared" si="12"/>
        <v>10.854583949541933</v>
      </c>
      <c r="R71" s="1">
        <v>125.17909999999999</v>
      </c>
      <c r="S71" s="1" t="e">
        <f t="shared" si="13"/>
        <v>#N/A</v>
      </c>
      <c r="T71" s="1" t="e">
        <v>#N/A</v>
      </c>
    </row>
    <row r="72" spans="1:20" x14ac:dyDescent="0.35">
      <c r="A72" s="1">
        <v>500173.4694</v>
      </c>
      <c r="B72" s="1">
        <v>5999996.0899999999</v>
      </c>
      <c r="C72" s="1">
        <v>168.52742719967199</v>
      </c>
      <c r="D72" s="1">
        <f t="shared" si="14"/>
        <v>173.67758992550563</v>
      </c>
      <c r="E72" s="1">
        <v>0.01</v>
      </c>
      <c r="F72" s="1">
        <v>0.05</v>
      </c>
      <c r="G72" s="1">
        <v>0.1</v>
      </c>
      <c r="H72" s="1">
        <v>9.81</v>
      </c>
      <c r="I72" s="1">
        <v>2650</v>
      </c>
      <c r="J72" s="1">
        <v>1000</v>
      </c>
      <c r="K72" s="1">
        <v>1.65</v>
      </c>
      <c r="L72" s="1">
        <v>6.5</v>
      </c>
      <c r="M72" s="1">
        <v>2.5</v>
      </c>
      <c r="N72" s="6">
        <v>9.9999999999999995E-7</v>
      </c>
      <c r="O72" s="1">
        <f t="shared" si="15"/>
        <v>10.214988293625822</v>
      </c>
      <c r="P72" s="1">
        <f t="shared" si="11"/>
        <v>10.632479456336906</v>
      </c>
      <c r="Q72" s="1">
        <f t="shared" si="12"/>
        <v>10.829509882478712</v>
      </c>
      <c r="R72" s="1">
        <v>125.17909999999999</v>
      </c>
      <c r="S72" s="1" t="e">
        <f t="shared" si="13"/>
        <v>#N/A</v>
      </c>
      <c r="T72" s="1" t="e">
        <v>#N/A</v>
      </c>
    </row>
    <row r="73" spans="1:20" x14ac:dyDescent="0.35">
      <c r="A73" s="1">
        <v>500183.67349999998</v>
      </c>
      <c r="B73" s="1">
        <v>5999996.3550000004</v>
      </c>
      <c r="C73" s="1">
        <v>165.55156806663999</v>
      </c>
      <c r="D73" s="1">
        <f t="shared" si="14"/>
        <v>183.88513036430754</v>
      </c>
      <c r="E73" s="1">
        <v>0.01</v>
      </c>
      <c r="F73" s="1">
        <v>0.05</v>
      </c>
      <c r="G73" s="1">
        <v>0.1</v>
      </c>
      <c r="H73" s="1">
        <v>9.81</v>
      </c>
      <c r="I73" s="1">
        <v>2650</v>
      </c>
      <c r="J73" s="1">
        <v>1000</v>
      </c>
      <c r="K73" s="1">
        <v>1.65</v>
      </c>
      <c r="L73" s="1">
        <v>6.5</v>
      </c>
      <c r="M73" s="1">
        <v>2.5</v>
      </c>
      <c r="N73" s="6">
        <v>9.9999999999999995E-7</v>
      </c>
      <c r="O73" s="1">
        <f t="shared" si="15"/>
        <v>10.210285318026777</v>
      </c>
      <c r="P73" s="1">
        <f t="shared" si="11"/>
        <v>10.217153370786205</v>
      </c>
      <c r="Q73" s="1">
        <f t="shared" si="12"/>
        <v>10.424816413561555</v>
      </c>
      <c r="R73" s="1">
        <v>125.17909999999999</v>
      </c>
      <c r="S73" s="1" t="e">
        <f t="shared" si="13"/>
        <v>#N/A</v>
      </c>
      <c r="T73" s="1" t="e">
        <v>#N/A</v>
      </c>
    </row>
    <row r="74" spans="1:20" x14ac:dyDescent="0.35">
      <c r="A74" s="1">
        <v>500193.87760000001</v>
      </c>
      <c r="B74" s="1">
        <v>5999996.7819999997</v>
      </c>
      <c r="C74" s="1">
        <v>165.84180450851801</v>
      </c>
      <c r="D74" s="1">
        <f t="shared" si="14"/>
        <v>194.09816056155918</v>
      </c>
      <c r="E74" s="1">
        <v>0.01</v>
      </c>
      <c r="F74" s="1">
        <v>0.05</v>
      </c>
      <c r="G74" s="1">
        <v>0.1</v>
      </c>
      <c r="H74" s="1">
        <v>9.81</v>
      </c>
      <c r="I74" s="1">
        <v>2650</v>
      </c>
      <c r="J74" s="1">
        <v>1000</v>
      </c>
      <c r="K74" s="1">
        <v>1.65</v>
      </c>
      <c r="L74" s="1">
        <v>6.5</v>
      </c>
      <c r="M74" s="1">
        <v>2.5</v>
      </c>
      <c r="N74" s="6">
        <v>9.9999999999999995E-7</v>
      </c>
      <c r="O74" s="1">
        <f t="shared" si="15"/>
        <v>10.225732250662787</v>
      </c>
      <c r="P74" s="1">
        <f t="shared" si="11"/>
        <v>11.805317568883225</v>
      </c>
      <c r="Q74" s="1">
        <f t="shared" si="12"/>
        <v>11.011235469834716</v>
      </c>
      <c r="R74" s="1">
        <v>125.17909999999999</v>
      </c>
      <c r="S74" s="1" t="e">
        <f t="shared" si="13"/>
        <v>#N/A</v>
      </c>
      <c r="T74" s="1" t="e">
        <v>#N/A</v>
      </c>
    </row>
    <row r="75" spans="1:20" x14ac:dyDescent="0.35">
      <c r="A75" s="1">
        <v>500204.08159999998</v>
      </c>
      <c r="B75" s="1">
        <v>5999995.943</v>
      </c>
      <c r="C75" s="1">
        <v>159.96473160584401</v>
      </c>
      <c r="D75" s="1">
        <f t="shared" si="14"/>
        <v>204.33659486563312</v>
      </c>
      <c r="E75" s="1">
        <v>0.01</v>
      </c>
      <c r="F75" s="1">
        <v>0.05</v>
      </c>
      <c r="G75" s="1">
        <v>0.1</v>
      </c>
      <c r="H75" s="1">
        <v>9.81</v>
      </c>
      <c r="I75" s="1">
        <v>2650</v>
      </c>
      <c r="J75" s="1">
        <v>1000</v>
      </c>
      <c r="K75" s="1">
        <v>1.65</v>
      </c>
      <c r="L75" s="1">
        <v>6.5</v>
      </c>
      <c r="M75" s="1">
        <v>2.5</v>
      </c>
      <c r="N75" s="6">
        <v>9.9999999999999995E-7</v>
      </c>
      <c r="O75" s="1">
        <f t="shared" si="15"/>
        <v>10.222474465035148</v>
      </c>
      <c r="P75" s="1">
        <f t="shared" si="11"/>
        <v>10.510110351296964</v>
      </c>
      <c r="Q75" s="1">
        <f t="shared" si="12"/>
        <v>11.157713960090096</v>
      </c>
      <c r="R75" s="1">
        <v>125.17909999999999</v>
      </c>
      <c r="S75" s="1" t="e">
        <f t="shared" si="13"/>
        <v>#N/A</v>
      </c>
      <c r="T75" s="1" t="e">
        <v>#N/A</v>
      </c>
    </row>
    <row r="76" spans="1:20" x14ac:dyDescent="0.35">
      <c r="A76" s="1">
        <v>500214.28570000001</v>
      </c>
      <c r="B76" s="1">
        <v>5999995.7209999999</v>
      </c>
      <c r="C76" s="1">
        <v>162.47261493362501</v>
      </c>
      <c r="D76" s="1">
        <f t="shared" si="14"/>
        <v>214.54310949162948</v>
      </c>
      <c r="E76" s="1">
        <v>0.01</v>
      </c>
      <c r="F76" s="1">
        <v>0.05</v>
      </c>
      <c r="G76" s="1">
        <v>0.1</v>
      </c>
      <c r="H76" s="1">
        <v>9.81</v>
      </c>
      <c r="I76" s="1">
        <v>2650</v>
      </c>
      <c r="J76" s="1">
        <v>1000</v>
      </c>
      <c r="K76" s="1">
        <v>1.65</v>
      </c>
      <c r="L76" s="1">
        <v>6.5</v>
      </c>
      <c r="M76" s="1">
        <v>2.5</v>
      </c>
      <c r="N76" s="6">
        <v>9.9999999999999995E-7</v>
      </c>
      <c r="O76" s="1">
        <f t="shared" si="15"/>
        <v>10.209668499185454</v>
      </c>
      <c r="P76" s="1">
        <f t="shared" si="11"/>
        <v>13.932835838967597</v>
      </c>
      <c r="Q76" s="1">
        <f t="shared" si="12"/>
        <v>12.22147309513228</v>
      </c>
      <c r="R76" s="1">
        <v>125.17909999999999</v>
      </c>
      <c r="S76" s="1" t="e">
        <f t="shared" si="13"/>
        <v>#N/A</v>
      </c>
      <c r="T76" s="1" t="e">
        <v>#N/A</v>
      </c>
    </row>
    <row r="77" spans="1:20" x14ac:dyDescent="0.35">
      <c r="A77" s="1">
        <v>500224.48979999998</v>
      </c>
      <c r="B77" s="1">
        <v>5999996.1430000002</v>
      </c>
      <c r="C77" s="1">
        <v>152.99515885586101</v>
      </c>
      <c r="D77" s="1">
        <f t="shared" si="14"/>
        <v>224.75593186400403</v>
      </c>
      <c r="E77" s="1">
        <v>0.01</v>
      </c>
      <c r="F77" s="1">
        <v>0.05</v>
      </c>
      <c r="G77" s="1">
        <v>0.1</v>
      </c>
      <c r="H77" s="1">
        <v>9.81</v>
      </c>
      <c r="I77" s="1">
        <v>2650</v>
      </c>
      <c r="J77" s="1">
        <v>1000</v>
      </c>
      <c r="K77" s="1">
        <v>1.65</v>
      </c>
      <c r="L77" s="1">
        <v>6.5</v>
      </c>
      <c r="M77" s="1">
        <v>2.5</v>
      </c>
      <c r="N77" s="6">
        <v>9.9999999999999995E-7</v>
      </c>
      <c r="O77" s="1">
        <f t="shared" si="15"/>
        <v>10.211706300347956</v>
      </c>
      <c r="P77" s="1">
        <f t="shared" si="11"/>
        <v>10.301820481574744</v>
      </c>
      <c r="Q77" s="1">
        <f t="shared" si="12"/>
        <v>12.117328160271171</v>
      </c>
      <c r="R77" s="1">
        <v>125.17909999999999</v>
      </c>
      <c r="S77" s="1" t="e">
        <f t="shared" si="13"/>
        <v>#N/A</v>
      </c>
      <c r="T77" s="1" t="e">
        <v>#N/A</v>
      </c>
    </row>
    <row r="78" spans="1:20" x14ac:dyDescent="0.35">
      <c r="A78" s="1">
        <v>500234.69390000001</v>
      </c>
      <c r="B78" s="1">
        <v>5999996.5070000002</v>
      </c>
      <c r="C78" s="1">
        <v>151.627185016966</v>
      </c>
      <c r="D78" s="1">
        <f t="shared" si="14"/>
        <v>234.96652209232539</v>
      </c>
      <c r="E78" s="1">
        <v>0.01</v>
      </c>
      <c r="F78" s="1">
        <v>0.05</v>
      </c>
      <c r="G78" s="1">
        <v>0.1</v>
      </c>
      <c r="H78" s="1">
        <v>9.81</v>
      </c>
      <c r="I78" s="1">
        <v>2650</v>
      </c>
      <c r="J78" s="1">
        <v>1000</v>
      </c>
      <c r="K78" s="1">
        <v>1.65</v>
      </c>
      <c r="L78" s="1">
        <v>6.5</v>
      </c>
      <c r="M78" s="1">
        <v>2.5</v>
      </c>
      <c r="N78" s="6">
        <v>9.9999999999999995E-7</v>
      </c>
      <c r="O78" s="1">
        <f t="shared" si="15"/>
        <v>10.212172653557417</v>
      </c>
      <c r="P78" s="1">
        <f t="shared" si="11"/>
        <v>11.089044194999135</v>
      </c>
      <c r="Q78" s="1">
        <f t="shared" si="12"/>
        <v>10.695432338286938</v>
      </c>
      <c r="R78" s="1">
        <v>125.17909999999999</v>
      </c>
      <c r="S78" s="1" t="e">
        <f t="shared" si="13"/>
        <v>#N/A</v>
      </c>
      <c r="T78" s="1" t="e">
        <v>#N/A</v>
      </c>
    </row>
    <row r="79" spans="1:20" x14ac:dyDescent="0.35">
      <c r="A79" s="1">
        <v>500244.89799999999</v>
      </c>
      <c r="B79" s="1">
        <v>5999996.9510000004</v>
      </c>
      <c r="C79" s="1">
        <v>155.94529899752101</v>
      </c>
      <c r="D79" s="1">
        <f t="shared" si="14"/>
        <v>245.18027717111886</v>
      </c>
      <c r="E79" s="1">
        <v>0.01</v>
      </c>
      <c r="F79" s="1">
        <v>0.05</v>
      </c>
      <c r="G79" s="1">
        <v>0.1</v>
      </c>
      <c r="H79" s="1">
        <v>9.81</v>
      </c>
      <c r="I79" s="1">
        <v>2650</v>
      </c>
      <c r="J79" s="1">
        <v>1000</v>
      </c>
      <c r="K79" s="1">
        <v>1.65</v>
      </c>
      <c r="L79" s="1">
        <v>6.5</v>
      </c>
      <c r="M79" s="1">
        <v>2.5</v>
      </c>
      <c r="N79" s="6">
        <v>9.9999999999999995E-7</v>
      </c>
      <c r="O79" s="1">
        <f t="shared" si="15"/>
        <v>10.228334363400478</v>
      </c>
      <c r="P79" s="1">
        <f t="shared" si="11"/>
        <v>11.738479864242503</v>
      </c>
      <c r="Q79" s="1">
        <f t="shared" si="12"/>
        <v>11.41376202962082</v>
      </c>
      <c r="R79" s="1">
        <v>125.17909999999999</v>
      </c>
      <c r="S79" s="1" t="e">
        <f t="shared" si="13"/>
        <v>#N/A</v>
      </c>
      <c r="T79" s="1" t="e">
        <v>#N/A</v>
      </c>
    </row>
    <row r="80" spans="1:20" x14ac:dyDescent="0.35">
      <c r="A80" s="1">
        <v>500255.10200000001</v>
      </c>
      <c r="B80" s="1">
        <v>5999997.8430000003</v>
      </c>
      <c r="C80" s="1">
        <v>150.21165883417899</v>
      </c>
      <c r="D80" s="1">
        <f t="shared" si="14"/>
        <v>255.42319081912635</v>
      </c>
      <c r="E80" s="1">
        <v>0.01</v>
      </c>
      <c r="F80" s="1">
        <v>0.05</v>
      </c>
      <c r="G80" s="1">
        <v>0.1</v>
      </c>
      <c r="H80" s="1">
        <v>9.81</v>
      </c>
      <c r="I80" s="1">
        <v>2650</v>
      </c>
      <c r="J80" s="1">
        <v>1000</v>
      </c>
      <c r="K80" s="1">
        <v>1.65</v>
      </c>
      <c r="L80" s="1">
        <v>6.5</v>
      </c>
      <c r="M80" s="1">
        <v>2.5</v>
      </c>
      <c r="N80" s="6">
        <v>9.9999999999999995E-7</v>
      </c>
      <c r="O80" s="1">
        <f t="shared" si="15"/>
        <v>10.228247812702051</v>
      </c>
      <c r="P80" s="1">
        <f t="shared" si="11"/>
        <v>10.415569048554094</v>
      </c>
      <c r="Q80" s="1">
        <f t="shared" si="12"/>
        <v>11.077024456398298</v>
      </c>
      <c r="R80" s="1">
        <v>125.17909999999999</v>
      </c>
      <c r="S80" s="1" t="e">
        <f t="shared" si="13"/>
        <v>#N/A</v>
      </c>
      <c r="T80" s="1" t="e">
        <v>#N/A</v>
      </c>
    </row>
    <row r="81" spans="1:20" x14ac:dyDescent="0.35">
      <c r="A81" s="1">
        <v>500265.30609999999</v>
      </c>
      <c r="B81" s="1">
        <v>5999998.2829999998</v>
      </c>
      <c r="C81" s="1">
        <v>148.17037938339399</v>
      </c>
      <c r="D81" s="1">
        <f t="shared" si="14"/>
        <v>265.63677279652296</v>
      </c>
      <c r="E81" s="1">
        <v>0.01</v>
      </c>
      <c r="F81" s="1">
        <v>0.05</v>
      </c>
      <c r="G81" s="1">
        <v>0.1</v>
      </c>
      <c r="H81" s="1">
        <v>9.81</v>
      </c>
      <c r="I81" s="1">
        <v>2650</v>
      </c>
      <c r="J81" s="1">
        <v>1000</v>
      </c>
      <c r="K81" s="1">
        <v>1.65</v>
      </c>
      <c r="L81" s="1">
        <v>6.5</v>
      </c>
      <c r="M81" s="1">
        <v>2.5</v>
      </c>
      <c r="N81" s="6">
        <v>9.9999999999999995E-7</v>
      </c>
      <c r="O81" s="1">
        <f t="shared" si="15"/>
        <v>10.23198332194535</v>
      </c>
      <c r="P81" s="1">
        <f t="shared" si="11"/>
        <v>10.753746192038282</v>
      </c>
      <c r="Q81" s="1">
        <f t="shared" si="12"/>
        <v>10.584657620296188</v>
      </c>
      <c r="R81" s="1">
        <v>125.17909999999999</v>
      </c>
      <c r="S81" s="1" t="e">
        <f t="shared" si="13"/>
        <v>#N/A</v>
      </c>
      <c r="T81" s="1" t="e">
        <v>#N/A</v>
      </c>
    </row>
    <row r="82" spans="1:20" x14ac:dyDescent="0.35">
      <c r="A82" s="1">
        <v>500275.51020000002</v>
      </c>
      <c r="B82" s="1">
        <v>5999997.3099999996</v>
      </c>
      <c r="C82" s="1">
        <v>144.91881493659599</v>
      </c>
      <c r="D82" s="1">
        <f t="shared" si="14"/>
        <v>275.88715746301705</v>
      </c>
      <c r="E82" s="1">
        <v>0.01</v>
      </c>
      <c r="F82" s="1">
        <v>0.05</v>
      </c>
      <c r="G82" s="1">
        <v>0.1</v>
      </c>
      <c r="H82" s="1">
        <v>9.81</v>
      </c>
      <c r="I82" s="1">
        <v>2650</v>
      </c>
      <c r="J82" s="1">
        <v>1000</v>
      </c>
      <c r="K82" s="1">
        <v>1.65</v>
      </c>
      <c r="L82" s="1">
        <v>6.5</v>
      </c>
      <c r="M82" s="1">
        <v>2.5</v>
      </c>
      <c r="N82" s="6">
        <v>9.9999999999999995E-7</v>
      </c>
      <c r="O82" s="1">
        <f t="shared" si="15"/>
        <v>10.247668609691146</v>
      </c>
      <c r="P82" s="1">
        <f t="shared" si="11"/>
        <v>10.247801935839309</v>
      </c>
      <c r="Q82" s="1">
        <f t="shared" si="12"/>
        <v>10.500774063938795</v>
      </c>
      <c r="R82" s="1">
        <v>125.17909999999999</v>
      </c>
      <c r="S82" s="1" t="e">
        <f t="shared" si="13"/>
        <v>#N/A</v>
      </c>
      <c r="T82" s="1" t="e">
        <v>#N/A</v>
      </c>
    </row>
    <row r="83" spans="1:20" x14ac:dyDescent="0.35">
      <c r="A83" s="1">
        <v>500285.71429999999</v>
      </c>
      <c r="B83" s="1">
        <v>5999998.2240000004</v>
      </c>
      <c r="C83" s="1">
        <v>144.67717117967001</v>
      </c>
      <c r="D83" s="1">
        <f t="shared" si="14"/>
        <v>286.13211001590525</v>
      </c>
      <c r="E83" s="1">
        <v>0.01</v>
      </c>
      <c r="F83" s="1">
        <v>0.05</v>
      </c>
      <c r="G83" s="1">
        <v>0.1</v>
      </c>
      <c r="H83" s="1">
        <v>9.81</v>
      </c>
      <c r="I83" s="1">
        <v>2650</v>
      </c>
      <c r="J83" s="1">
        <v>1000</v>
      </c>
      <c r="K83" s="1">
        <v>1.65</v>
      </c>
      <c r="L83" s="1">
        <v>6.5</v>
      </c>
      <c r="M83" s="1">
        <v>2.5</v>
      </c>
      <c r="N83" s="6">
        <v>9.9999999999999995E-7</v>
      </c>
      <c r="O83" s="1">
        <f t="shared" si="15"/>
        <v>10.245310960713113</v>
      </c>
      <c r="P83" s="1">
        <f t="shared" si="11"/>
        <v>10.773986209295044</v>
      </c>
      <c r="Q83" s="1">
        <f t="shared" si="12"/>
        <v>10.510894072567176</v>
      </c>
      <c r="R83" s="1">
        <v>125.17909999999999</v>
      </c>
      <c r="S83" s="1" t="e">
        <f t="shared" si="13"/>
        <v>#N/A</v>
      </c>
      <c r="T83" s="1" t="e">
        <v>#N/A</v>
      </c>
    </row>
    <row r="84" spans="1:20" x14ac:dyDescent="0.35">
      <c r="A84" s="1">
        <v>500295.91840000002</v>
      </c>
      <c r="B84" s="1">
        <v>5999999.1459999997</v>
      </c>
      <c r="C84" s="1">
        <v>141.344748933213</v>
      </c>
      <c r="D84" s="1">
        <f t="shared" si="14"/>
        <v>296.37777938444327</v>
      </c>
      <c r="E84" s="1">
        <v>0.01</v>
      </c>
      <c r="F84" s="1">
        <v>0.05</v>
      </c>
      <c r="G84" s="1">
        <v>0.1</v>
      </c>
      <c r="H84" s="1">
        <v>9.81</v>
      </c>
      <c r="I84" s="1">
        <v>2650</v>
      </c>
      <c r="J84" s="1">
        <v>1000</v>
      </c>
      <c r="K84" s="1">
        <v>1.65</v>
      </c>
      <c r="L84" s="1">
        <v>6.5</v>
      </c>
      <c r="M84" s="1">
        <v>2.5</v>
      </c>
      <c r="N84" s="6">
        <v>9.9999999999999995E-7</v>
      </c>
      <c r="O84" s="1">
        <f t="shared" si="15"/>
        <v>10.233098302678485</v>
      </c>
      <c r="P84" s="1">
        <f t="shared" si="11"/>
        <v>10.320041754295742</v>
      </c>
      <c r="Q84" s="1">
        <f t="shared" si="12"/>
        <v>10.547013981795393</v>
      </c>
      <c r="R84" s="1">
        <v>125.17909999999999</v>
      </c>
      <c r="S84" s="1" t="e">
        <f t="shared" si="13"/>
        <v>#N/A</v>
      </c>
      <c r="T84" s="1" t="e">
        <v>#N/A</v>
      </c>
    </row>
    <row r="85" spans="1:20" x14ac:dyDescent="0.35">
      <c r="A85" s="1">
        <v>500306.12239999999</v>
      </c>
      <c r="B85" s="1">
        <v>5999998.5650000004</v>
      </c>
      <c r="C85" s="1">
        <v>139.91503399244701</v>
      </c>
      <c r="D85" s="1">
        <f t="shared" si="14"/>
        <v>306.59830662126222</v>
      </c>
      <c r="E85" s="1">
        <v>0.01</v>
      </c>
      <c r="F85" s="1">
        <v>0.05</v>
      </c>
      <c r="G85" s="1">
        <v>0.1</v>
      </c>
      <c r="H85" s="1">
        <v>9.81</v>
      </c>
      <c r="I85" s="1">
        <v>2650</v>
      </c>
      <c r="J85" s="1">
        <v>1000</v>
      </c>
      <c r="K85" s="1">
        <v>1.65</v>
      </c>
      <c r="L85" s="1">
        <v>6.5</v>
      </c>
      <c r="M85" s="1">
        <v>2.5</v>
      </c>
      <c r="N85" s="6">
        <v>9.9999999999999995E-7</v>
      </c>
      <c r="O85" s="1">
        <f t="shared" si="15"/>
        <v>10.221874954638196</v>
      </c>
      <c r="P85" s="1">
        <f t="shared" si="11"/>
        <v>13.893706980070347</v>
      </c>
      <c r="Q85" s="1">
        <f t="shared" si="12"/>
        <v>12.106874367183044</v>
      </c>
      <c r="R85" s="1">
        <v>125.17909999999999</v>
      </c>
      <c r="S85" s="1" t="e">
        <f t="shared" si="13"/>
        <v>#N/A</v>
      </c>
      <c r="T85" s="1" t="e">
        <v>#N/A</v>
      </c>
    </row>
    <row r="86" spans="1:20" x14ac:dyDescent="0.35">
      <c r="A86" s="1">
        <v>500316.32650000002</v>
      </c>
      <c r="B86" s="1">
        <v>5999999.1900000004</v>
      </c>
      <c r="C86" s="1">
        <v>130.506484059678</v>
      </c>
      <c r="D86" s="1">
        <f t="shared" si="14"/>
        <v>316.82152929371966</v>
      </c>
      <c r="E86" s="1">
        <v>0.01</v>
      </c>
      <c r="F86" s="1">
        <v>0.05</v>
      </c>
      <c r="G86" s="1">
        <v>0.1</v>
      </c>
      <c r="H86" s="1">
        <v>9.81</v>
      </c>
      <c r="I86" s="1">
        <v>2650</v>
      </c>
      <c r="J86" s="1">
        <v>1000</v>
      </c>
      <c r="K86" s="1">
        <v>1.65</v>
      </c>
      <c r="L86" s="1">
        <v>6.5</v>
      </c>
      <c r="M86" s="1">
        <v>2.5</v>
      </c>
      <c r="N86" s="6">
        <v>9.9999999999999995E-7</v>
      </c>
      <c r="O86" s="1">
        <f t="shared" si="15"/>
        <v>10.235493697492075</v>
      </c>
      <c r="P86" s="1">
        <f t="shared" si="11"/>
        <v>10.418299398725649</v>
      </c>
      <c r="Q86" s="1">
        <f t="shared" si="12"/>
        <v>12.156003189397998</v>
      </c>
      <c r="R86" s="1">
        <v>125.17909999999999</v>
      </c>
      <c r="S86" s="1" t="e">
        <f t="shared" si="13"/>
        <v>#N/A</v>
      </c>
      <c r="T86" s="1" t="e">
        <v>#N/A</v>
      </c>
    </row>
    <row r="87" spans="1:20" x14ac:dyDescent="0.35">
      <c r="A87" s="1">
        <v>500326.5306</v>
      </c>
      <c r="B87" s="1">
        <v>6000000.1349999998</v>
      </c>
      <c r="C87" s="1">
        <v>128.62917733108401</v>
      </c>
      <c r="D87" s="1">
        <f t="shared" si="14"/>
        <v>327.06929401624637</v>
      </c>
      <c r="E87" s="1">
        <v>0.01</v>
      </c>
      <c r="F87" s="1">
        <v>0.05</v>
      </c>
      <c r="G87" s="1">
        <v>0.1</v>
      </c>
      <c r="H87" s="1">
        <v>9.81</v>
      </c>
      <c r="I87" s="1">
        <v>2650</v>
      </c>
      <c r="J87" s="1">
        <v>1000</v>
      </c>
      <c r="K87" s="1">
        <v>1.65</v>
      </c>
      <c r="L87" s="1">
        <v>6.5</v>
      </c>
      <c r="M87" s="1">
        <v>2.5</v>
      </c>
      <c r="N87" s="6">
        <v>9.9999999999999995E-7</v>
      </c>
      <c r="O87" s="1">
        <f t="shared" si="15"/>
        <v>10.241238558797846</v>
      </c>
      <c r="P87" s="1">
        <f t="shared" ref="P87:P103" si="16">SQRT((D88 - D87)^2 + (C88 - C87)^2)</f>
        <v>10.787841757464356</v>
      </c>
      <c r="Q87" s="1">
        <f t="shared" ref="Q87:Q103" si="17">IF(ROW()=55, P87/2, (P87 + P86)/2)</f>
        <v>10.603070578095004</v>
      </c>
      <c r="R87" s="1">
        <v>125.17909999999999</v>
      </c>
      <c r="S87" s="1" t="e">
        <f t="shared" ref="S87:S103" si="18">IF(R87 - C87 &lt; 0, NA(), R87 - C87)</f>
        <v>#N/A</v>
      </c>
      <c r="T87" s="1" t="e">
        <v>#N/A</v>
      </c>
    </row>
    <row r="88" spans="1:20" x14ac:dyDescent="0.35">
      <c r="A88" s="1">
        <v>500336.73469999997</v>
      </c>
      <c r="B88" s="1">
        <v>5999999.3439999996</v>
      </c>
      <c r="C88" s="1">
        <v>132.03919081702699</v>
      </c>
      <c r="D88" s="1">
        <f t="shared" ref="D88:D104" si="19">D87 + SQRT((A88 - A87)^2 + (B88 - B87)^2)</f>
        <v>337.30400641131536</v>
      </c>
      <c r="E88" s="1">
        <v>0.01</v>
      </c>
      <c r="F88" s="1">
        <v>0.05</v>
      </c>
      <c r="G88" s="1">
        <v>0.1</v>
      </c>
      <c r="H88" s="1">
        <v>9.81</v>
      </c>
      <c r="I88" s="1">
        <v>2650</v>
      </c>
      <c r="J88" s="1">
        <v>1000</v>
      </c>
      <c r="K88" s="1">
        <v>1.65</v>
      </c>
      <c r="L88" s="1">
        <v>6.5</v>
      </c>
      <c r="M88" s="1">
        <v>2.5</v>
      </c>
      <c r="N88" s="6">
        <v>9.9999999999999995E-7</v>
      </c>
      <c r="O88" s="1">
        <f t="shared" si="15"/>
        <v>10.233949248828765</v>
      </c>
      <c r="P88" s="1">
        <f t="shared" si="16"/>
        <v>11.755266476054745</v>
      </c>
      <c r="Q88" s="1">
        <f t="shared" si="17"/>
        <v>11.27155411675955</v>
      </c>
      <c r="R88" s="1">
        <v>125.17909999999999</v>
      </c>
      <c r="S88" s="1" t="e">
        <f t="shared" si="18"/>
        <v>#N/A</v>
      </c>
      <c r="T88" s="1" t="e">
        <v>#N/A</v>
      </c>
    </row>
    <row r="89" spans="1:20" x14ac:dyDescent="0.35">
      <c r="A89" s="1">
        <v>500346.9388</v>
      </c>
      <c r="B89" s="1">
        <v>5999998.5729999999</v>
      </c>
      <c r="C89" s="1">
        <v>126.254020801129</v>
      </c>
      <c r="D89" s="1">
        <f t="shared" si="19"/>
        <v>347.5371925139039</v>
      </c>
      <c r="E89" s="1">
        <v>0.01</v>
      </c>
      <c r="F89" s="1">
        <v>0.05</v>
      </c>
      <c r="G89" s="1">
        <v>0.1</v>
      </c>
      <c r="H89" s="1">
        <v>9.81</v>
      </c>
      <c r="I89" s="1">
        <v>2650</v>
      </c>
      <c r="J89" s="1">
        <v>1000</v>
      </c>
      <c r="K89" s="1">
        <v>1.65</v>
      </c>
      <c r="L89" s="1">
        <v>6.5</v>
      </c>
      <c r="M89" s="1">
        <v>2.5</v>
      </c>
      <c r="N89" s="6">
        <v>9.9999999999999995E-7</v>
      </c>
      <c r="O89" s="1">
        <f t="shared" si="15"/>
        <v>10.232552707337419</v>
      </c>
      <c r="P89" s="1">
        <f t="shared" si="16"/>
        <v>11.350607222214496</v>
      </c>
      <c r="Q89" s="1">
        <f t="shared" si="17"/>
        <v>11.552936849134621</v>
      </c>
      <c r="R89" s="1">
        <v>125.17909999999999</v>
      </c>
      <c r="S89" s="1" t="e">
        <f t="shared" si="18"/>
        <v>#N/A</v>
      </c>
      <c r="T89" s="1" t="e">
        <v>#N/A</v>
      </c>
    </row>
    <row r="90" spans="1:20" x14ac:dyDescent="0.35">
      <c r="A90" s="1">
        <v>500357.14289999998</v>
      </c>
      <c r="B90" s="1">
        <v>5999999.3269999996</v>
      </c>
      <c r="C90" s="1">
        <v>131.167686591956</v>
      </c>
      <c r="D90" s="1">
        <f t="shared" si="19"/>
        <v>357.76911182599019</v>
      </c>
      <c r="E90" s="1">
        <v>0.01</v>
      </c>
      <c r="F90" s="1">
        <v>0.05</v>
      </c>
      <c r="G90" s="1">
        <v>0.1</v>
      </c>
      <c r="H90" s="1">
        <v>9.81</v>
      </c>
      <c r="I90" s="1">
        <v>2650</v>
      </c>
      <c r="J90" s="1">
        <v>1000</v>
      </c>
      <c r="K90" s="1">
        <v>1.65</v>
      </c>
      <c r="L90" s="1">
        <v>6.5</v>
      </c>
      <c r="M90" s="1">
        <v>2.5</v>
      </c>
      <c r="N90" s="6">
        <v>9.9999999999999995E-7</v>
      </c>
      <c r="O90" s="1">
        <f t="shared" si="15"/>
        <v>10.223838765829584</v>
      </c>
      <c r="P90" s="1">
        <f t="shared" si="16"/>
        <v>10.479732415606993</v>
      </c>
      <c r="Q90" s="1">
        <f t="shared" si="17"/>
        <v>10.915169818910744</v>
      </c>
      <c r="R90" s="1">
        <v>125.17909999999999</v>
      </c>
      <c r="S90" s="1" t="e">
        <f t="shared" si="18"/>
        <v>#N/A</v>
      </c>
      <c r="T90" s="1" t="e">
        <v>#N/A</v>
      </c>
    </row>
    <row r="91" spans="1:20" x14ac:dyDescent="0.35">
      <c r="A91" s="1">
        <v>500367.3469</v>
      </c>
      <c r="B91" s="1">
        <v>5999999.8169999998</v>
      </c>
      <c r="C91" s="1">
        <v>128.83036429882799</v>
      </c>
      <c r="D91" s="1">
        <f t="shared" si="19"/>
        <v>367.98487004556307</v>
      </c>
      <c r="E91" s="1">
        <v>0.01</v>
      </c>
      <c r="F91" s="1">
        <v>0.05</v>
      </c>
      <c r="G91" s="1">
        <v>0.1</v>
      </c>
      <c r="H91" s="1">
        <v>9.81</v>
      </c>
      <c r="I91" s="1">
        <v>2650</v>
      </c>
      <c r="J91" s="1">
        <v>1000</v>
      </c>
      <c r="K91" s="1">
        <v>1.65</v>
      </c>
      <c r="L91" s="1">
        <v>6.5</v>
      </c>
      <c r="M91" s="1">
        <v>2.5</v>
      </c>
      <c r="N91" s="6">
        <v>9.9999999999999995E-7</v>
      </c>
      <c r="O91" s="1">
        <f t="shared" si="15"/>
        <v>10.224509856901079</v>
      </c>
      <c r="P91" s="1">
        <f t="shared" si="16"/>
        <v>10.91645406051112</v>
      </c>
      <c r="Q91" s="1">
        <f t="shared" si="17"/>
        <v>10.698093238059055</v>
      </c>
      <c r="R91" s="1">
        <v>125.17909999999999</v>
      </c>
      <c r="S91" s="1" t="e">
        <f t="shared" si="18"/>
        <v>#N/A</v>
      </c>
      <c r="T91" s="1" t="e">
        <v>#N/A</v>
      </c>
    </row>
    <row r="92" spans="1:20" x14ac:dyDescent="0.35">
      <c r="A92" s="1">
        <v>500377.55099999998</v>
      </c>
      <c r="B92" s="1">
        <v>5999999.0449999999</v>
      </c>
      <c r="C92" s="1">
        <v>125.029137069896</v>
      </c>
      <c r="D92" s="1">
        <f t="shared" si="19"/>
        <v>378.21813153979235</v>
      </c>
      <c r="E92" s="1">
        <v>0.01</v>
      </c>
      <c r="F92" s="1">
        <v>0.05</v>
      </c>
      <c r="G92" s="1">
        <v>0.1</v>
      </c>
      <c r="H92" s="1">
        <v>9.81</v>
      </c>
      <c r="I92" s="1">
        <v>2650</v>
      </c>
      <c r="J92" s="1">
        <v>1000</v>
      </c>
      <c r="K92" s="1">
        <v>1.65</v>
      </c>
      <c r="L92" s="1">
        <v>6.5</v>
      </c>
      <c r="M92" s="1">
        <v>2.5</v>
      </c>
      <c r="N92" s="6">
        <v>9.9999999999999995E-7</v>
      </c>
      <c r="O92" s="1">
        <f t="shared" si="15"/>
        <v>10.221049857319429</v>
      </c>
      <c r="P92" s="1">
        <f t="shared" si="16"/>
        <v>10.237547645163266</v>
      </c>
      <c r="Q92" s="1">
        <f t="shared" si="17"/>
        <v>10.577000852837193</v>
      </c>
      <c r="R92" s="1">
        <v>125.17909999999999</v>
      </c>
      <c r="S92" s="1">
        <f t="shared" si="18"/>
        <v>0.14996293010399597</v>
      </c>
      <c r="T92" s="1">
        <v>0.14996293010399597</v>
      </c>
    </row>
    <row r="93" spans="1:20" x14ac:dyDescent="0.35">
      <c r="A93" s="1">
        <v>500387.75510000001</v>
      </c>
      <c r="B93" s="1">
        <v>5999999.3559999997</v>
      </c>
      <c r="C93" s="1">
        <v>125.795298917349</v>
      </c>
      <c r="D93" s="1">
        <f t="shared" si="19"/>
        <v>388.42696976020193</v>
      </c>
      <c r="E93" s="1">
        <v>0.01</v>
      </c>
      <c r="F93" s="1">
        <v>0.05</v>
      </c>
      <c r="G93" s="1">
        <v>0.1</v>
      </c>
      <c r="H93" s="1">
        <v>9.81</v>
      </c>
      <c r="I93" s="1">
        <v>2650</v>
      </c>
      <c r="J93" s="1">
        <v>1000</v>
      </c>
      <c r="K93" s="1">
        <v>1.65</v>
      </c>
      <c r="L93" s="1">
        <v>6.5</v>
      </c>
      <c r="M93" s="1">
        <v>2.5</v>
      </c>
      <c r="N93" s="6">
        <v>9.9999999999999995E-7</v>
      </c>
      <c r="O93" s="1">
        <f t="shared" si="15"/>
        <v>10.226672955179509</v>
      </c>
      <c r="P93" s="1">
        <f t="shared" si="16"/>
        <v>14.006911426674414</v>
      </c>
      <c r="Q93" s="1">
        <f t="shared" si="17"/>
        <v>12.122229535918841</v>
      </c>
      <c r="R93" s="1">
        <v>125.17909999999999</v>
      </c>
      <c r="S93" s="1" t="e">
        <f t="shared" si="18"/>
        <v>#N/A</v>
      </c>
      <c r="T93" s="1" t="e">
        <v>#N/A</v>
      </c>
    </row>
    <row r="94" spans="1:20" x14ac:dyDescent="0.35">
      <c r="A94" s="1">
        <v>500397.95919999998</v>
      </c>
      <c r="B94" s="1">
        <v>5999998.4469999997</v>
      </c>
      <c r="C94" s="1">
        <v>135.347452072804</v>
      </c>
      <c r="D94" s="1">
        <f t="shared" si="19"/>
        <v>398.67147745015137</v>
      </c>
      <c r="E94" s="1">
        <v>0.01</v>
      </c>
      <c r="F94" s="1">
        <v>0.05</v>
      </c>
      <c r="G94" s="1">
        <v>0.1</v>
      </c>
      <c r="H94" s="1">
        <v>9.81</v>
      </c>
      <c r="I94" s="1">
        <v>2650</v>
      </c>
      <c r="J94" s="1">
        <v>1000</v>
      </c>
      <c r="K94" s="1">
        <v>1.65</v>
      </c>
      <c r="L94" s="1">
        <v>6.5</v>
      </c>
      <c r="M94" s="1">
        <v>2.5</v>
      </c>
      <c r="N94" s="6">
        <v>9.9999999999999995E-7</v>
      </c>
      <c r="O94" s="1">
        <f t="shared" si="15"/>
        <v>10.22650836474881</v>
      </c>
      <c r="P94" s="1">
        <f t="shared" si="16"/>
        <v>12.538849639326756</v>
      </c>
      <c r="Q94" s="1">
        <f t="shared" si="17"/>
        <v>13.272880533000585</v>
      </c>
      <c r="R94" s="1">
        <v>125.17909999999999</v>
      </c>
      <c r="S94" s="1" t="e">
        <f t="shared" si="18"/>
        <v>#N/A</v>
      </c>
      <c r="T94" s="1" t="e">
        <v>#N/A</v>
      </c>
    </row>
    <row r="95" spans="1:20" x14ac:dyDescent="0.35">
      <c r="A95" s="1">
        <v>500408.16330000001</v>
      </c>
      <c r="B95" s="1">
        <v>5999998.1469999999</v>
      </c>
      <c r="C95" s="1">
        <v>128.06671766842501</v>
      </c>
      <c r="D95" s="1">
        <f t="shared" si="19"/>
        <v>408.87998648969955</v>
      </c>
      <c r="E95" s="1">
        <v>0.01</v>
      </c>
      <c r="F95" s="1">
        <v>0.05</v>
      </c>
      <c r="G95" s="1">
        <v>0.1</v>
      </c>
      <c r="H95" s="1">
        <v>9.81</v>
      </c>
      <c r="I95" s="1">
        <v>2650</v>
      </c>
      <c r="J95" s="1">
        <v>1000</v>
      </c>
      <c r="K95" s="1">
        <v>1.65</v>
      </c>
      <c r="L95" s="1">
        <v>6.5</v>
      </c>
      <c r="M95" s="1">
        <v>2.5</v>
      </c>
      <c r="N95" s="6">
        <v>9.9999999999999995E-7</v>
      </c>
      <c r="O95" s="1">
        <f t="shared" si="15"/>
        <v>10.217670819070179</v>
      </c>
      <c r="P95" s="1">
        <f t="shared" si="16"/>
        <v>11.126667604014996</v>
      </c>
      <c r="Q95" s="1">
        <f t="shared" si="17"/>
        <v>11.832758621670877</v>
      </c>
      <c r="R95" s="1">
        <v>125.17909999999999</v>
      </c>
      <c r="S95" s="1" t="e">
        <f t="shared" si="18"/>
        <v>#N/A</v>
      </c>
      <c r="T95" s="1" t="e">
        <v>#N/A</v>
      </c>
    </row>
    <row r="96" spans="1:20" x14ac:dyDescent="0.35">
      <c r="A96" s="1">
        <v>500418.36729999998</v>
      </c>
      <c r="B96" s="1">
        <v>5999997.4639999997</v>
      </c>
      <c r="C96" s="1">
        <v>132.450166877736</v>
      </c>
      <c r="D96" s="1">
        <f t="shared" si="19"/>
        <v>419.10681908829173</v>
      </c>
      <c r="E96" s="1">
        <v>0.01</v>
      </c>
      <c r="F96" s="1">
        <v>0.05</v>
      </c>
      <c r="G96" s="1">
        <v>0.1</v>
      </c>
      <c r="H96" s="1">
        <v>9.81</v>
      </c>
      <c r="I96" s="1">
        <v>2650</v>
      </c>
      <c r="J96" s="1">
        <v>1000</v>
      </c>
      <c r="K96" s="1">
        <v>1.65</v>
      </c>
      <c r="L96" s="1">
        <v>6.5</v>
      </c>
      <c r="M96" s="1">
        <v>2.5</v>
      </c>
      <c r="N96" s="6">
        <v>9.9999999999999995E-7</v>
      </c>
      <c r="O96" s="1">
        <f t="shared" si="15"/>
        <v>10.219153288461655</v>
      </c>
      <c r="P96" s="1">
        <f t="shared" si="16"/>
        <v>12.259823035582844</v>
      </c>
      <c r="Q96" s="1">
        <f t="shared" si="17"/>
        <v>11.693245319798919</v>
      </c>
      <c r="R96" s="1">
        <v>125.17909999999999</v>
      </c>
      <c r="S96" s="1" t="e">
        <f t="shared" si="18"/>
        <v>#N/A</v>
      </c>
      <c r="T96" s="1" t="e">
        <v>#N/A</v>
      </c>
    </row>
    <row r="97" spans="1:57" x14ac:dyDescent="0.35">
      <c r="A97" s="1">
        <v>500428.57140000002</v>
      </c>
      <c r="B97" s="1">
        <v>5999997.0760000004</v>
      </c>
      <c r="C97" s="1">
        <v>139.234638858198</v>
      </c>
      <c r="D97" s="1">
        <f t="shared" si="19"/>
        <v>429.31829306662286</v>
      </c>
      <c r="E97" s="1">
        <v>0.01</v>
      </c>
      <c r="F97" s="1">
        <v>0.05</v>
      </c>
      <c r="G97" s="1">
        <v>0.1</v>
      </c>
      <c r="H97" s="1">
        <v>9.81</v>
      </c>
      <c r="I97" s="1">
        <v>2650</v>
      </c>
      <c r="J97" s="1">
        <v>1000</v>
      </c>
      <c r="K97" s="1">
        <v>1.65</v>
      </c>
      <c r="L97" s="1">
        <v>6.5</v>
      </c>
      <c r="M97" s="1">
        <v>2.5</v>
      </c>
      <c r="N97" s="6">
        <v>9.9999999999999995E-7</v>
      </c>
      <c r="O97" s="1">
        <f t="shared" si="15"/>
        <v>10.213570502749036</v>
      </c>
      <c r="P97" s="1">
        <f t="shared" si="16"/>
        <v>10.221862151517284</v>
      </c>
      <c r="Q97" s="1">
        <f t="shared" si="17"/>
        <v>11.240842593550063</v>
      </c>
      <c r="R97" s="1">
        <v>125.17909999999999</v>
      </c>
      <c r="S97" s="1" t="e">
        <f t="shared" si="18"/>
        <v>#N/A</v>
      </c>
      <c r="T97" s="1" t="e">
        <v>#N/A</v>
      </c>
    </row>
    <row r="98" spans="1:57" x14ac:dyDescent="0.35">
      <c r="A98" s="1">
        <v>500438.77549999999</v>
      </c>
      <c r="B98" s="1">
        <v>5999996.5899999999</v>
      </c>
      <c r="C98" s="1">
        <v>139.590466112179</v>
      </c>
      <c r="D98" s="1">
        <f t="shared" si="19"/>
        <v>439.5339600937898</v>
      </c>
      <c r="E98" s="1">
        <v>0.01</v>
      </c>
      <c r="F98" s="1">
        <v>0.05</v>
      </c>
      <c r="G98" s="1">
        <v>0.1</v>
      </c>
      <c r="H98" s="1">
        <v>9.81</v>
      </c>
      <c r="I98" s="1">
        <v>2650</v>
      </c>
      <c r="J98" s="1">
        <v>1000</v>
      </c>
      <c r="K98" s="1">
        <v>1.65</v>
      </c>
      <c r="L98" s="1">
        <v>6.5</v>
      </c>
      <c r="M98" s="1">
        <v>2.5</v>
      </c>
      <c r="N98" s="6">
        <v>9.9999999999999995E-7</v>
      </c>
      <c r="O98" s="1">
        <f t="shared" si="15"/>
        <v>10.227678867958247</v>
      </c>
      <c r="P98" s="1">
        <f t="shared" si="16"/>
        <v>10.247073843648518</v>
      </c>
      <c r="Q98" s="1">
        <f t="shared" si="17"/>
        <v>10.2344679975829</v>
      </c>
      <c r="R98" s="1">
        <v>125.17909999999999</v>
      </c>
      <c r="S98" s="1" t="e">
        <f t="shared" si="18"/>
        <v>#N/A</v>
      </c>
      <c r="T98" s="1" t="e">
        <v>#N/A</v>
      </c>
    </row>
    <row r="99" spans="1:57" x14ac:dyDescent="0.35">
      <c r="A99" s="1">
        <v>500448.97960000002</v>
      </c>
      <c r="B99" s="1">
        <v>5999995.7369999997</v>
      </c>
      <c r="C99" s="1">
        <v>139.20154896633201</v>
      </c>
      <c r="D99" s="1">
        <f t="shared" si="19"/>
        <v>449.77365080253935</v>
      </c>
      <c r="E99" s="1">
        <v>0.01</v>
      </c>
      <c r="F99" s="1">
        <v>0.05</v>
      </c>
      <c r="G99" s="1">
        <v>0.1</v>
      </c>
      <c r="H99" s="1">
        <v>9.81</v>
      </c>
      <c r="I99" s="1">
        <v>2650</v>
      </c>
      <c r="J99" s="1">
        <v>1000</v>
      </c>
      <c r="K99" s="1">
        <v>1.65</v>
      </c>
      <c r="L99" s="1">
        <v>6.5</v>
      </c>
      <c r="M99" s="1">
        <v>2.5</v>
      </c>
      <c r="N99" s="6">
        <v>9.9999999999999995E-7</v>
      </c>
      <c r="O99" s="1">
        <f t="shared" si="15"/>
        <v>10.226507982984828</v>
      </c>
      <c r="P99" s="1">
        <f t="shared" si="16"/>
        <v>10.216402783069102</v>
      </c>
      <c r="Q99" s="1">
        <f t="shared" si="17"/>
        <v>10.231738313358811</v>
      </c>
      <c r="R99" s="1">
        <v>125.17909999999999</v>
      </c>
      <c r="S99" s="1" t="e">
        <f t="shared" si="18"/>
        <v>#N/A</v>
      </c>
      <c r="T99" s="1" t="e">
        <v>#N/A</v>
      </c>
    </row>
    <row r="100" spans="1:57" x14ac:dyDescent="0.35">
      <c r="A100" s="1">
        <v>500459.18369999999</v>
      </c>
      <c r="B100" s="1">
        <v>5999996.1710000001</v>
      </c>
      <c r="C100" s="1">
        <v>138.95080404388699</v>
      </c>
      <c r="D100" s="1">
        <f t="shared" si="19"/>
        <v>459.98697605975946</v>
      </c>
      <c r="E100" s="1">
        <v>0.01</v>
      </c>
      <c r="F100" s="1">
        <v>0.05</v>
      </c>
      <c r="G100" s="1">
        <v>0.1</v>
      </c>
      <c r="H100" s="1">
        <v>9.81</v>
      </c>
      <c r="I100" s="1">
        <v>2650</v>
      </c>
      <c r="J100" s="1">
        <v>1000</v>
      </c>
      <c r="K100" s="1">
        <v>1.65</v>
      </c>
      <c r="L100" s="1">
        <v>6.5</v>
      </c>
      <c r="M100" s="1">
        <v>2.5</v>
      </c>
      <c r="N100" s="6">
        <v>9.9999999999999995E-7</v>
      </c>
      <c r="O100" s="1">
        <f t="shared" si="15"/>
        <v>10.228563101333435</v>
      </c>
      <c r="P100" s="1">
        <f t="shared" si="16"/>
        <v>10.24381622597874</v>
      </c>
      <c r="Q100" s="1">
        <f t="shared" si="17"/>
        <v>10.23010950452392</v>
      </c>
      <c r="R100" s="1">
        <v>125.17909999999999</v>
      </c>
      <c r="S100" s="1" t="e">
        <f t="shared" si="18"/>
        <v>#N/A</v>
      </c>
      <c r="T100" s="1" t="e">
        <v>#N/A</v>
      </c>
    </row>
    <row r="101" spans="1:57" x14ac:dyDescent="0.35">
      <c r="A101" s="1">
        <v>500469.38780000003</v>
      </c>
      <c r="B101" s="1">
        <v>5999997.0719999997</v>
      </c>
      <c r="C101" s="1">
        <v>138.933110494517</v>
      </c>
      <c r="D101" s="1">
        <f t="shared" si="19"/>
        <v>470.23077700520622</v>
      </c>
      <c r="E101" s="1">
        <v>0.01</v>
      </c>
      <c r="F101" s="1">
        <v>0.05</v>
      </c>
      <c r="G101" s="1">
        <v>0.1</v>
      </c>
      <c r="H101" s="1">
        <v>9.81</v>
      </c>
      <c r="I101" s="1">
        <v>2650</v>
      </c>
      <c r="J101" s="1">
        <v>1000</v>
      </c>
      <c r="K101" s="1">
        <v>1.65</v>
      </c>
      <c r="L101" s="1">
        <v>6.5</v>
      </c>
      <c r="M101" s="1">
        <v>2.5</v>
      </c>
      <c r="N101" s="6">
        <v>9.9999999999999995E-7</v>
      </c>
      <c r="O101" s="1">
        <f t="shared" si="15"/>
        <v>10.235585469869676</v>
      </c>
      <c r="P101" s="1">
        <f t="shared" si="16"/>
        <v>14.038699271405504</v>
      </c>
      <c r="Q101" s="1">
        <f t="shared" si="17"/>
        <v>12.141257748692123</v>
      </c>
      <c r="R101" s="1">
        <v>125.17909999999999</v>
      </c>
      <c r="S101" s="1" t="e">
        <f t="shared" si="18"/>
        <v>#N/A</v>
      </c>
      <c r="T101" s="1" t="e">
        <v>#N/A</v>
      </c>
    </row>
    <row r="102" spans="1:57" x14ac:dyDescent="0.35">
      <c r="A102" s="1">
        <v>500479.59179999999</v>
      </c>
      <c r="B102" s="1">
        <v>5999997.7630000003</v>
      </c>
      <c r="C102" s="1">
        <v>148.55007364474301</v>
      </c>
      <c r="D102" s="1">
        <f t="shared" si="19"/>
        <v>480.45814699949881</v>
      </c>
      <c r="E102" s="1">
        <v>0.01</v>
      </c>
      <c r="F102" s="1">
        <v>0.05</v>
      </c>
      <c r="G102" s="1">
        <v>0.1</v>
      </c>
      <c r="H102" s="1">
        <v>9.81</v>
      </c>
      <c r="I102" s="1">
        <v>2650</v>
      </c>
      <c r="J102" s="1">
        <v>1000</v>
      </c>
      <c r="K102" s="1">
        <v>1.65</v>
      </c>
      <c r="L102" s="1">
        <v>6.5</v>
      </c>
      <c r="M102" s="1">
        <v>2.5</v>
      </c>
      <c r="N102" s="6">
        <v>9.9999999999999995E-7</v>
      </c>
      <c r="O102" s="1">
        <f t="shared" si="15"/>
        <v>10.217030880251457</v>
      </c>
      <c r="P102" s="1">
        <f t="shared" si="16"/>
        <v>10.496604105828091</v>
      </c>
      <c r="Q102" s="1">
        <f t="shared" si="17"/>
        <v>12.267651688616798</v>
      </c>
      <c r="R102" s="1">
        <v>125.17909999999999</v>
      </c>
      <c r="S102" s="1" t="e">
        <f t="shared" si="18"/>
        <v>#N/A</v>
      </c>
      <c r="T102" s="1" t="e">
        <v>#N/A</v>
      </c>
    </row>
    <row r="103" spans="1:57" x14ac:dyDescent="0.35">
      <c r="A103" s="1">
        <v>500489.79590000003</v>
      </c>
      <c r="B103" s="1">
        <v>5999997.9929999998</v>
      </c>
      <c r="C103" s="1">
        <v>146.10014692256101</v>
      </c>
      <c r="D103" s="1">
        <f t="shared" si="19"/>
        <v>490.66483876570913</v>
      </c>
      <c r="E103" s="1">
        <v>0.01</v>
      </c>
      <c r="F103" s="1">
        <v>0.05</v>
      </c>
      <c r="G103" s="1">
        <v>0.1</v>
      </c>
      <c r="H103" s="1">
        <v>9.81</v>
      </c>
      <c r="I103" s="1">
        <v>2650</v>
      </c>
      <c r="J103" s="1">
        <v>1000</v>
      </c>
      <c r="K103" s="1">
        <v>1.65</v>
      </c>
      <c r="L103" s="1">
        <v>6.5</v>
      </c>
      <c r="M103" s="1">
        <v>2.5</v>
      </c>
      <c r="N103" s="6">
        <v>9.9999999999999995E-7</v>
      </c>
      <c r="O103" s="1">
        <f t="shared" si="15"/>
        <v>10.209902888805345</v>
      </c>
      <c r="P103" s="1">
        <f t="shared" si="16"/>
        <v>10.652346301971106</v>
      </c>
      <c r="Q103" s="1">
        <f t="shared" si="17"/>
        <v>10.574475203899599</v>
      </c>
      <c r="R103" s="1">
        <v>125.17909999999999</v>
      </c>
      <c r="S103" s="1" t="e">
        <f t="shared" si="18"/>
        <v>#N/A</v>
      </c>
      <c r="T103" s="1" t="e">
        <v>#N/A</v>
      </c>
    </row>
    <row r="104" spans="1:57" x14ac:dyDescent="0.35">
      <c r="A104" s="1">
        <v>500500</v>
      </c>
      <c r="B104" s="1">
        <v>5999998.4220000003</v>
      </c>
      <c r="C104" s="1">
        <v>149.127486336511</v>
      </c>
      <c r="D104" s="1">
        <f t="shared" si="19"/>
        <v>500.8779527771095</v>
      </c>
      <c r="E104" s="1">
        <v>0.01</v>
      </c>
      <c r="F104" s="1">
        <v>0.05</v>
      </c>
      <c r="G104" s="1">
        <v>0.1</v>
      </c>
      <c r="H104" s="1">
        <v>9.81</v>
      </c>
      <c r="I104" s="1">
        <v>2650</v>
      </c>
      <c r="J104" s="1">
        <v>1000</v>
      </c>
      <c r="K104" s="1">
        <v>1.65</v>
      </c>
      <c r="L104" s="1">
        <v>6.5</v>
      </c>
      <c r="M104" s="1">
        <v>2.5</v>
      </c>
      <c r="N104" s="6">
        <v>9.9999999999999995E-7</v>
      </c>
      <c r="O104" s="1">
        <f xml:space="preserve"> (D104 - D103) / 2</f>
        <v>5.1065570057001821</v>
      </c>
    </row>
    <row r="106" spans="1:57" x14ac:dyDescent="0.35">
      <c r="A106" s="1" t="s">
        <v>0</v>
      </c>
      <c r="B106" s="1" t="s">
        <v>1</v>
      </c>
      <c r="C106" s="1" t="s">
        <v>2</v>
      </c>
      <c r="D106" s="1" t="s">
        <v>18</v>
      </c>
      <c r="E106" s="1" t="s">
        <v>67</v>
      </c>
      <c r="F106" s="1" t="s">
        <v>66</v>
      </c>
      <c r="G106" s="1" t="s">
        <v>65</v>
      </c>
      <c r="H106" s="1" t="s">
        <v>64</v>
      </c>
      <c r="I106" s="1" t="s">
        <v>63</v>
      </c>
      <c r="J106" s="1" t="s">
        <v>62</v>
      </c>
      <c r="K106" s="1" t="s">
        <v>61</v>
      </c>
      <c r="L106" s="1" t="s">
        <v>60</v>
      </c>
      <c r="M106" s="1" t="s">
        <v>59</v>
      </c>
      <c r="N106" s="1" t="s">
        <v>58</v>
      </c>
      <c r="O106" s="1" t="s">
        <v>57</v>
      </c>
      <c r="P106" s="1" t="s">
        <v>56</v>
      </c>
      <c r="Q106" s="1" t="s">
        <v>55</v>
      </c>
      <c r="R106" s="1" t="s">
        <v>54</v>
      </c>
      <c r="S106" s="1" t="s">
        <v>16</v>
      </c>
      <c r="T106" s="1" t="s">
        <v>53</v>
      </c>
      <c r="U106" s="10" t="s">
        <v>52</v>
      </c>
      <c r="V106" s="10" t="s">
        <v>51</v>
      </c>
      <c r="W106" s="10" t="s">
        <v>50</v>
      </c>
      <c r="X106" s="10" t="s">
        <v>49</v>
      </c>
      <c r="Y106" s="1" t="s">
        <v>48</v>
      </c>
      <c r="Z106" s="1" t="s">
        <v>47</v>
      </c>
      <c r="AA106" s="1" t="s">
        <v>46</v>
      </c>
      <c r="AB106" s="1" t="s">
        <v>45</v>
      </c>
      <c r="AC106" s="1" t="s">
        <v>44</v>
      </c>
      <c r="AD106" s="1" t="s">
        <v>43</v>
      </c>
      <c r="AE106" s="1" t="s">
        <v>42</v>
      </c>
      <c r="AF106" s="1" t="s">
        <v>41</v>
      </c>
      <c r="AG106" s="1" t="s">
        <v>40</v>
      </c>
      <c r="AH106" s="1" t="s">
        <v>39</v>
      </c>
      <c r="AI106" s="1" t="s">
        <v>38</v>
      </c>
      <c r="AJ106" s="1" t="s">
        <v>37</v>
      </c>
      <c r="AK106" s="1" t="s">
        <v>36</v>
      </c>
      <c r="AL106" s="1" t="s">
        <v>35</v>
      </c>
      <c r="AM106" s="1" t="s">
        <v>34</v>
      </c>
      <c r="AN106" s="1" t="s">
        <v>34</v>
      </c>
      <c r="AO106" s="7" t="s">
        <v>33</v>
      </c>
      <c r="AP106" s="7" t="s">
        <v>32</v>
      </c>
      <c r="AQ106" s="7" t="s">
        <v>31</v>
      </c>
      <c r="AR106" s="7" t="s">
        <v>30</v>
      </c>
      <c r="AS106" s="7" t="s">
        <v>29</v>
      </c>
      <c r="AT106" s="7" t="s">
        <v>28</v>
      </c>
      <c r="AU106" s="7" t="s">
        <v>27</v>
      </c>
      <c r="AV106" s="7" t="s">
        <v>27</v>
      </c>
      <c r="AW106" s="1" t="s">
        <v>26</v>
      </c>
      <c r="AX106" s="1" t="s">
        <v>25</v>
      </c>
      <c r="AY106" s="1" t="s">
        <v>24</v>
      </c>
      <c r="AZ106" s="1" t="s">
        <v>23</v>
      </c>
      <c r="BA106" s="1" t="s">
        <v>22</v>
      </c>
      <c r="BB106" s="1" t="s">
        <v>21</v>
      </c>
      <c r="BC106" s="1" t="s">
        <v>20</v>
      </c>
      <c r="BD106" s="1" t="s">
        <v>20</v>
      </c>
      <c r="BE106" s="1" t="s">
        <v>19</v>
      </c>
    </row>
    <row r="107" spans="1:57" x14ac:dyDescent="0.35">
      <c r="A107" s="1">
        <v>500000</v>
      </c>
      <c r="B107" s="1">
        <v>5999999.0959999999</v>
      </c>
      <c r="C107" s="1">
        <v>146.95665459614199</v>
      </c>
      <c r="D107" s="1">
        <v>0</v>
      </c>
      <c r="E107" s="1">
        <v>0.01</v>
      </c>
      <c r="F107" s="1">
        <v>0.05</v>
      </c>
      <c r="G107" s="1">
        <v>0.1</v>
      </c>
      <c r="H107" s="1">
        <v>9.81</v>
      </c>
      <c r="I107" s="1">
        <v>2650</v>
      </c>
      <c r="J107" s="1">
        <v>1000</v>
      </c>
      <c r="K107" s="1">
        <v>1.65</v>
      </c>
      <c r="L107" s="1">
        <v>6.5</v>
      </c>
      <c r="M107" s="1">
        <v>2.5</v>
      </c>
      <c r="N107" s="6">
        <v>9.9999999999999995E-7</v>
      </c>
      <c r="O107" s="1">
        <f xml:space="preserve"> (D108 - D107) / 2</f>
        <v>5.1061868798967165</v>
      </c>
      <c r="P107" s="1">
        <f t="shared" ref="P107:P138" si="20">SQRT((D108 - D107)^2 + (C108 - C107)^2)</f>
        <v>12.612081347143071</v>
      </c>
      <c r="Q107" s="1">
        <f t="shared" ref="Q107:Q138" si="21">IF(ROW()=107, P107/2, (P107 + P106)/2)</f>
        <v>6.3060406735715357</v>
      </c>
      <c r="R107" s="1">
        <v>125.22909999999999</v>
      </c>
      <c r="S107" s="1" t="e">
        <f t="shared" ref="S107:S138" si="22">IF(R107 - C107 &lt; 0, NA(), R107 - C107)</f>
        <v>#N/A</v>
      </c>
      <c r="T107" s="1" t="e">
        <v>#N/A</v>
      </c>
      <c r="U107" s="10" cm="1">
        <f t="array" ref="U107">SUMPRODUCT(IF(ISNA(T107:T156), 0, T107:T156), IF(ISNA(O107:O156), 0, O107:O156))</f>
        <v>2.0438310782085938</v>
      </c>
      <c r="V107" s="10">
        <f>SUMIF(S107:S156, "&gt;0", O107:O156)</f>
        <v>10.221049857319429</v>
      </c>
      <c r="W107" s="10">
        <f>SUMIF(S107:S156, "&gt;0", Q107:Q156)</f>
        <v>10.577000852837193</v>
      </c>
      <c r="X107" s="10">
        <f>U107/W107</f>
        <v>0.19323351738790426</v>
      </c>
      <c r="Y107" s="1">
        <f xml:space="preserve"> (6.5 * 2.5 * (X107 / G107)) / SQRT(6.5^2 + 2.5^2 * (X107 / G107)^(5/3))</f>
        <v>4.02086635215404</v>
      </c>
      <c r="Z107" s="1">
        <f>Y107*SQRT(X107*H107*E107)</f>
        <v>0.55359909484716763</v>
      </c>
      <c r="AA107" s="1">
        <f>J107*H107*X107*E107</f>
        <v>18.956208055753407</v>
      </c>
      <c r="AB107" s="1">
        <f>(AA107 / (9.81 * 1000 *1.65 * F107))</f>
        <v>2.3422244531867181E-2</v>
      </c>
      <c r="AC107" s="9">
        <f xml:space="preserve"> F107 * (K107 * H107 / (N107)^2)^(1/3)</f>
        <v>1264.7974700106745</v>
      </c>
      <c r="AD107" s="1">
        <f xml:space="preserve"> 0.3 / (1 + 1.2 * AC107) + 0.055 * (1 - EXP(-0.02 * AC107))</f>
        <v>5.5197529957883754E-2</v>
      </c>
      <c r="AE107" s="1">
        <f>IF(AC107 &lt;= 4, 0.24 * AC107^-1, IF(AC107 &gt; 4, IF(AC107 &lt;= 10, 0.14 * AC107^-0.64, IF(AC107 &lt;= 20, 0.04 * AC107^-0.1, IF(AC107 &lt;= 150, 0.013 * AC107^0.29, 0.056)))))</f>
        <v>5.6000000000000001E-2</v>
      </c>
      <c r="AF107" s="1">
        <f>AB107/AD107-1</f>
        <v>-0.57566498809387712</v>
      </c>
      <c r="AG107" s="1">
        <f xml:space="preserve"> 2.45 * SQRT(AD107) / (K107 + 1)^0.4</f>
        <v>0.38978718496890047</v>
      </c>
      <c r="AH107" s="1">
        <f>SQRT(2/3 + 36 / AC107^3) - SQRT(36 / AC107^3)</f>
        <v>0.81636320289979147</v>
      </c>
      <c r="AI107" s="1">
        <f>AA107* Z107 / (J107 * (H107* K107 * F107)^(3/2))</f>
        <v>1.4413266081574581E-2</v>
      </c>
      <c r="AJ107" s="1">
        <f>AD107* K107 * F107 / E107</f>
        <v>0.45537962215254096</v>
      </c>
      <c r="AK107" s="1">
        <f>Y107 * AD107^(3/2)</f>
        <v>5.2143370939871918E-2</v>
      </c>
      <c r="AL107" s="1">
        <f>(0.92 - 0.25 * SQRT(AK107 / AI107))^9</f>
        <v>6.7728340135578074E-4</v>
      </c>
      <c r="AM107" s="1">
        <v>5.2759527000000001E-2</v>
      </c>
      <c r="AN107" s="1">
        <v>4.7434165E-2</v>
      </c>
      <c r="AO107" s="7">
        <f>IF(AB107 &gt; 0.047, 8 * (AB107 - 0.047)^(3/2), 0)</f>
        <v>0</v>
      </c>
      <c r="AP107" s="7">
        <f>IF(AB107&gt; 0.047, 4 * (AB107 - 0.047)^(3/2), 0)</f>
        <v>0</v>
      </c>
      <c r="AQ107" s="7" t="e">
        <f xml:space="preserve"> (0.053 / AC107^(0.3)) * ((AB107 / AE107) - 1)^2.1</f>
        <v>#NUM!</v>
      </c>
      <c r="AR107" s="7">
        <f xml:space="preserve"> IF(AB107 &gt; AD107, 0.635 * AF107 * SQRT(AB107) * (1 - (1 / (AG107*AF107)) * LOG(1 + AF107*AG107)), 0)</f>
        <v>0</v>
      </c>
      <c r="AS107" s="8">
        <f>IF(AB107&gt;= 0.19, 40 * AH107 * AB107^3, (AH107 * EXP(-0.391 / AB107)) / 0.465)</f>
        <v>9.8746435049513277E-8</v>
      </c>
      <c r="AT107" s="7">
        <f>AL107* AI107</f>
        <v>9.7618658763747375E-6</v>
      </c>
      <c r="AU107" s="7">
        <f>14 * AB107^2.5 / (1 + (AM107/AB107)^4)</f>
        <v>4.3950108375872083E-5</v>
      </c>
      <c r="AV107" s="7">
        <f>14*AB107^2.5/(1+(AN107/AB107)^4)</f>
        <v>6.5958080865100214E-5</v>
      </c>
      <c r="AW107" s="1">
        <f>AO107*SQRT(1.65*9.81*F107^3)</f>
        <v>0</v>
      </c>
      <c r="AX107" s="1">
        <f>AP107*SQRT(1.65*9.81*F107^3)</f>
        <v>0</v>
      </c>
      <c r="AY107" s="1" t="e">
        <f>AQ107*SQRT(1.65*9.81*F107^3)</f>
        <v>#NUM!</v>
      </c>
      <c r="AZ107" s="1">
        <f>AR107*SQRT(1.65*9.81*F107^3)</f>
        <v>0</v>
      </c>
      <c r="BA107" s="1">
        <f>AS107*SQRT(1.65*9.81*F107^3)</f>
        <v>4.4417376956818534E-9</v>
      </c>
      <c r="BB107" s="1">
        <f>AT107*SQRT(1.65*9.81*F107^3)</f>
        <v>4.3910089130349589E-7</v>
      </c>
      <c r="BC107" s="1">
        <f>AU107*SQRT(1.65*9.81*G107^3)</f>
        <v>5.5916042477012101E-6</v>
      </c>
      <c r="BD107" s="1">
        <f>AV107*SQRT(1.65*9.81*G107^3)</f>
        <v>8.3915944411637898E-6</v>
      </c>
      <c r="BE107" s="1">
        <f>U107*Z107</f>
        <v>1.1314630349167882</v>
      </c>
    </row>
    <row r="108" spans="1:57" x14ac:dyDescent="0.35">
      <c r="A108" s="1">
        <v>500010.20409999997</v>
      </c>
      <c r="B108" s="1">
        <v>5999998.6849999996</v>
      </c>
      <c r="C108" s="1">
        <v>154.35746658519</v>
      </c>
      <c r="D108" s="1">
        <f t="shared" ref="D108:D139" si="23">D107 + SQRT((A108 - A107)^2 + (B108 - B107)^2)</f>
        <v>10.212373759793433</v>
      </c>
      <c r="E108" s="1">
        <v>0.01</v>
      </c>
      <c r="F108" s="1">
        <v>0.05</v>
      </c>
      <c r="G108" s="1">
        <v>0.1</v>
      </c>
      <c r="H108" s="1">
        <v>9.81</v>
      </c>
      <c r="I108" s="1">
        <v>2650</v>
      </c>
      <c r="J108" s="1">
        <v>1000</v>
      </c>
      <c r="K108" s="1">
        <v>1.65</v>
      </c>
      <c r="L108" s="1">
        <v>6.5</v>
      </c>
      <c r="M108" s="1">
        <v>2.5</v>
      </c>
      <c r="N108" s="6">
        <v>9.9999999999999995E-7</v>
      </c>
      <c r="O108" s="1">
        <f t="shared" ref="O108:O155" si="24" xml:space="preserve"> (D109 - D108 + D108 - D107) / 2</f>
        <v>10.212934886473896</v>
      </c>
      <c r="P108" s="1">
        <f t="shared" si="20"/>
        <v>10.748393624242958</v>
      </c>
      <c r="Q108" s="1">
        <f t="shared" si="21"/>
        <v>11.680237485693015</v>
      </c>
      <c r="R108" s="1">
        <v>125.22909999999999</v>
      </c>
      <c r="S108" s="1" t="e">
        <f t="shared" si="22"/>
        <v>#N/A</v>
      </c>
      <c r="T108" s="1" t="e">
        <v>#N/A</v>
      </c>
      <c r="AO108" s="7"/>
      <c r="AP108" s="7"/>
      <c r="AQ108" s="7"/>
      <c r="AR108" s="7"/>
      <c r="AS108" s="7"/>
      <c r="AT108" s="7"/>
      <c r="AU108" s="7"/>
      <c r="AV108" s="7"/>
    </row>
    <row r="109" spans="1:57" x14ac:dyDescent="0.35">
      <c r="A109" s="1">
        <v>500020.40820000001</v>
      </c>
      <c r="B109" s="1">
        <v>5999999.1229999997</v>
      </c>
      <c r="C109" s="1">
        <v>151.008964727501</v>
      </c>
      <c r="D109" s="1">
        <f t="shared" si="23"/>
        <v>20.425869772947792</v>
      </c>
      <c r="E109" s="1">
        <v>0.01</v>
      </c>
      <c r="F109" s="1">
        <v>0.05</v>
      </c>
      <c r="G109" s="1">
        <v>0.1</v>
      </c>
      <c r="H109" s="1">
        <v>9.81</v>
      </c>
      <c r="I109" s="1">
        <v>2650</v>
      </c>
      <c r="J109" s="1">
        <v>1000</v>
      </c>
      <c r="K109" s="1">
        <v>1.65</v>
      </c>
      <c r="L109" s="1">
        <v>6.5</v>
      </c>
      <c r="M109" s="1">
        <v>2.5</v>
      </c>
      <c r="N109" s="6">
        <v>9.9999999999999995E-7</v>
      </c>
      <c r="O109" s="1">
        <f t="shared" si="24"/>
        <v>10.21125621009096</v>
      </c>
      <c r="P109" s="1">
        <f t="shared" si="20"/>
        <v>13.985433799960637</v>
      </c>
      <c r="Q109" s="1">
        <f t="shared" si="21"/>
        <v>12.366913712101798</v>
      </c>
      <c r="R109" s="1">
        <v>125.22909999999999</v>
      </c>
      <c r="S109" s="1" t="e">
        <f t="shared" si="22"/>
        <v>#N/A</v>
      </c>
      <c r="T109" s="1" t="e">
        <v>#N/A</v>
      </c>
    </row>
    <row r="110" spans="1:57" x14ac:dyDescent="0.35">
      <c r="A110" s="1">
        <v>500030.61219999997</v>
      </c>
      <c r="B110" s="1">
        <v>5999998.8030000003</v>
      </c>
      <c r="C110" s="1">
        <v>160.567643641144</v>
      </c>
      <c r="D110" s="1">
        <f t="shared" si="23"/>
        <v>30.634886179975354</v>
      </c>
      <c r="E110" s="1">
        <v>0.01</v>
      </c>
      <c r="F110" s="1">
        <v>0.05</v>
      </c>
      <c r="G110" s="1">
        <v>0.1</v>
      </c>
      <c r="H110" s="1">
        <v>9.81</v>
      </c>
      <c r="I110" s="1">
        <v>2650</v>
      </c>
      <c r="J110" s="1">
        <v>1000</v>
      </c>
      <c r="K110" s="1">
        <v>1.65</v>
      </c>
      <c r="L110" s="1">
        <v>6.5</v>
      </c>
      <c r="M110" s="1">
        <v>2.5</v>
      </c>
      <c r="N110" s="6">
        <v>9.9999999999999995E-7</v>
      </c>
      <c r="O110" s="1">
        <f t="shared" si="24"/>
        <v>10.214935822867286</v>
      </c>
      <c r="P110" s="1">
        <f t="shared" si="20"/>
        <v>10.224042445454263</v>
      </c>
      <c r="Q110" s="1">
        <f t="shared" si="21"/>
        <v>12.104738122707449</v>
      </c>
      <c r="R110" s="1">
        <v>125.22909999999999</v>
      </c>
      <c r="S110" s="1" t="e">
        <f t="shared" si="22"/>
        <v>#N/A</v>
      </c>
      <c r="T110" s="1" t="e">
        <v>#N/A</v>
      </c>
    </row>
    <row r="111" spans="1:57" x14ac:dyDescent="0.35">
      <c r="A111" s="1">
        <v>500040.81630000001</v>
      </c>
      <c r="B111" s="1">
        <v>5999998.2180000003</v>
      </c>
      <c r="C111" s="1">
        <v>160.82291235416201</v>
      </c>
      <c r="D111" s="1">
        <f t="shared" si="23"/>
        <v>40.855741418682364</v>
      </c>
      <c r="E111" s="1">
        <v>0.01</v>
      </c>
      <c r="F111" s="1">
        <v>0.05</v>
      </c>
      <c r="G111" s="1">
        <v>0.1</v>
      </c>
      <c r="H111" s="1">
        <v>9.81</v>
      </c>
      <c r="I111" s="1">
        <v>2650</v>
      </c>
      <c r="J111" s="1">
        <v>1000</v>
      </c>
      <c r="K111" s="1">
        <v>1.65</v>
      </c>
      <c r="L111" s="1">
        <v>6.5</v>
      </c>
      <c r="M111" s="1">
        <v>2.5</v>
      </c>
      <c r="N111" s="6">
        <v>9.9999999999999995E-7</v>
      </c>
      <c r="O111" s="1">
        <f t="shared" si="24"/>
        <v>10.231243785008825</v>
      </c>
      <c r="P111" s="1">
        <f t="shared" si="20"/>
        <v>10.333484931908488</v>
      </c>
      <c r="Q111" s="1">
        <f t="shared" si="21"/>
        <v>10.278763688681376</v>
      </c>
      <c r="R111" s="1">
        <v>125.22909999999999</v>
      </c>
      <c r="S111" s="1" t="e">
        <f t="shared" si="22"/>
        <v>#N/A</v>
      </c>
      <c r="T111" s="1" t="e">
        <v>#N/A</v>
      </c>
    </row>
    <row r="112" spans="1:57" x14ac:dyDescent="0.35">
      <c r="A112" s="1">
        <v>500051.02039999998</v>
      </c>
      <c r="B112" s="1">
        <v>5999997.3420000002</v>
      </c>
      <c r="C112" s="1">
        <v>159.448184007094</v>
      </c>
      <c r="D112" s="1">
        <f t="shared" si="23"/>
        <v>51.097373749993004</v>
      </c>
      <c r="E112" s="1">
        <v>0.01</v>
      </c>
      <c r="F112" s="1">
        <v>0.05</v>
      </c>
      <c r="G112" s="1">
        <v>0.1</v>
      </c>
      <c r="H112" s="1">
        <v>9.81</v>
      </c>
      <c r="I112" s="1">
        <v>2650</v>
      </c>
      <c r="J112" s="1">
        <v>1000</v>
      </c>
      <c r="K112" s="1">
        <v>1.65</v>
      </c>
      <c r="L112" s="1">
        <v>6.5</v>
      </c>
      <c r="M112" s="1">
        <v>2.5</v>
      </c>
      <c r="N112" s="6">
        <v>9.9999999999999995E-7</v>
      </c>
      <c r="O112" s="1">
        <f t="shared" si="24"/>
        <v>10.22297614478725</v>
      </c>
      <c r="P112" s="1">
        <f t="shared" si="20"/>
        <v>11.164078602095582</v>
      </c>
      <c r="Q112" s="1">
        <f t="shared" si="21"/>
        <v>10.748781767002036</v>
      </c>
      <c r="R112" s="1">
        <v>125.22909999999999</v>
      </c>
      <c r="S112" s="1" t="e">
        <f t="shared" si="22"/>
        <v>#N/A</v>
      </c>
      <c r="T112" s="1" t="e">
        <v>#N/A</v>
      </c>
    </row>
    <row r="113" spans="1:20" x14ac:dyDescent="0.35">
      <c r="A113" s="1">
        <v>500061.22450000001</v>
      </c>
      <c r="B113" s="1">
        <v>5999997.2750000004</v>
      </c>
      <c r="C113" s="1">
        <v>163.976815723534</v>
      </c>
      <c r="D113" s="1">
        <f t="shared" si="23"/>
        <v>61.301693708256863</v>
      </c>
      <c r="E113" s="1">
        <v>0.01</v>
      </c>
      <c r="F113" s="1">
        <v>0.05</v>
      </c>
      <c r="G113" s="1">
        <v>0.1</v>
      </c>
      <c r="H113" s="1">
        <v>9.81</v>
      </c>
      <c r="I113" s="1">
        <v>2650</v>
      </c>
      <c r="J113" s="1">
        <v>1000</v>
      </c>
      <c r="K113" s="1">
        <v>1.65</v>
      </c>
      <c r="L113" s="1">
        <v>6.5</v>
      </c>
      <c r="M113" s="1">
        <v>2.5</v>
      </c>
      <c r="N113" s="6">
        <v>9.9999999999999995E-7</v>
      </c>
      <c r="O113" s="1">
        <f t="shared" si="24"/>
        <v>10.209391538632293</v>
      </c>
      <c r="P113" s="1">
        <f t="shared" si="20"/>
        <v>11.034750060361873</v>
      </c>
      <c r="Q113" s="1">
        <f t="shared" si="21"/>
        <v>11.099414331228727</v>
      </c>
      <c r="R113" s="1">
        <v>125.22909999999999</v>
      </c>
      <c r="S113" s="1" t="e">
        <f t="shared" si="22"/>
        <v>#N/A</v>
      </c>
      <c r="T113" s="1" t="e">
        <v>#N/A</v>
      </c>
    </row>
    <row r="114" spans="1:20" x14ac:dyDescent="0.35">
      <c r="A114" s="1">
        <v>500071.42859999998</v>
      </c>
      <c r="B114" s="1">
        <v>5999996.8150000004</v>
      </c>
      <c r="C114" s="1">
        <v>168.15179501512699</v>
      </c>
      <c r="D114" s="1">
        <f t="shared" si="23"/>
        <v>71.516156827257589</v>
      </c>
      <c r="E114" s="1">
        <v>0.01</v>
      </c>
      <c r="F114" s="1">
        <v>0.05</v>
      </c>
      <c r="G114" s="1">
        <v>0.1</v>
      </c>
      <c r="H114" s="1">
        <v>9.81</v>
      </c>
      <c r="I114" s="1">
        <v>2650</v>
      </c>
      <c r="J114" s="1">
        <v>1000</v>
      </c>
      <c r="K114" s="1">
        <v>1.65</v>
      </c>
      <c r="L114" s="1">
        <v>6.5</v>
      </c>
      <c r="M114" s="1">
        <v>2.5</v>
      </c>
      <c r="N114" s="6">
        <v>9.9999999999999995E-7</v>
      </c>
      <c r="O114" s="1">
        <f t="shared" si="24"/>
        <v>10.229976351370027</v>
      </c>
      <c r="P114" s="1">
        <f t="shared" si="20"/>
        <v>11.687505241745082</v>
      </c>
      <c r="Q114" s="1">
        <f t="shared" si="21"/>
        <v>11.361127651053478</v>
      </c>
      <c r="R114" s="1">
        <v>125.22909999999999</v>
      </c>
      <c r="S114" s="1" t="e">
        <f t="shared" si="22"/>
        <v>#N/A</v>
      </c>
      <c r="T114" s="1" t="e">
        <v>#N/A</v>
      </c>
    </row>
    <row r="115" spans="1:20" x14ac:dyDescent="0.35">
      <c r="A115" s="1">
        <v>500081.63270000002</v>
      </c>
      <c r="B115" s="1">
        <v>5999997.7350000003</v>
      </c>
      <c r="C115" s="1">
        <v>162.52794206849799</v>
      </c>
      <c r="D115" s="1">
        <f t="shared" si="23"/>
        <v>81.761646410996917</v>
      </c>
      <c r="E115" s="1">
        <v>0.01</v>
      </c>
      <c r="F115" s="1">
        <v>0.05</v>
      </c>
      <c r="G115" s="1">
        <v>0.1</v>
      </c>
      <c r="H115" s="1">
        <v>9.81</v>
      </c>
      <c r="I115" s="1">
        <v>2650</v>
      </c>
      <c r="J115" s="1">
        <v>1000</v>
      </c>
      <c r="K115" s="1">
        <v>1.65</v>
      </c>
      <c r="L115" s="1">
        <v>6.5</v>
      </c>
      <c r="M115" s="1">
        <v>2.5</v>
      </c>
      <c r="N115" s="6">
        <v>9.9999999999999995E-7</v>
      </c>
      <c r="O115" s="1">
        <f t="shared" si="24"/>
        <v>10.224765396477437</v>
      </c>
      <c r="P115" s="1">
        <f t="shared" si="20"/>
        <v>11.652977208096294</v>
      </c>
      <c r="Q115" s="1">
        <f t="shared" si="21"/>
        <v>11.670241224920687</v>
      </c>
      <c r="R115" s="1">
        <v>125.22909999999999</v>
      </c>
      <c r="S115" s="1" t="e">
        <f t="shared" si="22"/>
        <v>#N/A</v>
      </c>
      <c r="T115" s="1" t="e">
        <v>#N/A</v>
      </c>
    </row>
    <row r="116" spans="1:20" x14ac:dyDescent="0.35">
      <c r="A116" s="1">
        <v>500091.83669999999</v>
      </c>
      <c r="B116" s="1">
        <v>5999997.7640000004</v>
      </c>
      <c r="C116" s="1">
        <v>168.15550111421601</v>
      </c>
      <c r="D116" s="1">
        <f t="shared" si="23"/>
        <v>91.965687620212464</v>
      </c>
      <c r="E116" s="1">
        <v>0.01</v>
      </c>
      <c r="F116" s="1">
        <v>0.05</v>
      </c>
      <c r="G116" s="1">
        <v>0.1</v>
      </c>
      <c r="H116" s="1">
        <v>9.81</v>
      </c>
      <c r="I116" s="1">
        <v>2650</v>
      </c>
      <c r="J116" s="1">
        <v>1000</v>
      </c>
      <c r="K116" s="1">
        <v>1.65</v>
      </c>
      <c r="L116" s="1">
        <v>6.5</v>
      </c>
      <c r="M116" s="1">
        <v>2.5</v>
      </c>
      <c r="N116" s="6">
        <v>9.9999999999999995E-7</v>
      </c>
      <c r="O116" s="1">
        <f t="shared" si="24"/>
        <v>10.204607223431253</v>
      </c>
      <c r="P116" s="1">
        <f t="shared" si="20"/>
        <v>10.499401533865951</v>
      </c>
      <c r="Q116" s="1">
        <f t="shared" si="21"/>
        <v>11.076189370981123</v>
      </c>
      <c r="R116" s="1">
        <v>125.22909999999999</v>
      </c>
      <c r="S116" s="1" t="e">
        <f t="shared" si="22"/>
        <v>#N/A</v>
      </c>
      <c r="T116" s="1" t="e">
        <v>#N/A</v>
      </c>
    </row>
    <row r="117" spans="1:20" x14ac:dyDescent="0.35">
      <c r="A117" s="1">
        <v>500102.04080000002</v>
      </c>
      <c r="B117" s="1">
        <v>5999997.9119999995</v>
      </c>
      <c r="C117" s="1">
        <v>170.62367285843499</v>
      </c>
      <c r="D117" s="1">
        <f t="shared" si="23"/>
        <v>102.17086085785942</v>
      </c>
      <c r="E117" s="1">
        <v>0.01</v>
      </c>
      <c r="F117" s="1">
        <v>0.05</v>
      </c>
      <c r="G117" s="1">
        <v>0.1</v>
      </c>
      <c r="H117" s="1">
        <v>9.81</v>
      </c>
      <c r="I117" s="1">
        <v>2650</v>
      </c>
      <c r="J117" s="1">
        <v>1000</v>
      </c>
      <c r="K117" s="1">
        <v>1.65</v>
      </c>
      <c r="L117" s="1">
        <v>6.5</v>
      </c>
      <c r="M117" s="1">
        <v>2.5</v>
      </c>
      <c r="N117" s="6">
        <v>9.9999999999999995E-7</v>
      </c>
      <c r="O117" s="1">
        <f t="shared" si="24"/>
        <v>10.21006882166494</v>
      </c>
      <c r="P117" s="1">
        <f t="shared" si="20"/>
        <v>10.948230205101877</v>
      </c>
      <c r="Q117" s="1">
        <f t="shared" si="21"/>
        <v>10.723815869483914</v>
      </c>
      <c r="R117" s="1">
        <v>125.22909999999999</v>
      </c>
      <c r="S117" s="1" t="e">
        <f t="shared" si="22"/>
        <v>#N/A</v>
      </c>
      <c r="T117" s="1" t="e">
        <v>#N/A</v>
      </c>
    </row>
    <row r="118" spans="1:20" x14ac:dyDescent="0.35">
      <c r="A118" s="1">
        <v>500112.24489999999</v>
      </c>
      <c r="B118" s="1">
        <v>5999997.4409999996</v>
      </c>
      <c r="C118" s="1">
        <v>174.56299346160199</v>
      </c>
      <c r="D118" s="1">
        <f t="shared" si="23"/>
        <v>112.38582526354234</v>
      </c>
      <c r="E118" s="1">
        <v>0.01</v>
      </c>
      <c r="F118" s="1">
        <v>0.05</v>
      </c>
      <c r="G118" s="1">
        <v>0.1</v>
      </c>
      <c r="H118" s="1">
        <v>9.81</v>
      </c>
      <c r="I118" s="1">
        <v>2650</v>
      </c>
      <c r="J118" s="1">
        <v>1000</v>
      </c>
      <c r="K118" s="1">
        <v>1.65</v>
      </c>
      <c r="L118" s="1">
        <v>6.5</v>
      </c>
      <c r="M118" s="1">
        <v>2.5</v>
      </c>
      <c r="N118" s="6">
        <v>9.9999999999999995E-7</v>
      </c>
      <c r="O118" s="1">
        <f t="shared" si="24"/>
        <v>10.211692861963954</v>
      </c>
      <c r="P118" s="1">
        <f t="shared" si="20"/>
        <v>13.530011313683339</v>
      </c>
      <c r="Q118" s="1">
        <f t="shared" si="21"/>
        <v>12.239120759392609</v>
      </c>
      <c r="R118" s="1">
        <v>125.22909999999999</v>
      </c>
      <c r="S118" s="1" t="e">
        <f t="shared" si="22"/>
        <v>#N/A</v>
      </c>
      <c r="T118" s="1" t="e">
        <v>#N/A</v>
      </c>
    </row>
    <row r="119" spans="1:20" x14ac:dyDescent="0.35">
      <c r="A119" s="1">
        <v>500122.44900000002</v>
      </c>
      <c r="B119" s="1">
        <v>5999997.7379999999</v>
      </c>
      <c r="C119" s="1">
        <v>165.68327835707299</v>
      </c>
      <c r="D119" s="1">
        <f t="shared" si="23"/>
        <v>122.59424658178733</v>
      </c>
      <c r="E119" s="1">
        <v>0.01</v>
      </c>
      <c r="F119" s="1">
        <v>0.05</v>
      </c>
      <c r="G119" s="1">
        <v>0.1</v>
      </c>
      <c r="H119" s="1">
        <v>9.81</v>
      </c>
      <c r="I119" s="1">
        <v>2650</v>
      </c>
      <c r="J119" s="1">
        <v>1000</v>
      </c>
      <c r="K119" s="1">
        <v>1.65</v>
      </c>
      <c r="L119" s="1">
        <v>6.5</v>
      </c>
      <c r="M119" s="1">
        <v>2.5</v>
      </c>
      <c r="N119" s="6">
        <v>9.9999999999999995E-7</v>
      </c>
      <c r="O119" s="1">
        <f t="shared" si="24"/>
        <v>10.212455607463802</v>
      </c>
      <c r="P119" s="1">
        <f t="shared" si="20"/>
        <v>12.917030195420445</v>
      </c>
      <c r="Q119" s="1">
        <f t="shared" si="21"/>
        <v>13.223520754551892</v>
      </c>
      <c r="R119" s="1">
        <v>125.22909999999999</v>
      </c>
      <c r="S119" s="1" t="e">
        <f t="shared" si="22"/>
        <v>#N/A</v>
      </c>
      <c r="T119" s="1" t="e">
        <v>#N/A</v>
      </c>
    </row>
    <row r="120" spans="1:20" x14ac:dyDescent="0.35">
      <c r="A120" s="1">
        <v>500132.6531</v>
      </c>
      <c r="B120" s="1">
        <v>5999997.2350000003</v>
      </c>
      <c r="C120" s="1">
        <v>173.58726489934301</v>
      </c>
      <c r="D120" s="1">
        <f t="shared" si="23"/>
        <v>132.81073647846995</v>
      </c>
      <c r="E120" s="1">
        <v>0.01</v>
      </c>
      <c r="F120" s="1">
        <v>0.05</v>
      </c>
      <c r="G120" s="1">
        <v>0.1</v>
      </c>
      <c r="H120" s="1">
        <v>9.81</v>
      </c>
      <c r="I120" s="1">
        <v>2650</v>
      </c>
      <c r="J120" s="1">
        <v>1000</v>
      </c>
      <c r="K120" s="1">
        <v>1.65</v>
      </c>
      <c r="L120" s="1">
        <v>6.5</v>
      </c>
      <c r="M120" s="1">
        <v>2.5</v>
      </c>
      <c r="N120" s="6">
        <v>9.9999999999999995E-7</v>
      </c>
      <c r="O120" s="1">
        <f t="shared" si="24"/>
        <v>10.225512676353247</v>
      </c>
      <c r="P120" s="1">
        <f t="shared" si="20"/>
        <v>13.492945518552009</v>
      </c>
      <c r="Q120" s="1">
        <f t="shared" si="21"/>
        <v>13.204987856986227</v>
      </c>
      <c r="R120" s="1">
        <v>125.22909999999999</v>
      </c>
      <c r="S120" s="1" t="e">
        <f t="shared" si="22"/>
        <v>#N/A</v>
      </c>
      <c r="T120" s="1" t="e">
        <v>#N/A</v>
      </c>
    </row>
    <row r="121" spans="1:20" x14ac:dyDescent="0.35">
      <c r="A121" s="1">
        <v>500142.85710000002</v>
      </c>
      <c r="B121" s="1">
        <v>5999996.4450000003</v>
      </c>
      <c r="C121" s="1">
        <v>164.79443470844299</v>
      </c>
      <c r="D121" s="1">
        <f t="shared" si="23"/>
        <v>143.04527193449383</v>
      </c>
      <c r="E121" s="1">
        <v>0.01</v>
      </c>
      <c r="F121" s="1">
        <v>0.05</v>
      </c>
      <c r="G121" s="1">
        <v>0.1</v>
      </c>
      <c r="H121" s="1">
        <v>9.81</v>
      </c>
      <c r="I121" s="1">
        <v>2650</v>
      </c>
      <c r="J121" s="1">
        <v>1000</v>
      </c>
      <c r="K121" s="1">
        <v>1.65</v>
      </c>
      <c r="L121" s="1">
        <v>6.5</v>
      </c>
      <c r="M121" s="1">
        <v>2.5</v>
      </c>
      <c r="N121" s="6">
        <v>9.9999999999999995E-7</v>
      </c>
      <c r="O121" s="1">
        <f t="shared" si="24"/>
        <v>10.219577641411078</v>
      </c>
      <c r="P121" s="1">
        <f t="shared" si="20"/>
        <v>10.57052865269438</v>
      </c>
      <c r="Q121" s="1">
        <f t="shared" si="21"/>
        <v>12.031737085623195</v>
      </c>
      <c r="R121" s="1">
        <v>125.22909999999999</v>
      </c>
      <c r="S121" s="1" t="e">
        <f t="shared" si="22"/>
        <v>#N/A</v>
      </c>
      <c r="T121" s="1" t="e">
        <v>#N/A</v>
      </c>
    </row>
    <row r="122" spans="1:20" x14ac:dyDescent="0.35">
      <c r="A122" s="1">
        <v>500153.0612</v>
      </c>
      <c r="B122" s="1">
        <v>5999996.5480000004</v>
      </c>
      <c r="C122" s="1">
        <v>167.55157275140499</v>
      </c>
      <c r="D122" s="1">
        <f t="shared" si="23"/>
        <v>153.2498917612921</v>
      </c>
      <c r="E122" s="1">
        <v>0.01</v>
      </c>
      <c r="F122" s="1">
        <v>0.05</v>
      </c>
      <c r="G122" s="1">
        <v>0.1</v>
      </c>
      <c r="H122" s="1">
        <v>9.81</v>
      </c>
      <c r="I122" s="1">
        <v>2650</v>
      </c>
      <c r="J122" s="1">
        <v>1000</v>
      </c>
      <c r="K122" s="1">
        <v>1.65</v>
      </c>
      <c r="L122" s="1">
        <v>6.5</v>
      </c>
      <c r="M122" s="1">
        <v>2.5</v>
      </c>
      <c r="N122" s="6">
        <v>9.9999999999999995E-7</v>
      </c>
      <c r="O122" s="1">
        <f t="shared" si="24"/>
        <v>10.204940921281036</v>
      </c>
      <c r="P122" s="1">
        <f t="shared" si="20"/>
        <v>10.682627590463349</v>
      </c>
      <c r="Q122" s="1">
        <f t="shared" si="21"/>
        <v>10.626578121578865</v>
      </c>
      <c r="R122" s="1">
        <v>125.22909999999999</v>
      </c>
      <c r="S122" s="1" t="e">
        <f t="shared" si="22"/>
        <v>#N/A</v>
      </c>
      <c r="T122" s="1" t="e">
        <v>#N/A</v>
      </c>
    </row>
    <row r="123" spans="1:20" x14ac:dyDescent="0.35">
      <c r="A123" s="1">
        <v>500163.26530000003</v>
      </c>
      <c r="B123" s="1">
        <v>5999996.7019999996</v>
      </c>
      <c r="C123" s="1">
        <v>164.39385847900201</v>
      </c>
      <c r="D123" s="1">
        <f t="shared" si="23"/>
        <v>163.4551537770559</v>
      </c>
      <c r="E123" s="1">
        <v>0.01</v>
      </c>
      <c r="F123" s="1">
        <v>0.05</v>
      </c>
      <c r="G123" s="1">
        <v>0.1</v>
      </c>
      <c r="H123" s="1">
        <v>9.81</v>
      </c>
      <c r="I123" s="1">
        <v>2650</v>
      </c>
      <c r="J123" s="1">
        <v>1000</v>
      </c>
      <c r="K123" s="1">
        <v>1.65</v>
      </c>
      <c r="L123" s="1">
        <v>6.5</v>
      </c>
      <c r="M123" s="1">
        <v>2.5</v>
      </c>
      <c r="N123" s="6">
        <v>9.9999999999999995E-7</v>
      </c>
      <c r="O123" s="1">
        <f t="shared" si="24"/>
        <v>10.213849082106762</v>
      </c>
      <c r="P123" s="1">
        <f t="shared" si="20"/>
        <v>11.026540308620518</v>
      </c>
      <c r="Q123" s="1">
        <f t="shared" si="21"/>
        <v>10.854583949541933</v>
      </c>
      <c r="R123" s="1">
        <v>125.22909999999999</v>
      </c>
      <c r="S123" s="1" t="e">
        <f t="shared" si="22"/>
        <v>#N/A</v>
      </c>
      <c r="T123" s="1" t="e">
        <v>#N/A</v>
      </c>
    </row>
    <row r="124" spans="1:20" x14ac:dyDescent="0.35">
      <c r="A124" s="1">
        <v>500173.4694</v>
      </c>
      <c r="B124" s="1">
        <v>5999996.0899999999</v>
      </c>
      <c r="C124" s="1">
        <v>168.52742719967199</v>
      </c>
      <c r="D124" s="1">
        <f t="shared" si="23"/>
        <v>173.67758992550563</v>
      </c>
      <c r="E124" s="1">
        <v>0.01</v>
      </c>
      <c r="F124" s="1">
        <v>0.05</v>
      </c>
      <c r="G124" s="1">
        <v>0.1</v>
      </c>
      <c r="H124" s="1">
        <v>9.81</v>
      </c>
      <c r="I124" s="1">
        <v>2650</v>
      </c>
      <c r="J124" s="1">
        <v>1000</v>
      </c>
      <c r="K124" s="1">
        <v>1.65</v>
      </c>
      <c r="L124" s="1">
        <v>6.5</v>
      </c>
      <c r="M124" s="1">
        <v>2.5</v>
      </c>
      <c r="N124" s="6">
        <v>9.9999999999999995E-7</v>
      </c>
      <c r="O124" s="1">
        <f t="shared" si="24"/>
        <v>10.214988293625822</v>
      </c>
      <c r="P124" s="1">
        <f t="shared" si="20"/>
        <v>10.632479456336906</v>
      </c>
      <c r="Q124" s="1">
        <f t="shared" si="21"/>
        <v>10.829509882478712</v>
      </c>
      <c r="R124" s="1">
        <v>125.22909999999999</v>
      </c>
      <c r="S124" s="1" t="e">
        <f t="shared" si="22"/>
        <v>#N/A</v>
      </c>
      <c r="T124" s="1" t="e">
        <v>#N/A</v>
      </c>
    </row>
    <row r="125" spans="1:20" x14ac:dyDescent="0.35">
      <c r="A125" s="1">
        <v>500183.67349999998</v>
      </c>
      <c r="B125" s="1">
        <v>5999996.3550000004</v>
      </c>
      <c r="C125" s="1">
        <v>165.55156806663999</v>
      </c>
      <c r="D125" s="1">
        <f t="shared" si="23"/>
        <v>183.88513036430754</v>
      </c>
      <c r="E125" s="1">
        <v>0.01</v>
      </c>
      <c r="F125" s="1">
        <v>0.05</v>
      </c>
      <c r="G125" s="1">
        <v>0.1</v>
      </c>
      <c r="H125" s="1">
        <v>9.81</v>
      </c>
      <c r="I125" s="1">
        <v>2650</v>
      </c>
      <c r="J125" s="1">
        <v>1000</v>
      </c>
      <c r="K125" s="1">
        <v>1.65</v>
      </c>
      <c r="L125" s="1">
        <v>6.5</v>
      </c>
      <c r="M125" s="1">
        <v>2.5</v>
      </c>
      <c r="N125" s="6">
        <v>9.9999999999999995E-7</v>
      </c>
      <c r="O125" s="1">
        <f t="shared" si="24"/>
        <v>10.210285318026777</v>
      </c>
      <c r="P125" s="1">
        <f t="shared" si="20"/>
        <v>10.217153370786205</v>
      </c>
      <c r="Q125" s="1">
        <f t="shared" si="21"/>
        <v>10.424816413561555</v>
      </c>
      <c r="R125" s="1">
        <v>125.22909999999999</v>
      </c>
      <c r="S125" s="1" t="e">
        <f t="shared" si="22"/>
        <v>#N/A</v>
      </c>
      <c r="T125" s="1" t="e">
        <v>#N/A</v>
      </c>
    </row>
    <row r="126" spans="1:20" x14ac:dyDescent="0.35">
      <c r="A126" s="1">
        <v>500193.87760000001</v>
      </c>
      <c r="B126" s="1">
        <v>5999996.7819999997</v>
      </c>
      <c r="C126" s="1">
        <v>165.84180450851801</v>
      </c>
      <c r="D126" s="1">
        <f t="shared" si="23"/>
        <v>194.09816056155918</v>
      </c>
      <c r="E126" s="1">
        <v>0.01</v>
      </c>
      <c r="F126" s="1">
        <v>0.05</v>
      </c>
      <c r="G126" s="1">
        <v>0.1</v>
      </c>
      <c r="H126" s="1">
        <v>9.81</v>
      </c>
      <c r="I126" s="1">
        <v>2650</v>
      </c>
      <c r="J126" s="1">
        <v>1000</v>
      </c>
      <c r="K126" s="1">
        <v>1.65</v>
      </c>
      <c r="L126" s="1">
        <v>6.5</v>
      </c>
      <c r="M126" s="1">
        <v>2.5</v>
      </c>
      <c r="N126" s="6">
        <v>9.9999999999999995E-7</v>
      </c>
      <c r="O126" s="1">
        <f t="shared" si="24"/>
        <v>10.225732250662787</v>
      </c>
      <c r="P126" s="1">
        <f t="shared" si="20"/>
        <v>11.805317568883225</v>
      </c>
      <c r="Q126" s="1">
        <f t="shared" si="21"/>
        <v>11.011235469834716</v>
      </c>
      <c r="R126" s="1">
        <v>125.22909999999999</v>
      </c>
      <c r="S126" s="1" t="e">
        <f t="shared" si="22"/>
        <v>#N/A</v>
      </c>
      <c r="T126" s="1" t="e">
        <v>#N/A</v>
      </c>
    </row>
    <row r="127" spans="1:20" x14ac:dyDescent="0.35">
      <c r="A127" s="1">
        <v>500204.08159999998</v>
      </c>
      <c r="B127" s="1">
        <v>5999995.943</v>
      </c>
      <c r="C127" s="1">
        <v>159.96473160584401</v>
      </c>
      <c r="D127" s="1">
        <f t="shared" si="23"/>
        <v>204.33659486563312</v>
      </c>
      <c r="E127" s="1">
        <v>0.01</v>
      </c>
      <c r="F127" s="1">
        <v>0.05</v>
      </c>
      <c r="G127" s="1">
        <v>0.1</v>
      </c>
      <c r="H127" s="1">
        <v>9.81</v>
      </c>
      <c r="I127" s="1">
        <v>2650</v>
      </c>
      <c r="J127" s="1">
        <v>1000</v>
      </c>
      <c r="K127" s="1">
        <v>1.65</v>
      </c>
      <c r="L127" s="1">
        <v>6.5</v>
      </c>
      <c r="M127" s="1">
        <v>2.5</v>
      </c>
      <c r="N127" s="6">
        <v>9.9999999999999995E-7</v>
      </c>
      <c r="O127" s="1">
        <f t="shared" si="24"/>
        <v>10.222474465035148</v>
      </c>
      <c r="P127" s="1">
        <f t="shared" si="20"/>
        <v>10.510110351296964</v>
      </c>
      <c r="Q127" s="1">
        <f t="shared" si="21"/>
        <v>11.157713960090096</v>
      </c>
      <c r="R127" s="1">
        <v>125.22909999999999</v>
      </c>
      <c r="S127" s="1" t="e">
        <f t="shared" si="22"/>
        <v>#N/A</v>
      </c>
      <c r="T127" s="1" t="e">
        <v>#N/A</v>
      </c>
    </row>
    <row r="128" spans="1:20" x14ac:dyDescent="0.35">
      <c r="A128" s="1">
        <v>500214.28570000001</v>
      </c>
      <c r="B128" s="1">
        <v>5999995.7209999999</v>
      </c>
      <c r="C128" s="1">
        <v>162.47261493362501</v>
      </c>
      <c r="D128" s="1">
        <f t="shared" si="23"/>
        <v>214.54310949162948</v>
      </c>
      <c r="E128" s="1">
        <v>0.01</v>
      </c>
      <c r="F128" s="1">
        <v>0.05</v>
      </c>
      <c r="G128" s="1">
        <v>0.1</v>
      </c>
      <c r="H128" s="1">
        <v>9.81</v>
      </c>
      <c r="I128" s="1">
        <v>2650</v>
      </c>
      <c r="J128" s="1">
        <v>1000</v>
      </c>
      <c r="K128" s="1">
        <v>1.65</v>
      </c>
      <c r="L128" s="1">
        <v>6.5</v>
      </c>
      <c r="M128" s="1">
        <v>2.5</v>
      </c>
      <c r="N128" s="6">
        <v>9.9999999999999995E-7</v>
      </c>
      <c r="O128" s="1">
        <f t="shared" si="24"/>
        <v>10.209668499185454</v>
      </c>
      <c r="P128" s="1">
        <f t="shared" si="20"/>
        <v>13.932835838967597</v>
      </c>
      <c r="Q128" s="1">
        <f t="shared" si="21"/>
        <v>12.22147309513228</v>
      </c>
      <c r="R128" s="1">
        <v>125.22909999999999</v>
      </c>
      <c r="S128" s="1" t="e">
        <f t="shared" si="22"/>
        <v>#N/A</v>
      </c>
      <c r="T128" s="1" t="e">
        <v>#N/A</v>
      </c>
    </row>
    <row r="129" spans="1:20" x14ac:dyDescent="0.35">
      <c r="A129" s="1">
        <v>500224.48979999998</v>
      </c>
      <c r="B129" s="1">
        <v>5999996.1430000002</v>
      </c>
      <c r="C129" s="1">
        <v>152.99515885586101</v>
      </c>
      <c r="D129" s="1">
        <f t="shared" si="23"/>
        <v>224.75593186400403</v>
      </c>
      <c r="E129" s="1">
        <v>0.01</v>
      </c>
      <c r="F129" s="1">
        <v>0.05</v>
      </c>
      <c r="G129" s="1">
        <v>0.1</v>
      </c>
      <c r="H129" s="1">
        <v>9.81</v>
      </c>
      <c r="I129" s="1">
        <v>2650</v>
      </c>
      <c r="J129" s="1">
        <v>1000</v>
      </c>
      <c r="K129" s="1">
        <v>1.65</v>
      </c>
      <c r="L129" s="1">
        <v>6.5</v>
      </c>
      <c r="M129" s="1">
        <v>2.5</v>
      </c>
      <c r="N129" s="6">
        <v>9.9999999999999995E-7</v>
      </c>
      <c r="O129" s="1">
        <f t="shared" si="24"/>
        <v>10.211706300347956</v>
      </c>
      <c r="P129" s="1">
        <f t="shared" si="20"/>
        <v>10.301820481574744</v>
      </c>
      <c r="Q129" s="1">
        <f t="shared" si="21"/>
        <v>12.117328160271171</v>
      </c>
      <c r="R129" s="1">
        <v>125.22909999999999</v>
      </c>
      <c r="S129" s="1" t="e">
        <f t="shared" si="22"/>
        <v>#N/A</v>
      </c>
      <c r="T129" s="1" t="e">
        <v>#N/A</v>
      </c>
    </row>
    <row r="130" spans="1:20" x14ac:dyDescent="0.35">
      <c r="A130" s="1">
        <v>500234.69390000001</v>
      </c>
      <c r="B130" s="1">
        <v>5999996.5070000002</v>
      </c>
      <c r="C130" s="1">
        <v>151.627185016966</v>
      </c>
      <c r="D130" s="1">
        <f t="shared" si="23"/>
        <v>234.96652209232539</v>
      </c>
      <c r="E130" s="1">
        <v>0.01</v>
      </c>
      <c r="F130" s="1">
        <v>0.05</v>
      </c>
      <c r="G130" s="1">
        <v>0.1</v>
      </c>
      <c r="H130" s="1">
        <v>9.81</v>
      </c>
      <c r="I130" s="1">
        <v>2650</v>
      </c>
      <c r="J130" s="1">
        <v>1000</v>
      </c>
      <c r="K130" s="1">
        <v>1.65</v>
      </c>
      <c r="L130" s="1">
        <v>6.5</v>
      </c>
      <c r="M130" s="1">
        <v>2.5</v>
      </c>
      <c r="N130" s="6">
        <v>9.9999999999999995E-7</v>
      </c>
      <c r="O130" s="1">
        <f t="shared" si="24"/>
        <v>10.212172653557417</v>
      </c>
      <c r="P130" s="1">
        <f t="shared" si="20"/>
        <v>11.089044194999135</v>
      </c>
      <c r="Q130" s="1">
        <f t="shared" si="21"/>
        <v>10.695432338286938</v>
      </c>
      <c r="R130" s="1">
        <v>125.22909999999999</v>
      </c>
      <c r="S130" s="1" t="e">
        <f t="shared" si="22"/>
        <v>#N/A</v>
      </c>
      <c r="T130" s="1" t="e">
        <v>#N/A</v>
      </c>
    </row>
    <row r="131" spans="1:20" x14ac:dyDescent="0.35">
      <c r="A131" s="1">
        <v>500244.89799999999</v>
      </c>
      <c r="B131" s="1">
        <v>5999996.9510000004</v>
      </c>
      <c r="C131" s="1">
        <v>155.94529899752101</v>
      </c>
      <c r="D131" s="1">
        <f t="shared" si="23"/>
        <v>245.18027717111886</v>
      </c>
      <c r="E131" s="1">
        <v>0.01</v>
      </c>
      <c r="F131" s="1">
        <v>0.05</v>
      </c>
      <c r="G131" s="1">
        <v>0.1</v>
      </c>
      <c r="H131" s="1">
        <v>9.81</v>
      </c>
      <c r="I131" s="1">
        <v>2650</v>
      </c>
      <c r="J131" s="1">
        <v>1000</v>
      </c>
      <c r="K131" s="1">
        <v>1.65</v>
      </c>
      <c r="L131" s="1">
        <v>6.5</v>
      </c>
      <c r="M131" s="1">
        <v>2.5</v>
      </c>
      <c r="N131" s="6">
        <v>9.9999999999999995E-7</v>
      </c>
      <c r="O131" s="1">
        <f t="shared" si="24"/>
        <v>10.228334363400478</v>
      </c>
      <c r="P131" s="1">
        <f t="shared" si="20"/>
        <v>11.738479864242503</v>
      </c>
      <c r="Q131" s="1">
        <f t="shared" si="21"/>
        <v>11.41376202962082</v>
      </c>
      <c r="R131" s="1">
        <v>125.22909999999999</v>
      </c>
      <c r="S131" s="1" t="e">
        <f t="shared" si="22"/>
        <v>#N/A</v>
      </c>
      <c r="T131" s="1" t="e">
        <v>#N/A</v>
      </c>
    </row>
    <row r="132" spans="1:20" x14ac:dyDescent="0.35">
      <c r="A132" s="1">
        <v>500255.10200000001</v>
      </c>
      <c r="B132" s="1">
        <v>5999997.8430000003</v>
      </c>
      <c r="C132" s="1">
        <v>150.21165883417899</v>
      </c>
      <c r="D132" s="1">
        <f t="shared" si="23"/>
        <v>255.42319081912635</v>
      </c>
      <c r="E132" s="1">
        <v>0.01</v>
      </c>
      <c r="F132" s="1">
        <v>0.05</v>
      </c>
      <c r="G132" s="1">
        <v>0.1</v>
      </c>
      <c r="H132" s="1">
        <v>9.81</v>
      </c>
      <c r="I132" s="1">
        <v>2650</v>
      </c>
      <c r="J132" s="1">
        <v>1000</v>
      </c>
      <c r="K132" s="1">
        <v>1.65</v>
      </c>
      <c r="L132" s="1">
        <v>6.5</v>
      </c>
      <c r="M132" s="1">
        <v>2.5</v>
      </c>
      <c r="N132" s="6">
        <v>9.9999999999999995E-7</v>
      </c>
      <c r="O132" s="1">
        <f t="shared" si="24"/>
        <v>10.228247812702051</v>
      </c>
      <c r="P132" s="1">
        <f t="shared" si="20"/>
        <v>10.415569048554094</v>
      </c>
      <c r="Q132" s="1">
        <f t="shared" si="21"/>
        <v>11.077024456398298</v>
      </c>
      <c r="R132" s="1">
        <v>125.22909999999999</v>
      </c>
      <c r="S132" s="1" t="e">
        <f t="shared" si="22"/>
        <v>#N/A</v>
      </c>
      <c r="T132" s="1" t="e">
        <v>#N/A</v>
      </c>
    </row>
    <row r="133" spans="1:20" x14ac:dyDescent="0.35">
      <c r="A133" s="1">
        <v>500265.30609999999</v>
      </c>
      <c r="B133" s="1">
        <v>5999998.2829999998</v>
      </c>
      <c r="C133" s="1">
        <v>148.17037938339399</v>
      </c>
      <c r="D133" s="1">
        <f t="shared" si="23"/>
        <v>265.63677279652296</v>
      </c>
      <c r="E133" s="1">
        <v>0.01</v>
      </c>
      <c r="F133" s="1">
        <v>0.05</v>
      </c>
      <c r="G133" s="1">
        <v>0.1</v>
      </c>
      <c r="H133" s="1">
        <v>9.81</v>
      </c>
      <c r="I133" s="1">
        <v>2650</v>
      </c>
      <c r="J133" s="1">
        <v>1000</v>
      </c>
      <c r="K133" s="1">
        <v>1.65</v>
      </c>
      <c r="L133" s="1">
        <v>6.5</v>
      </c>
      <c r="M133" s="1">
        <v>2.5</v>
      </c>
      <c r="N133" s="6">
        <v>9.9999999999999995E-7</v>
      </c>
      <c r="O133" s="1">
        <f t="shared" si="24"/>
        <v>10.23198332194535</v>
      </c>
      <c r="P133" s="1">
        <f t="shared" si="20"/>
        <v>10.753746192038282</v>
      </c>
      <c r="Q133" s="1">
        <f t="shared" si="21"/>
        <v>10.584657620296188</v>
      </c>
      <c r="R133" s="1">
        <v>125.22909999999999</v>
      </c>
      <c r="S133" s="1" t="e">
        <f t="shared" si="22"/>
        <v>#N/A</v>
      </c>
      <c r="T133" s="1" t="e">
        <v>#N/A</v>
      </c>
    </row>
    <row r="134" spans="1:20" x14ac:dyDescent="0.35">
      <c r="A134" s="1">
        <v>500275.51020000002</v>
      </c>
      <c r="B134" s="1">
        <v>5999997.3099999996</v>
      </c>
      <c r="C134" s="1">
        <v>144.91881493659599</v>
      </c>
      <c r="D134" s="1">
        <f t="shared" si="23"/>
        <v>275.88715746301705</v>
      </c>
      <c r="E134" s="1">
        <v>0.01</v>
      </c>
      <c r="F134" s="1">
        <v>0.05</v>
      </c>
      <c r="G134" s="1">
        <v>0.1</v>
      </c>
      <c r="H134" s="1">
        <v>9.81</v>
      </c>
      <c r="I134" s="1">
        <v>2650</v>
      </c>
      <c r="J134" s="1">
        <v>1000</v>
      </c>
      <c r="K134" s="1">
        <v>1.65</v>
      </c>
      <c r="L134" s="1">
        <v>6.5</v>
      </c>
      <c r="M134" s="1">
        <v>2.5</v>
      </c>
      <c r="N134" s="6">
        <v>9.9999999999999995E-7</v>
      </c>
      <c r="O134" s="1">
        <f t="shared" si="24"/>
        <v>10.247668609691146</v>
      </c>
      <c r="P134" s="1">
        <f t="shared" si="20"/>
        <v>10.247801935839309</v>
      </c>
      <c r="Q134" s="1">
        <f t="shared" si="21"/>
        <v>10.500774063938795</v>
      </c>
      <c r="R134" s="1">
        <v>125.22909999999999</v>
      </c>
      <c r="S134" s="1" t="e">
        <f t="shared" si="22"/>
        <v>#N/A</v>
      </c>
      <c r="T134" s="1" t="e">
        <v>#N/A</v>
      </c>
    </row>
    <row r="135" spans="1:20" x14ac:dyDescent="0.35">
      <c r="A135" s="1">
        <v>500285.71429999999</v>
      </c>
      <c r="B135" s="1">
        <v>5999998.2240000004</v>
      </c>
      <c r="C135" s="1">
        <v>144.67717117967001</v>
      </c>
      <c r="D135" s="1">
        <f t="shared" si="23"/>
        <v>286.13211001590525</v>
      </c>
      <c r="E135" s="1">
        <v>0.01</v>
      </c>
      <c r="F135" s="1">
        <v>0.05</v>
      </c>
      <c r="G135" s="1">
        <v>0.1</v>
      </c>
      <c r="H135" s="1">
        <v>9.81</v>
      </c>
      <c r="I135" s="1">
        <v>2650</v>
      </c>
      <c r="J135" s="1">
        <v>1000</v>
      </c>
      <c r="K135" s="1">
        <v>1.65</v>
      </c>
      <c r="L135" s="1">
        <v>6.5</v>
      </c>
      <c r="M135" s="1">
        <v>2.5</v>
      </c>
      <c r="N135" s="6">
        <v>9.9999999999999995E-7</v>
      </c>
      <c r="O135" s="1">
        <f t="shared" si="24"/>
        <v>10.245310960713113</v>
      </c>
      <c r="P135" s="1">
        <f t="shared" si="20"/>
        <v>10.773986209295044</v>
      </c>
      <c r="Q135" s="1">
        <f t="shared" si="21"/>
        <v>10.510894072567176</v>
      </c>
      <c r="R135" s="1">
        <v>125.22909999999999</v>
      </c>
      <c r="S135" s="1" t="e">
        <f t="shared" si="22"/>
        <v>#N/A</v>
      </c>
      <c r="T135" s="1" t="e">
        <v>#N/A</v>
      </c>
    </row>
    <row r="136" spans="1:20" x14ac:dyDescent="0.35">
      <c r="A136" s="1">
        <v>500295.91840000002</v>
      </c>
      <c r="B136" s="1">
        <v>5999999.1459999997</v>
      </c>
      <c r="C136" s="1">
        <v>141.344748933213</v>
      </c>
      <c r="D136" s="1">
        <f t="shared" si="23"/>
        <v>296.37777938444327</v>
      </c>
      <c r="E136" s="1">
        <v>0.01</v>
      </c>
      <c r="F136" s="1">
        <v>0.05</v>
      </c>
      <c r="G136" s="1">
        <v>0.1</v>
      </c>
      <c r="H136" s="1">
        <v>9.81</v>
      </c>
      <c r="I136" s="1">
        <v>2650</v>
      </c>
      <c r="J136" s="1">
        <v>1000</v>
      </c>
      <c r="K136" s="1">
        <v>1.65</v>
      </c>
      <c r="L136" s="1">
        <v>6.5</v>
      </c>
      <c r="M136" s="1">
        <v>2.5</v>
      </c>
      <c r="N136" s="6">
        <v>9.9999999999999995E-7</v>
      </c>
      <c r="O136" s="1">
        <f t="shared" si="24"/>
        <v>10.233098302678485</v>
      </c>
      <c r="P136" s="1">
        <f t="shared" si="20"/>
        <v>10.320041754295742</v>
      </c>
      <c r="Q136" s="1">
        <f t="shared" si="21"/>
        <v>10.547013981795393</v>
      </c>
      <c r="R136" s="1">
        <v>125.22909999999999</v>
      </c>
      <c r="S136" s="1" t="e">
        <f t="shared" si="22"/>
        <v>#N/A</v>
      </c>
      <c r="T136" s="1" t="e">
        <v>#N/A</v>
      </c>
    </row>
    <row r="137" spans="1:20" x14ac:dyDescent="0.35">
      <c r="A137" s="1">
        <v>500306.12239999999</v>
      </c>
      <c r="B137" s="1">
        <v>5999998.5650000004</v>
      </c>
      <c r="C137" s="1">
        <v>139.91503399244701</v>
      </c>
      <c r="D137" s="1">
        <f t="shared" si="23"/>
        <v>306.59830662126222</v>
      </c>
      <c r="E137" s="1">
        <v>0.01</v>
      </c>
      <c r="F137" s="1">
        <v>0.05</v>
      </c>
      <c r="G137" s="1">
        <v>0.1</v>
      </c>
      <c r="H137" s="1">
        <v>9.81</v>
      </c>
      <c r="I137" s="1">
        <v>2650</v>
      </c>
      <c r="J137" s="1">
        <v>1000</v>
      </c>
      <c r="K137" s="1">
        <v>1.65</v>
      </c>
      <c r="L137" s="1">
        <v>6.5</v>
      </c>
      <c r="M137" s="1">
        <v>2.5</v>
      </c>
      <c r="N137" s="6">
        <v>9.9999999999999995E-7</v>
      </c>
      <c r="O137" s="1">
        <f t="shared" si="24"/>
        <v>10.221874954638196</v>
      </c>
      <c r="P137" s="1">
        <f t="shared" si="20"/>
        <v>13.893706980070347</v>
      </c>
      <c r="Q137" s="1">
        <f t="shared" si="21"/>
        <v>12.106874367183044</v>
      </c>
      <c r="R137" s="1">
        <v>125.22909999999999</v>
      </c>
      <c r="S137" s="1" t="e">
        <f t="shared" si="22"/>
        <v>#N/A</v>
      </c>
      <c r="T137" s="1" t="e">
        <v>#N/A</v>
      </c>
    </row>
    <row r="138" spans="1:20" x14ac:dyDescent="0.35">
      <c r="A138" s="1">
        <v>500316.32650000002</v>
      </c>
      <c r="B138" s="1">
        <v>5999999.1900000004</v>
      </c>
      <c r="C138" s="1">
        <v>130.506484059678</v>
      </c>
      <c r="D138" s="1">
        <f t="shared" si="23"/>
        <v>316.82152929371966</v>
      </c>
      <c r="E138" s="1">
        <v>0.01</v>
      </c>
      <c r="F138" s="1">
        <v>0.05</v>
      </c>
      <c r="G138" s="1">
        <v>0.1</v>
      </c>
      <c r="H138" s="1">
        <v>9.81</v>
      </c>
      <c r="I138" s="1">
        <v>2650</v>
      </c>
      <c r="J138" s="1">
        <v>1000</v>
      </c>
      <c r="K138" s="1">
        <v>1.65</v>
      </c>
      <c r="L138" s="1">
        <v>6.5</v>
      </c>
      <c r="M138" s="1">
        <v>2.5</v>
      </c>
      <c r="N138" s="6">
        <v>9.9999999999999995E-7</v>
      </c>
      <c r="O138" s="1">
        <f t="shared" si="24"/>
        <v>10.235493697492075</v>
      </c>
      <c r="P138" s="1">
        <f t="shared" si="20"/>
        <v>10.418299398725649</v>
      </c>
      <c r="Q138" s="1">
        <f t="shared" si="21"/>
        <v>12.156003189397998</v>
      </c>
      <c r="R138" s="1">
        <v>125.22909999999999</v>
      </c>
      <c r="S138" s="1" t="e">
        <f t="shared" si="22"/>
        <v>#N/A</v>
      </c>
      <c r="T138" s="1" t="e">
        <v>#N/A</v>
      </c>
    </row>
    <row r="139" spans="1:20" x14ac:dyDescent="0.35">
      <c r="A139" s="1">
        <v>500326.5306</v>
      </c>
      <c r="B139" s="1">
        <v>6000000.1349999998</v>
      </c>
      <c r="C139" s="1">
        <v>128.62917733108401</v>
      </c>
      <c r="D139" s="1">
        <f t="shared" si="23"/>
        <v>327.06929401624637</v>
      </c>
      <c r="E139" s="1">
        <v>0.01</v>
      </c>
      <c r="F139" s="1">
        <v>0.05</v>
      </c>
      <c r="G139" s="1">
        <v>0.1</v>
      </c>
      <c r="H139" s="1">
        <v>9.81</v>
      </c>
      <c r="I139" s="1">
        <v>2650</v>
      </c>
      <c r="J139" s="1">
        <v>1000</v>
      </c>
      <c r="K139" s="1">
        <v>1.65</v>
      </c>
      <c r="L139" s="1">
        <v>6.5</v>
      </c>
      <c r="M139" s="1">
        <v>2.5</v>
      </c>
      <c r="N139" s="6">
        <v>9.9999999999999995E-7</v>
      </c>
      <c r="O139" s="1">
        <f t="shared" si="24"/>
        <v>10.241238558797846</v>
      </c>
      <c r="P139" s="1">
        <f t="shared" ref="P139:P155" si="25">SQRT((D140 - D139)^2 + (C140 - C139)^2)</f>
        <v>10.787841757464356</v>
      </c>
      <c r="Q139" s="1">
        <f t="shared" ref="Q139:Q155" si="26">IF(ROW()=107, P139/2, (P139 + P138)/2)</f>
        <v>10.603070578095004</v>
      </c>
      <c r="R139" s="1">
        <v>125.22909999999999</v>
      </c>
      <c r="S139" s="1" t="e">
        <f t="shared" ref="S139:S155" si="27">IF(R139 - C139 &lt; 0, NA(), R139 - C139)</f>
        <v>#N/A</v>
      </c>
      <c r="T139" s="1" t="e">
        <v>#N/A</v>
      </c>
    </row>
    <row r="140" spans="1:20" x14ac:dyDescent="0.35">
      <c r="A140" s="1">
        <v>500336.73469999997</v>
      </c>
      <c r="B140" s="1">
        <v>5999999.3439999996</v>
      </c>
      <c r="C140" s="1">
        <v>132.03919081702699</v>
      </c>
      <c r="D140" s="1">
        <f t="shared" ref="D140:D156" si="28">D139 + SQRT((A140 - A139)^2 + (B140 - B139)^2)</f>
        <v>337.30400641131536</v>
      </c>
      <c r="E140" s="1">
        <v>0.01</v>
      </c>
      <c r="F140" s="1">
        <v>0.05</v>
      </c>
      <c r="G140" s="1">
        <v>0.1</v>
      </c>
      <c r="H140" s="1">
        <v>9.81</v>
      </c>
      <c r="I140" s="1">
        <v>2650</v>
      </c>
      <c r="J140" s="1">
        <v>1000</v>
      </c>
      <c r="K140" s="1">
        <v>1.65</v>
      </c>
      <c r="L140" s="1">
        <v>6.5</v>
      </c>
      <c r="M140" s="1">
        <v>2.5</v>
      </c>
      <c r="N140" s="6">
        <v>9.9999999999999995E-7</v>
      </c>
      <c r="O140" s="1">
        <f t="shared" si="24"/>
        <v>10.233949248828765</v>
      </c>
      <c r="P140" s="1">
        <f t="shared" si="25"/>
        <v>11.755266476054745</v>
      </c>
      <c r="Q140" s="1">
        <f t="shared" si="26"/>
        <v>11.27155411675955</v>
      </c>
      <c r="R140" s="1">
        <v>125.22909999999999</v>
      </c>
      <c r="S140" s="1" t="e">
        <f t="shared" si="27"/>
        <v>#N/A</v>
      </c>
      <c r="T140" s="1" t="e">
        <v>#N/A</v>
      </c>
    </row>
    <row r="141" spans="1:20" x14ac:dyDescent="0.35">
      <c r="A141" s="1">
        <v>500346.9388</v>
      </c>
      <c r="B141" s="1">
        <v>5999998.5729999999</v>
      </c>
      <c r="C141" s="1">
        <v>126.254020801129</v>
      </c>
      <c r="D141" s="1">
        <f t="shared" si="28"/>
        <v>347.5371925139039</v>
      </c>
      <c r="E141" s="1">
        <v>0.01</v>
      </c>
      <c r="F141" s="1">
        <v>0.05</v>
      </c>
      <c r="G141" s="1">
        <v>0.1</v>
      </c>
      <c r="H141" s="1">
        <v>9.81</v>
      </c>
      <c r="I141" s="1">
        <v>2650</v>
      </c>
      <c r="J141" s="1">
        <v>1000</v>
      </c>
      <c r="K141" s="1">
        <v>1.65</v>
      </c>
      <c r="L141" s="1">
        <v>6.5</v>
      </c>
      <c r="M141" s="1">
        <v>2.5</v>
      </c>
      <c r="N141" s="6">
        <v>9.9999999999999995E-7</v>
      </c>
      <c r="O141" s="1">
        <f t="shared" si="24"/>
        <v>10.232552707337419</v>
      </c>
      <c r="P141" s="1">
        <f t="shared" si="25"/>
        <v>11.350607222214496</v>
      </c>
      <c r="Q141" s="1">
        <f t="shared" si="26"/>
        <v>11.552936849134621</v>
      </c>
      <c r="R141" s="1">
        <v>125.22909999999999</v>
      </c>
      <c r="S141" s="1" t="e">
        <f t="shared" si="27"/>
        <v>#N/A</v>
      </c>
      <c r="T141" s="1" t="e">
        <v>#N/A</v>
      </c>
    </row>
    <row r="142" spans="1:20" x14ac:dyDescent="0.35">
      <c r="A142" s="1">
        <v>500357.14289999998</v>
      </c>
      <c r="B142" s="1">
        <v>5999999.3269999996</v>
      </c>
      <c r="C142" s="1">
        <v>131.167686591956</v>
      </c>
      <c r="D142" s="1">
        <f t="shared" si="28"/>
        <v>357.76911182599019</v>
      </c>
      <c r="E142" s="1">
        <v>0.01</v>
      </c>
      <c r="F142" s="1">
        <v>0.05</v>
      </c>
      <c r="G142" s="1">
        <v>0.1</v>
      </c>
      <c r="H142" s="1">
        <v>9.81</v>
      </c>
      <c r="I142" s="1">
        <v>2650</v>
      </c>
      <c r="J142" s="1">
        <v>1000</v>
      </c>
      <c r="K142" s="1">
        <v>1.65</v>
      </c>
      <c r="L142" s="1">
        <v>6.5</v>
      </c>
      <c r="M142" s="1">
        <v>2.5</v>
      </c>
      <c r="N142" s="6">
        <v>9.9999999999999995E-7</v>
      </c>
      <c r="O142" s="1">
        <f t="shared" si="24"/>
        <v>10.223838765829584</v>
      </c>
      <c r="P142" s="1">
        <f t="shared" si="25"/>
        <v>10.479732415606993</v>
      </c>
      <c r="Q142" s="1">
        <f t="shared" si="26"/>
        <v>10.915169818910744</v>
      </c>
      <c r="R142" s="1">
        <v>125.22909999999999</v>
      </c>
      <c r="S142" s="1" t="e">
        <f t="shared" si="27"/>
        <v>#N/A</v>
      </c>
      <c r="T142" s="1" t="e">
        <v>#N/A</v>
      </c>
    </row>
    <row r="143" spans="1:20" x14ac:dyDescent="0.35">
      <c r="A143" s="1">
        <v>500367.3469</v>
      </c>
      <c r="B143" s="1">
        <v>5999999.8169999998</v>
      </c>
      <c r="C143" s="1">
        <v>128.83036429882799</v>
      </c>
      <c r="D143" s="1">
        <f t="shared" si="28"/>
        <v>367.98487004556307</v>
      </c>
      <c r="E143" s="1">
        <v>0.01</v>
      </c>
      <c r="F143" s="1">
        <v>0.05</v>
      </c>
      <c r="G143" s="1">
        <v>0.1</v>
      </c>
      <c r="H143" s="1">
        <v>9.81</v>
      </c>
      <c r="I143" s="1">
        <v>2650</v>
      </c>
      <c r="J143" s="1">
        <v>1000</v>
      </c>
      <c r="K143" s="1">
        <v>1.65</v>
      </c>
      <c r="L143" s="1">
        <v>6.5</v>
      </c>
      <c r="M143" s="1">
        <v>2.5</v>
      </c>
      <c r="N143" s="6">
        <v>9.9999999999999995E-7</v>
      </c>
      <c r="O143" s="1">
        <f t="shared" si="24"/>
        <v>10.224509856901079</v>
      </c>
      <c r="P143" s="1">
        <f t="shared" si="25"/>
        <v>10.91645406051112</v>
      </c>
      <c r="Q143" s="1">
        <f t="shared" si="26"/>
        <v>10.698093238059055</v>
      </c>
      <c r="R143" s="1">
        <v>125.22909999999999</v>
      </c>
      <c r="S143" s="1" t="e">
        <f t="shared" si="27"/>
        <v>#N/A</v>
      </c>
      <c r="T143" s="1" t="e">
        <v>#N/A</v>
      </c>
    </row>
    <row r="144" spans="1:20" x14ac:dyDescent="0.35">
      <c r="A144" s="1">
        <v>500377.55099999998</v>
      </c>
      <c r="B144" s="1">
        <v>5999999.0449999999</v>
      </c>
      <c r="C144" s="1">
        <v>125.029137069896</v>
      </c>
      <c r="D144" s="1">
        <f t="shared" si="28"/>
        <v>378.21813153979235</v>
      </c>
      <c r="E144" s="1">
        <v>0.01</v>
      </c>
      <c r="F144" s="1">
        <v>0.05</v>
      </c>
      <c r="G144" s="1">
        <v>0.1</v>
      </c>
      <c r="H144" s="1">
        <v>9.81</v>
      </c>
      <c r="I144" s="1">
        <v>2650</v>
      </c>
      <c r="J144" s="1">
        <v>1000</v>
      </c>
      <c r="K144" s="1">
        <v>1.65</v>
      </c>
      <c r="L144" s="1">
        <v>6.5</v>
      </c>
      <c r="M144" s="1">
        <v>2.5</v>
      </c>
      <c r="N144" s="6">
        <v>9.9999999999999995E-7</v>
      </c>
      <c r="O144" s="1">
        <f t="shared" si="24"/>
        <v>10.221049857319429</v>
      </c>
      <c r="P144" s="1">
        <f t="shared" si="25"/>
        <v>10.237547645163266</v>
      </c>
      <c r="Q144" s="1">
        <f t="shared" si="26"/>
        <v>10.577000852837193</v>
      </c>
      <c r="R144" s="1">
        <v>125.22909999999999</v>
      </c>
      <c r="S144" s="1">
        <f t="shared" si="27"/>
        <v>0.19996293010399313</v>
      </c>
      <c r="T144" s="1">
        <v>0.19996293010399313</v>
      </c>
    </row>
    <row r="145" spans="1:57" x14ac:dyDescent="0.35">
      <c r="A145" s="1">
        <v>500387.75510000001</v>
      </c>
      <c r="B145" s="1">
        <v>5999999.3559999997</v>
      </c>
      <c r="C145" s="1">
        <v>125.795298917349</v>
      </c>
      <c r="D145" s="1">
        <f t="shared" si="28"/>
        <v>388.42696976020193</v>
      </c>
      <c r="E145" s="1">
        <v>0.01</v>
      </c>
      <c r="F145" s="1">
        <v>0.05</v>
      </c>
      <c r="G145" s="1">
        <v>0.1</v>
      </c>
      <c r="H145" s="1">
        <v>9.81</v>
      </c>
      <c r="I145" s="1">
        <v>2650</v>
      </c>
      <c r="J145" s="1">
        <v>1000</v>
      </c>
      <c r="K145" s="1">
        <v>1.65</v>
      </c>
      <c r="L145" s="1">
        <v>6.5</v>
      </c>
      <c r="M145" s="1">
        <v>2.5</v>
      </c>
      <c r="N145" s="6">
        <v>9.9999999999999995E-7</v>
      </c>
      <c r="O145" s="1">
        <f t="shared" si="24"/>
        <v>10.226672955179509</v>
      </c>
      <c r="P145" s="1">
        <f t="shared" si="25"/>
        <v>14.006911426674414</v>
      </c>
      <c r="Q145" s="1">
        <f t="shared" si="26"/>
        <v>12.122229535918841</v>
      </c>
      <c r="R145" s="1">
        <v>125.22909999999999</v>
      </c>
      <c r="S145" s="1" t="e">
        <f t="shared" si="27"/>
        <v>#N/A</v>
      </c>
      <c r="T145" s="1" t="e">
        <v>#N/A</v>
      </c>
    </row>
    <row r="146" spans="1:57" x14ac:dyDescent="0.35">
      <c r="A146" s="1">
        <v>500397.95919999998</v>
      </c>
      <c r="B146" s="1">
        <v>5999998.4469999997</v>
      </c>
      <c r="C146" s="1">
        <v>135.347452072804</v>
      </c>
      <c r="D146" s="1">
        <f t="shared" si="28"/>
        <v>398.67147745015137</v>
      </c>
      <c r="E146" s="1">
        <v>0.01</v>
      </c>
      <c r="F146" s="1">
        <v>0.05</v>
      </c>
      <c r="G146" s="1">
        <v>0.1</v>
      </c>
      <c r="H146" s="1">
        <v>9.81</v>
      </c>
      <c r="I146" s="1">
        <v>2650</v>
      </c>
      <c r="J146" s="1">
        <v>1000</v>
      </c>
      <c r="K146" s="1">
        <v>1.65</v>
      </c>
      <c r="L146" s="1">
        <v>6.5</v>
      </c>
      <c r="M146" s="1">
        <v>2.5</v>
      </c>
      <c r="N146" s="6">
        <v>9.9999999999999995E-7</v>
      </c>
      <c r="O146" s="1">
        <f t="shared" si="24"/>
        <v>10.22650836474881</v>
      </c>
      <c r="P146" s="1">
        <f t="shared" si="25"/>
        <v>12.538849639326756</v>
      </c>
      <c r="Q146" s="1">
        <f t="shared" si="26"/>
        <v>13.272880533000585</v>
      </c>
      <c r="R146" s="1">
        <v>125.22909999999999</v>
      </c>
      <c r="S146" s="1" t="e">
        <f t="shared" si="27"/>
        <v>#N/A</v>
      </c>
      <c r="T146" s="1" t="e">
        <v>#N/A</v>
      </c>
    </row>
    <row r="147" spans="1:57" x14ac:dyDescent="0.35">
      <c r="A147" s="1">
        <v>500408.16330000001</v>
      </c>
      <c r="B147" s="1">
        <v>5999998.1469999999</v>
      </c>
      <c r="C147" s="1">
        <v>128.06671766842501</v>
      </c>
      <c r="D147" s="1">
        <f t="shared" si="28"/>
        <v>408.87998648969955</v>
      </c>
      <c r="E147" s="1">
        <v>0.01</v>
      </c>
      <c r="F147" s="1">
        <v>0.05</v>
      </c>
      <c r="G147" s="1">
        <v>0.1</v>
      </c>
      <c r="H147" s="1">
        <v>9.81</v>
      </c>
      <c r="I147" s="1">
        <v>2650</v>
      </c>
      <c r="J147" s="1">
        <v>1000</v>
      </c>
      <c r="K147" s="1">
        <v>1.65</v>
      </c>
      <c r="L147" s="1">
        <v>6.5</v>
      </c>
      <c r="M147" s="1">
        <v>2.5</v>
      </c>
      <c r="N147" s="6">
        <v>9.9999999999999995E-7</v>
      </c>
      <c r="O147" s="1">
        <f t="shared" si="24"/>
        <v>10.217670819070179</v>
      </c>
      <c r="P147" s="1">
        <f t="shared" si="25"/>
        <v>11.126667604014996</v>
      </c>
      <c r="Q147" s="1">
        <f t="shared" si="26"/>
        <v>11.832758621670877</v>
      </c>
      <c r="R147" s="1">
        <v>125.22909999999999</v>
      </c>
      <c r="S147" s="1" t="e">
        <f t="shared" si="27"/>
        <v>#N/A</v>
      </c>
      <c r="T147" s="1" t="e">
        <v>#N/A</v>
      </c>
    </row>
    <row r="148" spans="1:57" x14ac:dyDescent="0.35">
      <c r="A148" s="1">
        <v>500418.36729999998</v>
      </c>
      <c r="B148" s="1">
        <v>5999997.4639999997</v>
      </c>
      <c r="C148" s="1">
        <v>132.450166877736</v>
      </c>
      <c r="D148" s="1">
        <f t="shared" si="28"/>
        <v>419.10681908829173</v>
      </c>
      <c r="E148" s="1">
        <v>0.01</v>
      </c>
      <c r="F148" s="1">
        <v>0.05</v>
      </c>
      <c r="G148" s="1">
        <v>0.1</v>
      </c>
      <c r="H148" s="1">
        <v>9.81</v>
      </c>
      <c r="I148" s="1">
        <v>2650</v>
      </c>
      <c r="J148" s="1">
        <v>1000</v>
      </c>
      <c r="K148" s="1">
        <v>1.65</v>
      </c>
      <c r="L148" s="1">
        <v>6.5</v>
      </c>
      <c r="M148" s="1">
        <v>2.5</v>
      </c>
      <c r="N148" s="6">
        <v>9.9999999999999995E-7</v>
      </c>
      <c r="O148" s="1">
        <f t="shared" si="24"/>
        <v>10.219153288461655</v>
      </c>
      <c r="P148" s="1">
        <f t="shared" si="25"/>
        <v>12.259823035582844</v>
      </c>
      <c r="Q148" s="1">
        <f t="shared" si="26"/>
        <v>11.693245319798919</v>
      </c>
      <c r="R148" s="1">
        <v>125.22909999999999</v>
      </c>
      <c r="S148" s="1" t="e">
        <f t="shared" si="27"/>
        <v>#N/A</v>
      </c>
      <c r="T148" s="1" t="e">
        <v>#N/A</v>
      </c>
    </row>
    <row r="149" spans="1:57" x14ac:dyDescent="0.35">
      <c r="A149" s="1">
        <v>500428.57140000002</v>
      </c>
      <c r="B149" s="1">
        <v>5999997.0760000004</v>
      </c>
      <c r="C149" s="1">
        <v>139.234638858198</v>
      </c>
      <c r="D149" s="1">
        <f t="shared" si="28"/>
        <v>429.31829306662286</v>
      </c>
      <c r="E149" s="1">
        <v>0.01</v>
      </c>
      <c r="F149" s="1">
        <v>0.05</v>
      </c>
      <c r="G149" s="1">
        <v>0.1</v>
      </c>
      <c r="H149" s="1">
        <v>9.81</v>
      </c>
      <c r="I149" s="1">
        <v>2650</v>
      </c>
      <c r="J149" s="1">
        <v>1000</v>
      </c>
      <c r="K149" s="1">
        <v>1.65</v>
      </c>
      <c r="L149" s="1">
        <v>6.5</v>
      </c>
      <c r="M149" s="1">
        <v>2.5</v>
      </c>
      <c r="N149" s="6">
        <v>9.9999999999999995E-7</v>
      </c>
      <c r="O149" s="1">
        <f t="shared" si="24"/>
        <v>10.213570502749036</v>
      </c>
      <c r="P149" s="1">
        <f t="shared" si="25"/>
        <v>10.221862151517284</v>
      </c>
      <c r="Q149" s="1">
        <f t="shared" si="26"/>
        <v>11.240842593550063</v>
      </c>
      <c r="R149" s="1">
        <v>125.22909999999999</v>
      </c>
      <c r="S149" s="1" t="e">
        <f t="shared" si="27"/>
        <v>#N/A</v>
      </c>
      <c r="T149" s="1" t="e">
        <v>#N/A</v>
      </c>
    </row>
    <row r="150" spans="1:57" x14ac:dyDescent="0.35">
      <c r="A150" s="1">
        <v>500438.77549999999</v>
      </c>
      <c r="B150" s="1">
        <v>5999996.5899999999</v>
      </c>
      <c r="C150" s="1">
        <v>139.590466112179</v>
      </c>
      <c r="D150" s="1">
        <f t="shared" si="28"/>
        <v>439.5339600937898</v>
      </c>
      <c r="E150" s="1">
        <v>0.01</v>
      </c>
      <c r="F150" s="1">
        <v>0.05</v>
      </c>
      <c r="G150" s="1">
        <v>0.1</v>
      </c>
      <c r="H150" s="1">
        <v>9.81</v>
      </c>
      <c r="I150" s="1">
        <v>2650</v>
      </c>
      <c r="J150" s="1">
        <v>1000</v>
      </c>
      <c r="K150" s="1">
        <v>1.65</v>
      </c>
      <c r="L150" s="1">
        <v>6.5</v>
      </c>
      <c r="M150" s="1">
        <v>2.5</v>
      </c>
      <c r="N150" s="6">
        <v>9.9999999999999995E-7</v>
      </c>
      <c r="O150" s="1">
        <f t="shared" si="24"/>
        <v>10.227678867958247</v>
      </c>
      <c r="P150" s="1">
        <f t="shared" si="25"/>
        <v>10.247073843648518</v>
      </c>
      <c r="Q150" s="1">
        <f t="shared" si="26"/>
        <v>10.2344679975829</v>
      </c>
      <c r="R150" s="1">
        <v>125.22909999999999</v>
      </c>
      <c r="S150" s="1" t="e">
        <f t="shared" si="27"/>
        <v>#N/A</v>
      </c>
      <c r="T150" s="1" t="e">
        <v>#N/A</v>
      </c>
    </row>
    <row r="151" spans="1:57" x14ac:dyDescent="0.35">
      <c r="A151" s="1">
        <v>500448.97960000002</v>
      </c>
      <c r="B151" s="1">
        <v>5999995.7369999997</v>
      </c>
      <c r="C151" s="1">
        <v>139.20154896633201</v>
      </c>
      <c r="D151" s="1">
        <f t="shared" si="28"/>
        <v>449.77365080253935</v>
      </c>
      <c r="E151" s="1">
        <v>0.01</v>
      </c>
      <c r="F151" s="1">
        <v>0.05</v>
      </c>
      <c r="G151" s="1">
        <v>0.1</v>
      </c>
      <c r="H151" s="1">
        <v>9.81</v>
      </c>
      <c r="I151" s="1">
        <v>2650</v>
      </c>
      <c r="J151" s="1">
        <v>1000</v>
      </c>
      <c r="K151" s="1">
        <v>1.65</v>
      </c>
      <c r="L151" s="1">
        <v>6.5</v>
      </c>
      <c r="M151" s="1">
        <v>2.5</v>
      </c>
      <c r="N151" s="6">
        <v>9.9999999999999995E-7</v>
      </c>
      <c r="O151" s="1">
        <f t="shared" si="24"/>
        <v>10.226507982984828</v>
      </c>
      <c r="P151" s="1">
        <f t="shared" si="25"/>
        <v>10.216402783069102</v>
      </c>
      <c r="Q151" s="1">
        <f t="shared" si="26"/>
        <v>10.231738313358811</v>
      </c>
      <c r="R151" s="1">
        <v>125.22909999999999</v>
      </c>
      <c r="S151" s="1" t="e">
        <f t="shared" si="27"/>
        <v>#N/A</v>
      </c>
      <c r="T151" s="1" t="e">
        <v>#N/A</v>
      </c>
    </row>
    <row r="152" spans="1:57" x14ac:dyDescent="0.35">
      <c r="A152" s="1">
        <v>500459.18369999999</v>
      </c>
      <c r="B152" s="1">
        <v>5999996.1710000001</v>
      </c>
      <c r="C152" s="1">
        <v>138.95080404388699</v>
      </c>
      <c r="D152" s="1">
        <f t="shared" si="28"/>
        <v>459.98697605975946</v>
      </c>
      <c r="E152" s="1">
        <v>0.01</v>
      </c>
      <c r="F152" s="1">
        <v>0.05</v>
      </c>
      <c r="G152" s="1">
        <v>0.1</v>
      </c>
      <c r="H152" s="1">
        <v>9.81</v>
      </c>
      <c r="I152" s="1">
        <v>2650</v>
      </c>
      <c r="J152" s="1">
        <v>1000</v>
      </c>
      <c r="K152" s="1">
        <v>1.65</v>
      </c>
      <c r="L152" s="1">
        <v>6.5</v>
      </c>
      <c r="M152" s="1">
        <v>2.5</v>
      </c>
      <c r="N152" s="6">
        <v>9.9999999999999995E-7</v>
      </c>
      <c r="O152" s="1">
        <f t="shared" si="24"/>
        <v>10.228563101333435</v>
      </c>
      <c r="P152" s="1">
        <f t="shared" si="25"/>
        <v>10.24381622597874</v>
      </c>
      <c r="Q152" s="1">
        <f t="shared" si="26"/>
        <v>10.23010950452392</v>
      </c>
      <c r="R152" s="1">
        <v>125.22909999999999</v>
      </c>
      <c r="S152" s="1" t="e">
        <f t="shared" si="27"/>
        <v>#N/A</v>
      </c>
      <c r="T152" s="1" t="e">
        <v>#N/A</v>
      </c>
    </row>
    <row r="153" spans="1:57" x14ac:dyDescent="0.35">
      <c r="A153" s="1">
        <v>500469.38780000003</v>
      </c>
      <c r="B153" s="1">
        <v>5999997.0719999997</v>
      </c>
      <c r="C153" s="1">
        <v>138.933110494517</v>
      </c>
      <c r="D153" s="1">
        <f t="shared" si="28"/>
        <v>470.23077700520622</v>
      </c>
      <c r="E153" s="1">
        <v>0.01</v>
      </c>
      <c r="F153" s="1">
        <v>0.05</v>
      </c>
      <c r="G153" s="1">
        <v>0.1</v>
      </c>
      <c r="H153" s="1">
        <v>9.81</v>
      </c>
      <c r="I153" s="1">
        <v>2650</v>
      </c>
      <c r="J153" s="1">
        <v>1000</v>
      </c>
      <c r="K153" s="1">
        <v>1.65</v>
      </c>
      <c r="L153" s="1">
        <v>6.5</v>
      </c>
      <c r="M153" s="1">
        <v>2.5</v>
      </c>
      <c r="N153" s="6">
        <v>9.9999999999999995E-7</v>
      </c>
      <c r="O153" s="1">
        <f t="shared" si="24"/>
        <v>10.235585469869676</v>
      </c>
      <c r="P153" s="1">
        <f t="shared" si="25"/>
        <v>14.038699271405504</v>
      </c>
      <c r="Q153" s="1">
        <f t="shared" si="26"/>
        <v>12.141257748692123</v>
      </c>
      <c r="R153" s="1">
        <v>125.22909999999999</v>
      </c>
      <c r="S153" s="1" t="e">
        <f t="shared" si="27"/>
        <v>#N/A</v>
      </c>
      <c r="T153" s="1" t="e">
        <v>#N/A</v>
      </c>
    </row>
    <row r="154" spans="1:57" x14ac:dyDescent="0.35">
      <c r="A154" s="1">
        <v>500479.59179999999</v>
      </c>
      <c r="B154" s="1">
        <v>5999997.7630000003</v>
      </c>
      <c r="C154" s="1">
        <v>148.55007364474301</v>
      </c>
      <c r="D154" s="1">
        <f t="shared" si="28"/>
        <v>480.45814699949881</v>
      </c>
      <c r="E154" s="1">
        <v>0.01</v>
      </c>
      <c r="F154" s="1">
        <v>0.05</v>
      </c>
      <c r="G154" s="1">
        <v>0.1</v>
      </c>
      <c r="H154" s="1">
        <v>9.81</v>
      </c>
      <c r="I154" s="1">
        <v>2650</v>
      </c>
      <c r="J154" s="1">
        <v>1000</v>
      </c>
      <c r="K154" s="1">
        <v>1.65</v>
      </c>
      <c r="L154" s="1">
        <v>6.5</v>
      </c>
      <c r="M154" s="1">
        <v>2.5</v>
      </c>
      <c r="N154" s="6">
        <v>9.9999999999999995E-7</v>
      </c>
      <c r="O154" s="1">
        <f t="shared" si="24"/>
        <v>10.217030880251457</v>
      </c>
      <c r="P154" s="1">
        <f t="shared" si="25"/>
        <v>10.496604105828091</v>
      </c>
      <c r="Q154" s="1">
        <f t="shared" si="26"/>
        <v>12.267651688616798</v>
      </c>
      <c r="R154" s="1">
        <v>125.22909999999999</v>
      </c>
      <c r="S154" s="1" t="e">
        <f t="shared" si="27"/>
        <v>#N/A</v>
      </c>
      <c r="T154" s="1" t="e">
        <v>#N/A</v>
      </c>
    </row>
    <row r="155" spans="1:57" x14ac:dyDescent="0.35">
      <c r="A155" s="1">
        <v>500489.79590000003</v>
      </c>
      <c r="B155" s="1">
        <v>5999997.9929999998</v>
      </c>
      <c r="C155" s="1">
        <v>146.10014692256101</v>
      </c>
      <c r="D155" s="1">
        <f t="shared" si="28"/>
        <v>490.66483876570913</v>
      </c>
      <c r="E155" s="1">
        <v>0.01</v>
      </c>
      <c r="F155" s="1">
        <v>0.05</v>
      </c>
      <c r="G155" s="1">
        <v>0.1</v>
      </c>
      <c r="H155" s="1">
        <v>9.81</v>
      </c>
      <c r="I155" s="1">
        <v>2650</v>
      </c>
      <c r="J155" s="1">
        <v>1000</v>
      </c>
      <c r="K155" s="1">
        <v>1.65</v>
      </c>
      <c r="L155" s="1">
        <v>6.5</v>
      </c>
      <c r="M155" s="1">
        <v>2.5</v>
      </c>
      <c r="N155" s="6">
        <v>9.9999999999999995E-7</v>
      </c>
      <c r="O155" s="1">
        <f t="shared" si="24"/>
        <v>10.209902888805345</v>
      </c>
      <c r="P155" s="1">
        <f t="shared" si="25"/>
        <v>10.652346301971106</v>
      </c>
      <c r="Q155" s="1">
        <f t="shared" si="26"/>
        <v>10.574475203899599</v>
      </c>
      <c r="R155" s="1">
        <v>125.22909999999999</v>
      </c>
      <c r="S155" s="1" t="e">
        <f t="shared" si="27"/>
        <v>#N/A</v>
      </c>
      <c r="T155" s="1" t="e">
        <v>#N/A</v>
      </c>
    </row>
    <row r="156" spans="1:57" x14ac:dyDescent="0.35">
      <c r="A156" s="1">
        <v>500500</v>
      </c>
      <c r="B156" s="1">
        <v>5999998.4220000003</v>
      </c>
      <c r="C156" s="1">
        <v>149.127486336511</v>
      </c>
      <c r="D156" s="1">
        <f t="shared" si="28"/>
        <v>500.8779527771095</v>
      </c>
      <c r="E156" s="1">
        <v>0.01</v>
      </c>
      <c r="F156" s="1">
        <v>0.05</v>
      </c>
      <c r="G156" s="1">
        <v>0.1</v>
      </c>
      <c r="H156" s="1">
        <v>9.81</v>
      </c>
      <c r="I156" s="1">
        <v>2650</v>
      </c>
      <c r="J156" s="1">
        <v>1000</v>
      </c>
      <c r="K156" s="1">
        <v>1.65</v>
      </c>
      <c r="L156" s="1">
        <v>6.5</v>
      </c>
      <c r="M156" s="1">
        <v>2.5</v>
      </c>
      <c r="N156" s="6">
        <v>9.9999999999999995E-7</v>
      </c>
      <c r="O156" s="1">
        <f xml:space="preserve"> (D156 - D155) / 2</f>
        <v>5.1065570057001821</v>
      </c>
    </row>
    <row r="158" spans="1:57" x14ac:dyDescent="0.35">
      <c r="A158" s="1" t="s">
        <v>0</v>
      </c>
      <c r="B158" s="1" t="s">
        <v>1</v>
      </c>
      <c r="C158" s="1" t="s">
        <v>2</v>
      </c>
      <c r="D158" s="1" t="s">
        <v>18</v>
      </c>
      <c r="E158" s="1" t="s">
        <v>67</v>
      </c>
      <c r="F158" s="1" t="s">
        <v>66</v>
      </c>
      <c r="G158" s="1" t="s">
        <v>65</v>
      </c>
      <c r="H158" s="1" t="s">
        <v>64</v>
      </c>
      <c r="I158" s="1" t="s">
        <v>63</v>
      </c>
      <c r="J158" s="1" t="s">
        <v>62</v>
      </c>
      <c r="K158" s="1" t="s">
        <v>61</v>
      </c>
      <c r="L158" s="1" t="s">
        <v>60</v>
      </c>
      <c r="M158" s="1" t="s">
        <v>59</v>
      </c>
      <c r="N158" s="1" t="s">
        <v>58</v>
      </c>
      <c r="O158" s="1" t="s">
        <v>57</v>
      </c>
      <c r="P158" s="1" t="s">
        <v>56</v>
      </c>
      <c r="Q158" s="1" t="s">
        <v>55</v>
      </c>
      <c r="R158" s="1" t="s">
        <v>54</v>
      </c>
      <c r="S158" s="1" t="s">
        <v>16</v>
      </c>
      <c r="T158" s="1" t="s">
        <v>53</v>
      </c>
      <c r="U158" s="10" t="s">
        <v>52</v>
      </c>
      <c r="V158" s="10" t="s">
        <v>51</v>
      </c>
      <c r="W158" s="10" t="s">
        <v>50</v>
      </c>
      <c r="X158" s="10" t="s">
        <v>49</v>
      </c>
      <c r="Y158" s="1" t="s">
        <v>48</v>
      </c>
      <c r="Z158" s="1" t="s">
        <v>47</v>
      </c>
      <c r="AA158" s="1" t="s">
        <v>46</v>
      </c>
      <c r="AB158" s="1" t="s">
        <v>45</v>
      </c>
      <c r="AC158" s="1" t="s">
        <v>44</v>
      </c>
      <c r="AD158" s="1" t="s">
        <v>43</v>
      </c>
      <c r="AE158" s="1" t="s">
        <v>42</v>
      </c>
      <c r="AF158" s="1" t="s">
        <v>41</v>
      </c>
      <c r="AG158" s="1" t="s">
        <v>40</v>
      </c>
      <c r="AH158" s="1" t="s">
        <v>39</v>
      </c>
      <c r="AI158" s="1" t="s">
        <v>38</v>
      </c>
      <c r="AJ158" s="1" t="s">
        <v>37</v>
      </c>
      <c r="AK158" s="1" t="s">
        <v>36</v>
      </c>
      <c r="AL158" s="1" t="s">
        <v>35</v>
      </c>
      <c r="AM158" s="1" t="s">
        <v>34</v>
      </c>
      <c r="AN158" s="1" t="s">
        <v>34</v>
      </c>
      <c r="AO158" s="7" t="s">
        <v>33</v>
      </c>
      <c r="AP158" s="7" t="s">
        <v>32</v>
      </c>
      <c r="AQ158" s="7" t="s">
        <v>31</v>
      </c>
      <c r="AR158" s="7" t="s">
        <v>30</v>
      </c>
      <c r="AS158" s="7" t="s">
        <v>29</v>
      </c>
      <c r="AT158" s="7" t="s">
        <v>28</v>
      </c>
      <c r="AU158" s="7" t="s">
        <v>27</v>
      </c>
      <c r="AV158" s="7" t="s">
        <v>27</v>
      </c>
      <c r="AW158" s="1" t="s">
        <v>26</v>
      </c>
      <c r="AX158" s="1" t="s">
        <v>25</v>
      </c>
      <c r="AY158" s="1" t="s">
        <v>24</v>
      </c>
      <c r="AZ158" s="1" t="s">
        <v>23</v>
      </c>
      <c r="BA158" s="1" t="s">
        <v>22</v>
      </c>
      <c r="BB158" s="1" t="s">
        <v>21</v>
      </c>
      <c r="BC158" s="1" t="s">
        <v>20</v>
      </c>
      <c r="BD158" s="1" t="s">
        <v>20</v>
      </c>
      <c r="BE158" s="1" t="s">
        <v>19</v>
      </c>
    </row>
    <row r="159" spans="1:57" x14ac:dyDescent="0.35">
      <c r="A159" s="1">
        <v>500000</v>
      </c>
      <c r="B159" s="1">
        <v>5999999.0959999999</v>
      </c>
      <c r="C159" s="1">
        <v>146.95665459614199</v>
      </c>
      <c r="D159" s="1">
        <v>0</v>
      </c>
      <c r="E159" s="1">
        <v>0.01</v>
      </c>
      <c r="F159" s="1">
        <v>0.05</v>
      </c>
      <c r="G159" s="1">
        <v>0.1</v>
      </c>
      <c r="H159" s="1">
        <v>9.81</v>
      </c>
      <c r="I159" s="1">
        <v>2650</v>
      </c>
      <c r="J159" s="1">
        <v>1000</v>
      </c>
      <c r="K159" s="1">
        <v>1.65</v>
      </c>
      <c r="L159" s="1">
        <v>6.5</v>
      </c>
      <c r="M159" s="1">
        <v>2.5</v>
      </c>
      <c r="N159" s="6">
        <v>9.9999999999999995E-7</v>
      </c>
      <c r="O159" s="1">
        <f xml:space="preserve"> (D160 - D159) / 2</f>
        <v>5.1061868798967165</v>
      </c>
      <c r="P159" s="1">
        <f t="shared" ref="P159:P190" si="29">SQRT((D160 - D159)^2 + (C160 - C159)^2)</f>
        <v>12.612081347143071</v>
      </c>
      <c r="Q159" s="1">
        <f t="shared" ref="Q159:Q190" si="30">IF(ROW()=159, P159/2, (P159 + P158)/2)</f>
        <v>6.3060406735715357</v>
      </c>
      <c r="R159" s="1">
        <v>125.27909999999999</v>
      </c>
      <c r="S159" s="1" t="e">
        <f t="shared" ref="S159:S190" si="31">IF(R159 - C159 &lt; 0, NA(), R159 - C159)</f>
        <v>#N/A</v>
      </c>
      <c r="T159" s="1" t="e">
        <v>#N/A</v>
      </c>
      <c r="U159" s="10" cm="1">
        <f t="array" ref="U159">SUMPRODUCT(IF(ISNA(T159:T208), 0, T159:T208), IF(ISNA(O159:O208), 0, O159:O208))</f>
        <v>2.5548835710745363</v>
      </c>
      <c r="V159" s="10">
        <f>SUMIF(S159:S208, "&gt;0", O159:O208)</f>
        <v>10.221049857319429</v>
      </c>
      <c r="W159" s="10">
        <f>SUMIF(S159:S208, "&gt;0", Q159:Q208)</f>
        <v>10.577000852837193</v>
      </c>
      <c r="X159" s="10">
        <f>U159/W159</f>
        <v>0.24155085232778534</v>
      </c>
      <c r="Y159" s="1">
        <f xml:space="preserve"> (6.5 * 2.5 * (X159 / G159)) / SQRT(6.5^2 + 2.5^2 * (X159 / G159)^(5/3))</f>
        <v>4.7107778696360985</v>
      </c>
      <c r="Z159" s="1">
        <f>Y159*SQRT(X159*H159*E159)</f>
        <v>0.72515595368440289</v>
      </c>
      <c r="AA159" s="1">
        <f>J159*H159*X159*E159</f>
        <v>23.696138613355743</v>
      </c>
      <c r="AB159" s="1">
        <f>(AA159 / (9.81 * 1000 *1.65 * F159))</f>
        <v>2.9278891191246707E-2</v>
      </c>
      <c r="AC159" s="9">
        <f xml:space="preserve"> F159 * (K159 * H159 / (N159)^2)^(1/3)</f>
        <v>1264.7974700106745</v>
      </c>
      <c r="AD159" s="1">
        <f xml:space="preserve"> 0.3 / (1 + 1.2 * AC159) + 0.055 * (1 - EXP(-0.02 * AC159))</f>
        <v>5.5197529957883754E-2</v>
      </c>
      <c r="AE159" s="1">
        <f>IF(AC159 &lt;= 4, 0.24 * AC159^-1, IF(AC159 &gt; 4, IF(AC159 &lt;= 10, 0.14 * AC159^-0.64, IF(AC159 &lt;= 20, 0.04 * AC159^-0.1, IF(AC159 &lt;= 150, 0.013 * AC159^0.29, 0.056)))))</f>
        <v>5.6000000000000001E-2</v>
      </c>
      <c r="AF159" s="1">
        <f>AB159/AD159-1</f>
        <v>-0.46956156890377554</v>
      </c>
      <c r="AG159" s="1">
        <f xml:space="preserve"> 2.45 * SQRT(AD159) / (K159 + 1)^0.4</f>
        <v>0.38978718496890047</v>
      </c>
      <c r="AH159" s="1">
        <f>SQRT(2/3 + 36 / AC159^3) - SQRT(36 / AC159^3)</f>
        <v>0.81636320289979147</v>
      </c>
      <c r="AI159" s="1">
        <f>AA159* Z159 / (J159 * (H159* K159 * F159)^(3/2))</f>
        <v>2.3600682627964269E-2</v>
      </c>
      <c r="AJ159" s="1">
        <f>AD159* K159 * F159 / E159</f>
        <v>0.45537962215254096</v>
      </c>
      <c r="AK159" s="1">
        <f>Y159 * AD159^(3/2)</f>
        <v>6.1090276661442323E-2</v>
      </c>
      <c r="AL159" s="1">
        <f>(0.92 - 0.25 * SQRT(AK159 / AI159))^9</f>
        <v>2.6748945581764466E-3</v>
      </c>
      <c r="AM159" s="1">
        <v>5.2759527000000001E-2</v>
      </c>
      <c r="AN159" s="1">
        <v>4.7434165E-2</v>
      </c>
      <c r="AO159" s="7">
        <f>IF(AB159 &gt; 0.047, 8 * (AB159 - 0.047)^(3/2), 0)</f>
        <v>0</v>
      </c>
      <c r="AP159" s="7">
        <f>IF(AB159&gt; 0.047, 4 * (AB159 - 0.047)^(3/2), 0)</f>
        <v>0</v>
      </c>
      <c r="AQ159" s="7" t="e">
        <f xml:space="preserve"> (0.053 / AC159^(0.3)) * ((AB159 / AE159) - 1)^2.1</f>
        <v>#NUM!</v>
      </c>
      <c r="AR159" s="7">
        <f xml:space="preserve"> IF(AB159 &gt; AD159, 0.635 * AF159 * SQRT(AB159) * (1 - (1 / (AG159*AF159)) * LOG(1 + AF159*AG159)), 0)</f>
        <v>0</v>
      </c>
      <c r="AS159" s="8">
        <f>IF(AB159&gt;= 0.19, 40 * AH159 * AB159^3, (AH159 * EXP(-0.391 / AB159)) / 0.465)</f>
        <v>2.7843143693336781E-6</v>
      </c>
      <c r="AT159" s="7">
        <f>AL159* AI159</f>
        <v>6.3129337530791021E-5</v>
      </c>
      <c r="AU159" s="7">
        <f>14 * AB159^2.5 / (1 + (AM159/AB159)^4)</f>
        <v>1.7790036851761146E-4</v>
      </c>
      <c r="AV159" s="7">
        <f>14*AB159^2.5/(1+(AN159/AB159)^4)</f>
        <v>2.6031612374303244E-4</v>
      </c>
      <c r="AW159" s="1">
        <f>AO159*SQRT(1.65*9.81*F159^3)</f>
        <v>0</v>
      </c>
      <c r="AX159" s="1">
        <f>AP159*SQRT(1.65*9.81*F159^3)</f>
        <v>0</v>
      </c>
      <c r="AY159" s="1" t="e">
        <f>AQ159*SQRT(1.65*9.81*F159^3)</f>
        <v>#NUM!</v>
      </c>
      <c r="AZ159" s="1">
        <f>AR159*SQRT(1.65*9.81*F159^3)</f>
        <v>0</v>
      </c>
      <c r="BA159" s="1">
        <f>AS159*SQRT(1.65*9.81*F159^3)</f>
        <v>1.252419298448284E-7</v>
      </c>
      <c r="BB159" s="1">
        <f>AT159*SQRT(1.65*9.81*F159^3)</f>
        <v>2.8396362671051158E-6</v>
      </c>
      <c r="BC159" s="1">
        <f>AU159*SQRT(1.65*9.81*G159^3)</f>
        <v>2.2633583693659062E-5</v>
      </c>
      <c r="BD159" s="1">
        <f>AV159*SQRT(1.65*9.81*G159^3)</f>
        <v>3.3119025118621714E-5</v>
      </c>
      <c r="BE159" s="1">
        <f>U159*Z159</f>
        <v>1.8526890325351684</v>
      </c>
    </row>
    <row r="160" spans="1:57" x14ac:dyDescent="0.35">
      <c r="A160" s="1">
        <v>500010.20409999997</v>
      </c>
      <c r="B160" s="1">
        <v>5999998.6849999996</v>
      </c>
      <c r="C160" s="1">
        <v>154.35746658519</v>
      </c>
      <c r="D160" s="1">
        <f t="shared" ref="D160:D191" si="32">D159 + SQRT((A160 - A159)^2 + (B160 - B159)^2)</f>
        <v>10.212373759793433</v>
      </c>
      <c r="E160" s="1">
        <v>0.01</v>
      </c>
      <c r="F160" s="1">
        <v>0.05</v>
      </c>
      <c r="G160" s="1">
        <v>0.1</v>
      </c>
      <c r="H160" s="1">
        <v>9.81</v>
      </c>
      <c r="I160" s="1">
        <v>2650</v>
      </c>
      <c r="J160" s="1">
        <v>1000</v>
      </c>
      <c r="K160" s="1">
        <v>1.65</v>
      </c>
      <c r="L160" s="1">
        <v>6.5</v>
      </c>
      <c r="M160" s="1">
        <v>2.5</v>
      </c>
      <c r="N160" s="6">
        <v>9.9999999999999995E-7</v>
      </c>
      <c r="O160" s="1">
        <f t="shared" ref="O160:O207" si="33" xml:space="preserve"> (D161 - D160 + D160 - D159) / 2</f>
        <v>10.212934886473896</v>
      </c>
      <c r="P160" s="1">
        <f t="shared" si="29"/>
        <v>10.748393624242958</v>
      </c>
      <c r="Q160" s="1">
        <f t="shared" si="30"/>
        <v>11.680237485693015</v>
      </c>
      <c r="R160" s="1">
        <v>125.27909999999999</v>
      </c>
      <c r="S160" s="1" t="e">
        <f t="shared" si="31"/>
        <v>#N/A</v>
      </c>
      <c r="T160" s="1" t="e">
        <v>#N/A</v>
      </c>
      <c r="AO160" s="7"/>
      <c r="AP160" s="7"/>
      <c r="AQ160" s="7"/>
      <c r="AR160" s="7"/>
      <c r="AS160" s="7"/>
      <c r="AT160" s="7"/>
      <c r="AU160" s="7"/>
      <c r="AV160" s="7"/>
    </row>
    <row r="161" spans="1:20" x14ac:dyDescent="0.35">
      <c r="A161" s="1">
        <v>500020.40820000001</v>
      </c>
      <c r="B161" s="1">
        <v>5999999.1229999997</v>
      </c>
      <c r="C161" s="1">
        <v>151.008964727501</v>
      </c>
      <c r="D161" s="1">
        <f t="shared" si="32"/>
        <v>20.425869772947792</v>
      </c>
      <c r="E161" s="1">
        <v>0.01</v>
      </c>
      <c r="F161" s="1">
        <v>0.05</v>
      </c>
      <c r="G161" s="1">
        <v>0.1</v>
      </c>
      <c r="H161" s="1">
        <v>9.81</v>
      </c>
      <c r="I161" s="1">
        <v>2650</v>
      </c>
      <c r="J161" s="1">
        <v>1000</v>
      </c>
      <c r="K161" s="1">
        <v>1.65</v>
      </c>
      <c r="L161" s="1">
        <v>6.5</v>
      </c>
      <c r="M161" s="1">
        <v>2.5</v>
      </c>
      <c r="N161" s="6">
        <v>9.9999999999999995E-7</v>
      </c>
      <c r="O161" s="1">
        <f t="shared" si="33"/>
        <v>10.21125621009096</v>
      </c>
      <c r="P161" s="1">
        <f t="shared" si="29"/>
        <v>13.985433799960637</v>
      </c>
      <c r="Q161" s="1">
        <f t="shared" si="30"/>
        <v>12.366913712101798</v>
      </c>
      <c r="R161" s="1">
        <v>125.27909999999999</v>
      </c>
      <c r="S161" s="1" t="e">
        <f t="shared" si="31"/>
        <v>#N/A</v>
      </c>
      <c r="T161" s="1" t="e">
        <v>#N/A</v>
      </c>
    </row>
    <row r="162" spans="1:20" x14ac:dyDescent="0.35">
      <c r="A162" s="1">
        <v>500030.61219999997</v>
      </c>
      <c r="B162" s="1">
        <v>5999998.8030000003</v>
      </c>
      <c r="C162" s="1">
        <v>160.567643641144</v>
      </c>
      <c r="D162" s="1">
        <f t="shared" si="32"/>
        <v>30.634886179975354</v>
      </c>
      <c r="E162" s="1">
        <v>0.01</v>
      </c>
      <c r="F162" s="1">
        <v>0.05</v>
      </c>
      <c r="G162" s="1">
        <v>0.1</v>
      </c>
      <c r="H162" s="1">
        <v>9.81</v>
      </c>
      <c r="I162" s="1">
        <v>2650</v>
      </c>
      <c r="J162" s="1">
        <v>1000</v>
      </c>
      <c r="K162" s="1">
        <v>1.65</v>
      </c>
      <c r="L162" s="1">
        <v>6.5</v>
      </c>
      <c r="M162" s="1">
        <v>2.5</v>
      </c>
      <c r="N162" s="6">
        <v>9.9999999999999995E-7</v>
      </c>
      <c r="O162" s="1">
        <f t="shared" si="33"/>
        <v>10.214935822867286</v>
      </c>
      <c r="P162" s="1">
        <f t="shared" si="29"/>
        <v>10.224042445454263</v>
      </c>
      <c r="Q162" s="1">
        <f t="shared" si="30"/>
        <v>12.104738122707449</v>
      </c>
      <c r="R162" s="1">
        <v>125.27909999999999</v>
      </c>
      <c r="S162" s="1" t="e">
        <f t="shared" si="31"/>
        <v>#N/A</v>
      </c>
      <c r="T162" s="1" t="e">
        <v>#N/A</v>
      </c>
    </row>
    <row r="163" spans="1:20" x14ac:dyDescent="0.35">
      <c r="A163" s="1">
        <v>500040.81630000001</v>
      </c>
      <c r="B163" s="1">
        <v>5999998.2180000003</v>
      </c>
      <c r="C163" s="1">
        <v>160.82291235416201</v>
      </c>
      <c r="D163" s="1">
        <f t="shared" si="32"/>
        <v>40.855741418682364</v>
      </c>
      <c r="E163" s="1">
        <v>0.01</v>
      </c>
      <c r="F163" s="1">
        <v>0.05</v>
      </c>
      <c r="G163" s="1">
        <v>0.1</v>
      </c>
      <c r="H163" s="1">
        <v>9.81</v>
      </c>
      <c r="I163" s="1">
        <v>2650</v>
      </c>
      <c r="J163" s="1">
        <v>1000</v>
      </c>
      <c r="K163" s="1">
        <v>1.65</v>
      </c>
      <c r="L163" s="1">
        <v>6.5</v>
      </c>
      <c r="M163" s="1">
        <v>2.5</v>
      </c>
      <c r="N163" s="6">
        <v>9.9999999999999995E-7</v>
      </c>
      <c r="O163" s="1">
        <f t="shared" si="33"/>
        <v>10.231243785008825</v>
      </c>
      <c r="P163" s="1">
        <f t="shared" si="29"/>
        <v>10.333484931908488</v>
      </c>
      <c r="Q163" s="1">
        <f t="shared" si="30"/>
        <v>10.278763688681376</v>
      </c>
      <c r="R163" s="1">
        <v>125.27909999999999</v>
      </c>
      <c r="S163" s="1" t="e">
        <f t="shared" si="31"/>
        <v>#N/A</v>
      </c>
      <c r="T163" s="1" t="e">
        <v>#N/A</v>
      </c>
    </row>
    <row r="164" spans="1:20" x14ac:dyDescent="0.35">
      <c r="A164" s="1">
        <v>500051.02039999998</v>
      </c>
      <c r="B164" s="1">
        <v>5999997.3420000002</v>
      </c>
      <c r="C164" s="1">
        <v>159.448184007094</v>
      </c>
      <c r="D164" s="1">
        <f t="shared" si="32"/>
        <v>51.097373749993004</v>
      </c>
      <c r="E164" s="1">
        <v>0.01</v>
      </c>
      <c r="F164" s="1">
        <v>0.05</v>
      </c>
      <c r="G164" s="1">
        <v>0.1</v>
      </c>
      <c r="H164" s="1">
        <v>9.81</v>
      </c>
      <c r="I164" s="1">
        <v>2650</v>
      </c>
      <c r="J164" s="1">
        <v>1000</v>
      </c>
      <c r="K164" s="1">
        <v>1.65</v>
      </c>
      <c r="L164" s="1">
        <v>6.5</v>
      </c>
      <c r="M164" s="1">
        <v>2.5</v>
      </c>
      <c r="N164" s="6">
        <v>9.9999999999999995E-7</v>
      </c>
      <c r="O164" s="1">
        <f t="shared" si="33"/>
        <v>10.22297614478725</v>
      </c>
      <c r="P164" s="1">
        <f t="shared" si="29"/>
        <v>11.164078602095582</v>
      </c>
      <c r="Q164" s="1">
        <f t="shared" si="30"/>
        <v>10.748781767002036</v>
      </c>
      <c r="R164" s="1">
        <v>125.27909999999999</v>
      </c>
      <c r="S164" s="1" t="e">
        <f t="shared" si="31"/>
        <v>#N/A</v>
      </c>
      <c r="T164" s="1" t="e">
        <v>#N/A</v>
      </c>
    </row>
    <row r="165" spans="1:20" x14ac:dyDescent="0.35">
      <c r="A165" s="1">
        <v>500061.22450000001</v>
      </c>
      <c r="B165" s="1">
        <v>5999997.2750000004</v>
      </c>
      <c r="C165" s="1">
        <v>163.976815723534</v>
      </c>
      <c r="D165" s="1">
        <f t="shared" si="32"/>
        <v>61.301693708256863</v>
      </c>
      <c r="E165" s="1">
        <v>0.01</v>
      </c>
      <c r="F165" s="1">
        <v>0.05</v>
      </c>
      <c r="G165" s="1">
        <v>0.1</v>
      </c>
      <c r="H165" s="1">
        <v>9.81</v>
      </c>
      <c r="I165" s="1">
        <v>2650</v>
      </c>
      <c r="J165" s="1">
        <v>1000</v>
      </c>
      <c r="K165" s="1">
        <v>1.65</v>
      </c>
      <c r="L165" s="1">
        <v>6.5</v>
      </c>
      <c r="M165" s="1">
        <v>2.5</v>
      </c>
      <c r="N165" s="6">
        <v>9.9999999999999995E-7</v>
      </c>
      <c r="O165" s="1">
        <f t="shared" si="33"/>
        <v>10.209391538632293</v>
      </c>
      <c r="P165" s="1">
        <f t="shared" si="29"/>
        <v>11.034750060361873</v>
      </c>
      <c r="Q165" s="1">
        <f t="shared" si="30"/>
        <v>11.099414331228727</v>
      </c>
      <c r="R165" s="1">
        <v>125.27909999999999</v>
      </c>
      <c r="S165" s="1" t="e">
        <f t="shared" si="31"/>
        <v>#N/A</v>
      </c>
      <c r="T165" s="1" t="e">
        <v>#N/A</v>
      </c>
    </row>
    <row r="166" spans="1:20" x14ac:dyDescent="0.35">
      <c r="A166" s="1">
        <v>500071.42859999998</v>
      </c>
      <c r="B166" s="1">
        <v>5999996.8150000004</v>
      </c>
      <c r="C166" s="1">
        <v>168.15179501512699</v>
      </c>
      <c r="D166" s="1">
        <f t="shared" si="32"/>
        <v>71.516156827257589</v>
      </c>
      <c r="E166" s="1">
        <v>0.01</v>
      </c>
      <c r="F166" s="1">
        <v>0.05</v>
      </c>
      <c r="G166" s="1">
        <v>0.1</v>
      </c>
      <c r="H166" s="1">
        <v>9.81</v>
      </c>
      <c r="I166" s="1">
        <v>2650</v>
      </c>
      <c r="J166" s="1">
        <v>1000</v>
      </c>
      <c r="K166" s="1">
        <v>1.65</v>
      </c>
      <c r="L166" s="1">
        <v>6.5</v>
      </c>
      <c r="M166" s="1">
        <v>2.5</v>
      </c>
      <c r="N166" s="6">
        <v>9.9999999999999995E-7</v>
      </c>
      <c r="O166" s="1">
        <f t="shared" si="33"/>
        <v>10.229976351370027</v>
      </c>
      <c r="P166" s="1">
        <f t="shared" si="29"/>
        <v>11.687505241745082</v>
      </c>
      <c r="Q166" s="1">
        <f t="shared" si="30"/>
        <v>11.361127651053478</v>
      </c>
      <c r="R166" s="1">
        <v>125.27909999999999</v>
      </c>
      <c r="S166" s="1" t="e">
        <f t="shared" si="31"/>
        <v>#N/A</v>
      </c>
      <c r="T166" s="1" t="e">
        <v>#N/A</v>
      </c>
    </row>
    <row r="167" spans="1:20" x14ac:dyDescent="0.35">
      <c r="A167" s="1">
        <v>500081.63270000002</v>
      </c>
      <c r="B167" s="1">
        <v>5999997.7350000003</v>
      </c>
      <c r="C167" s="1">
        <v>162.52794206849799</v>
      </c>
      <c r="D167" s="1">
        <f t="shared" si="32"/>
        <v>81.761646410996917</v>
      </c>
      <c r="E167" s="1">
        <v>0.01</v>
      </c>
      <c r="F167" s="1">
        <v>0.05</v>
      </c>
      <c r="G167" s="1">
        <v>0.1</v>
      </c>
      <c r="H167" s="1">
        <v>9.81</v>
      </c>
      <c r="I167" s="1">
        <v>2650</v>
      </c>
      <c r="J167" s="1">
        <v>1000</v>
      </c>
      <c r="K167" s="1">
        <v>1.65</v>
      </c>
      <c r="L167" s="1">
        <v>6.5</v>
      </c>
      <c r="M167" s="1">
        <v>2.5</v>
      </c>
      <c r="N167" s="6">
        <v>9.9999999999999995E-7</v>
      </c>
      <c r="O167" s="1">
        <f t="shared" si="33"/>
        <v>10.224765396477437</v>
      </c>
      <c r="P167" s="1">
        <f t="shared" si="29"/>
        <v>11.652977208096294</v>
      </c>
      <c r="Q167" s="1">
        <f t="shared" si="30"/>
        <v>11.670241224920687</v>
      </c>
      <c r="R167" s="1">
        <v>125.27909999999999</v>
      </c>
      <c r="S167" s="1" t="e">
        <f t="shared" si="31"/>
        <v>#N/A</v>
      </c>
      <c r="T167" s="1" t="e">
        <v>#N/A</v>
      </c>
    </row>
    <row r="168" spans="1:20" x14ac:dyDescent="0.35">
      <c r="A168" s="1">
        <v>500091.83669999999</v>
      </c>
      <c r="B168" s="1">
        <v>5999997.7640000004</v>
      </c>
      <c r="C168" s="1">
        <v>168.15550111421601</v>
      </c>
      <c r="D168" s="1">
        <f t="shared" si="32"/>
        <v>91.965687620212464</v>
      </c>
      <c r="E168" s="1">
        <v>0.01</v>
      </c>
      <c r="F168" s="1">
        <v>0.05</v>
      </c>
      <c r="G168" s="1">
        <v>0.1</v>
      </c>
      <c r="H168" s="1">
        <v>9.81</v>
      </c>
      <c r="I168" s="1">
        <v>2650</v>
      </c>
      <c r="J168" s="1">
        <v>1000</v>
      </c>
      <c r="K168" s="1">
        <v>1.65</v>
      </c>
      <c r="L168" s="1">
        <v>6.5</v>
      </c>
      <c r="M168" s="1">
        <v>2.5</v>
      </c>
      <c r="N168" s="6">
        <v>9.9999999999999995E-7</v>
      </c>
      <c r="O168" s="1">
        <f t="shared" si="33"/>
        <v>10.204607223431253</v>
      </c>
      <c r="P168" s="1">
        <f t="shared" si="29"/>
        <v>10.499401533865951</v>
      </c>
      <c r="Q168" s="1">
        <f t="shared" si="30"/>
        <v>11.076189370981123</v>
      </c>
      <c r="R168" s="1">
        <v>125.27909999999999</v>
      </c>
      <c r="S168" s="1" t="e">
        <f t="shared" si="31"/>
        <v>#N/A</v>
      </c>
      <c r="T168" s="1" t="e">
        <v>#N/A</v>
      </c>
    </row>
    <row r="169" spans="1:20" x14ac:dyDescent="0.35">
      <c r="A169" s="1">
        <v>500102.04080000002</v>
      </c>
      <c r="B169" s="1">
        <v>5999997.9119999995</v>
      </c>
      <c r="C169" s="1">
        <v>170.62367285843499</v>
      </c>
      <c r="D169" s="1">
        <f t="shared" si="32"/>
        <v>102.17086085785942</v>
      </c>
      <c r="E169" s="1">
        <v>0.01</v>
      </c>
      <c r="F169" s="1">
        <v>0.05</v>
      </c>
      <c r="G169" s="1">
        <v>0.1</v>
      </c>
      <c r="H169" s="1">
        <v>9.81</v>
      </c>
      <c r="I169" s="1">
        <v>2650</v>
      </c>
      <c r="J169" s="1">
        <v>1000</v>
      </c>
      <c r="K169" s="1">
        <v>1.65</v>
      </c>
      <c r="L169" s="1">
        <v>6.5</v>
      </c>
      <c r="M169" s="1">
        <v>2.5</v>
      </c>
      <c r="N169" s="6">
        <v>9.9999999999999995E-7</v>
      </c>
      <c r="O169" s="1">
        <f t="shared" si="33"/>
        <v>10.21006882166494</v>
      </c>
      <c r="P169" s="1">
        <f t="shared" si="29"/>
        <v>10.948230205101877</v>
      </c>
      <c r="Q169" s="1">
        <f t="shared" si="30"/>
        <v>10.723815869483914</v>
      </c>
      <c r="R169" s="1">
        <v>125.27909999999999</v>
      </c>
      <c r="S169" s="1" t="e">
        <f t="shared" si="31"/>
        <v>#N/A</v>
      </c>
      <c r="T169" s="1" t="e">
        <v>#N/A</v>
      </c>
    </row>
    <row r="170" spans="1:20" x14ac:dyDescent="0.35">
      <c r="A170" s="1">
        <v>500112.24489999999</v>
      </c>
      <c r="B170" s="1">
        <v>5999997.4409999996</v>
      </c>
      <c r="C170" s="1">
        <v>174.56299346160199</v>
      </c>
      <c r="D170" s="1">
        <f t="shared" si="32"/>
        <v>112.38582526354234</v>
      </c>
      <c r="E170" s="1">
        <v>0.01</v>
      </c>
      <c r="F170" s="1">
        <v>0.05</v>
      </c>
      <c r="G170" s="1">
        <v>0.1</v>
      </c>
      <c r="H170" s="1">
        <v>9.81</v>
      </c>
      <c r="I170" s="1">
        <v>2650</v>
      </c>
      <c r="J170" s="1">
        <v>1000</v>
      </c>
      <c r="K170" s="1">
        <v>1.65</v>
      </c>
      <c r="L170" s="1">
        <v>6.5</v>
      </c>
      <c r="M170" s="1">
        <v>2.5</v>
      </c>
      <c r="N170" s="6">
        <v>9.9999999999999995E-7</v>
      </c>
      <c r="O170" s="1">
        <f t="shared" si="33"/>
        <v>10.211692861963954</v>
      </c>
      <c r="P170" s="1">
        <f t="shared" si="29"/>
        <v>13.530011313683339</v>
      </c>
      <c r="Q170" s="1">
        <f t="shared" si="30"/>
        <v>12.239120759392609</v>
      </c>
      <c r="R170" s="1">
        <v>125.27909999999999</v>
      </c>
      <c r="S170" s="1" t="e">
        <f t="shared" si="31"/>
        <v>#N/A</v>
      </c>
      <c r="T170" s="1" t="e">
        <v>#N/A</v>
      </c>
    </row>
    <row r="171" spans="1:20" x14ac:dyDescent="0.35">
      <c r="A171" s="1">
        <v>500122.44900000002</v>
      </c>
      <c r="B171" s="1">
        <v>5999997.7379999999</v>
      </c>
      <c r="C171" s="1">
        <v>165.68327835707299</v>
      </c>
      <c r="D171" s="1">
        <f t="shared" si="32"/>
        <v>122.59424658178733</v>
      </c>
      <c r="E171" s="1">
        <v>0.01</v>
      </c>
      <c r="F171" s="1">
        <v>0.05</v>
      </c>
      <c r="G171" s="1">
        <v>0.1</v>
      </c>
      <c r="H171" s="1">
        <v>9.81</v>
      </c>
      <c r="I171" s="1">
        <v>2650</v>
      </c>
      <c r="J171" s="1">
        <v>1000</v>
      </c>
      <c r="K171" s="1">
        <v>1.65</v>
      </c>
      <c r="L171" s="1">
        <v>6.5</v>
      </c>
      <c r="M171" s="1">
        <v>2.5</v>
      </c>
      <c r="N171" s="6">
        <v>9.9999999999999995E-7</v>
      </c>
      <c r="O171" s="1">
        <f t="shared" si="33"/>
        <v>10.212455607463802</v>
      </c>
      <c r="P171" s="1">
        <f t="shared" si="29"/>
        <v>12.917030195420445</v>
      </c>
      <c r="Q171" s="1">
        <f t="shared" si="30"/>
        <v>13.223520754551892</v>
      </c>
      <c r="R171" s="1">
        <v>125.27909999999999</v>
      </c>
      <c r="S171" s="1" t="e">
        <f t="shared" si="31"/>
        <v>#N/A</v>
      </c>
      <c r="T171" s="1" t="e">
        <v>#N/A</v>
      </c>
    </row>
    <row r="172" spans="1:20" x14ac:dyDescent="0.35">
      <c r="A172" s="1">
        <v>500132.6531</v>
      </c>
      <c r="B172" s="1">
        <v>5999997.2350000003</v>
      </c>
      <c r="C172" s="1">
        <v>173.58726489934301</v>
      </c>
      <c r="D172" s="1">
        <f t="shared" si="32"/>
        <v>132.81073647846995</v>
      </c>
      <c r="E172" s="1">
        <v>0.01</v>
      </c>
      <c r="F172" s="1">
        <v>0.05</v>
      </c>
      <c r="G172" s="1">
        <v>0.1</v>
      </c>
      <c r="H172" s="1">
        <v>9.81</v>
      </c>
      <c r="I172" s="1">
        <v>2650</v>
      </c>
      <c r="J172" s="1">
        <v>1000</v>
      </c>
      <c r="K172" s="1">
        <v>1.65</v>
      </c>
      <c r="L172" s="1">
        <v>6.5</v>
      </c>
      <c r="M172" s="1">
        <v>2.5</v>
      </c>
      <c r="N172" s="6">
        <v>9.9999999999999995E-7</v>
      </c>
      <c r="O172" s="1">
        <f t="shared" si="33"/>
        <v>10.225512676353247</v>
      </c>
      <c r="P172" s="1">
        <f t="shared" si="29"/>
        <v>13.492945518552009</v>
      </c>
      <c r="Q172" s="1">
        <f t="shared" si="30"/>
        <v>13.204987856986227</v>
      </c>
      <c r="R172" s="1">
        <v>125.27909999999999</v>
      </c>
      <c r="S172" s="1" t="e">
        <f t="shared" si="31"/>
        <v>#N/A</v>
      </c>
      <c r="T172" s="1" t="e">
        <v>#N/A</v>
      </c>
    </row>
    <row r="173" spans="1:20" x14ac:dyDescent="0.35">
      <c r="A173" s="1">
        <v>500142.85710000002</v>
      </c>
      <c r="B173" s="1">
        <v>5999996.4450000003</v>
      </c>
      <c r="C173" s="1">
        <v>164.79443470844299</v>
      </c>
      <c r="D173" s="1">
        <f t="shared" si="32"/>
        <v>143.04527193449383</v>
      </c>
      <c r="E173" s="1">
        <v>0.01</v>
      </c>
      <c r="F173" s="1">
        <v>0.05</v>
      </c>
      <c r="G173" s="1">
        <v>0.1</v>
      </c>
      <c r="H173" s="1">
        <v>9.81</v>
      </c>
      <c r="I173" s="1">
        <v>2650</v>
      </c>
      <c r="J173" s="1">
        <v>1000</v>
      </c>
      <c r="K173" s="1">
        <v>1.65</v>
      </c>
      <c r="L173" s="1">
        <v>6.5</v>
      </c>
      <c r="M173" s="1">
        <v>2.5</v>
      </c>
      <c r="N173" s="6">
        <v>9.9999999999999995E-7</v>
      </c>
      <c r="O173" s="1">
        <f t="shared" si="33"/>
        <v>10.219577641411078</v>
      </c>
      <c r="P173" s="1">
        <f t="shared" si="29"/>
        <v>10.57052865269438</v>
      </c>
      <c r="Q173" s="1">
        <f t="shared" si="30"/>
        <v>12.031737085623195</v>
      </c>
      <c r="R173" s="1">
        <v>125.27909999999999</v>
      </c>
      <c r="S173" s="1" t="e">
        <f t="shared" si="31"/>
        <v>#N/A</v>
      </c>
      <c r="T173" s="1" t="e">
        <v>#N/A</v>
      </c>
    </row>
    <row r="174" spans="1:20" x14ac:dyDescent="0.35">
      <c r="A174" s="1">
        <v>500153.0612</v>
      </c>
      <c r="B174" s="1">
        <v>5999996.5480000004</v>
      </c>
      <c r="C174" s="1">
        <v>167.55157275140499</v>
      </c>
      <c r="D174" s="1">
        <f t="shared" si="32"/>
        <v>153.2498917612921</v>
      </c>
      <c r="E174" s="1">
        <v>0.01</v>
      </c>
      <c r="F174" s="1">
        <v>0.05</v>
      </c>
      <c r="G174" s="1">
        <v>0.1</v>
      </c>
      <c r="H174" s="1">
        <v>9.81</v>
      </c>
      <c r="I174" s="1">
        <v>2650</v>
      </c>
      <c r="J174" s="1">
        <v>1000</v>
      </c>
      <c r="K174" s="1">
        <v>1.65</v>
      </c>
      <c r="L174" s="1">
        <v>6.5</v>
      </c>
      <c r="M174" s="1">
        <v>2.5</v>
      </c>
      <c r="N174" s="6">
        <v>9.9999999999999995E-7</v>
      </c>
      <c r="O174" s="1">
        <f t="shared" si="33"/>
        <v>10.204940921281036</v>
      </c>
      <c r="P174" s="1">
        <f t="shared" si="29"/>
        <v>10.682627590463349</v>
      </c>
      <c r="Q174" s="1">
        <f t="shared" si="30"/>
        <v>10.626578121578865</v>
      </c>
      <c r="R174" s="1">
        <v>125.27909999999999</v>
      </c>
      <c r="S174" s="1" t="e">
        <f t="shared" si="31"/>
        <v>#N/A</v>
      </c>
      <c r="T174" s="1" t="e">
        <v>#N/A</v>
      </c>
    </row>
    <row r="175" spans="1:20" x14ac:dyDescent="0.35">
      <c r="A175" s="1">
        <v>500163.26530000003</v>
      </c>
      <c r="B175" s="1">
        <v>5999996.7019999996</v>
      </c>
      <c r="C175" s="1">
        <v>164.39385847900201</v>
      </c>
      <c r="D175" s="1">
        <f t="shared" si="32"/>
        <v>163.4551537770559</v>
      </c>
      <c r="E175" s="1">
        <v>0.01</v>
      </c>
      <c r="F175" s="1">
        <v>0.05</v>
      </c>
      <c r="G175" s="1">
        <v>0.1</v>
      </c>
      <c r="H175" s="1">
        <v>9.81</v>
      </c>
      <c r="I175" s="1">
        <v>2650</v>
      </c>
      <c r="J175" s="1">
        <v>1000</v>
      </c>
      <c r="K175" s="1">
        <v>1.65</v>
      </c>
      <c r="L175" s="1">
        <v>6.5</v>
      </c>
      <c r="M175" s="1">
        <v>2.5</v>
      </c>
      <c r="N175" s="6">
        <v>9.9999999999999995E-7</v>
      </c>
      <c r="O175" s="1">
        <f t="shared" si="33"/>
        <v>10.213849082106762</v>
      </c>
      <c r="P175" s="1">
        <f t="shared" si="29"/>
        <v>11.026540308620518</v>
      </c>
      <c r="Q175" s="1">
        <f t="shared" si="30"/>
        <v>10.854583949541933</v>
      </c>
      <c r="R175" s="1">
        <v>125.27909999999999</v>
      </c>
      <c r="S175" s="1" t="e">
        <f t="shared" si="31"/>
        <v>#N/A</v>
      </c>
      <c r="T175" s="1" t="e">
        <v>#N/A</v>
      </c>
    </row>
    <row r="176" spans="1:20" x14ac:dyDescent="0.35">
      <c r="A176" s="1">
        <v>500173.4694</v>
      </c>
      <c r="B176" s="1">
        <v>5999996.0899999999</v>
      </c>
      <c r="C176" s="1">
        <v>168.52742719967199</v>
      </c>
      <c r="D176" s="1">
        <f t="shared" si="32"/>
        <v>173.67758992550563</v>
      </c>
      <c r="E176" s="1">
        <v>0.01</v>
      </c>
      <c r="F176" s="1">
        <v>0.05</v>
      </c>
      <c r="G176" s="1">
        <v>0.1</v>
      </c>
      <c r="H176" s="1">
        <v>9.81</v>
      </c>
      <c r="I176" s="1">
        <v>2650</v>
      </c>
      <c r="J176" s="1">
        <v>1000</v>
      </c>
      <c r="K176" s="1">
        <v>1.65</v>
      </c>
      <c r="L176" s="1">
        <v>6.5</v>
      </c>
      <c r="M176" s="1">
        <v>2.5</v>
      </c>
      <c r="N176" s="6">
        <v>9.9999999999999995E-7</v>
      </c>
      <c r="O176" s="1">
        <f t="shared" si="33"/>
        <v>10.214988293625822</v>
      </c>
      <c r="P176" s="1">
        <f t="shared" si="29"/>
        <v>10.632479456336906</v>
      </c>
      <c r="Q176" s="1">
        <f t="shared" si="30"/>
        <v>10.829509882478712</v>
      </c>
      <c r="R176" s="1">
        <v>125.27909999999999</v>
      </c>
      <c r="S176" s="1" t="e">
        <f t="shared" si="31"/>
        <v>#N/A</v>
      </c>
      <c r="T176" s="1" t="e">
        <v>#N/A</v>
      </c>
    </row>
    <row r="177" spans="1:20" x14ac:dyDescent="0.35">
      <c r="A177" s="1">
        <v>500183.67349999998</v>
      </c>
      <c r="B177" s="1">
        <v>5999996.3550000004</v>
      </c>
      <c r="C177" s="1">
        <v>165.55156806663999</v>
      </c>
      <c r="D177" s="1">
        <f t="shared" si="32"/>
        <v>183.88513036430754</v>
      </c>
      <c r="E177" s="1">
        <v>0.01</v>
      </c>
      <c r="F177" s="1">
        <v>0.05</v>
      </c>
      <c r="G177" s="1">
        <v>0.1</v>
      </c>
      <c r="H177" s="1">
        <v>9.81</v>
      </c>
      <c r="I177" s="1">
        <v>2650</v>
      </c>
      <c r="J177" s="1">
        <v>1000</v>
      </c>
      <c r="K177" s="1">
        <v>1.65</v>
      </c>
      <c r="L177" s="1">
        <v>6.5</v>
      </c>
      <c r="M177" s="1">
        <v>2.5</v>
      </c>
      <c r="N177" s="6">
        <v>9.9999999999999995E-7</v>
      </c>
      <c r="O177" s="1">
        <f t="shared" si="33"/>
        <v>10.210285318026777</v>
      </c>
      <c r="P177" s="1">
        <f t="shared" si="29"/>
        <v>10.217153370786205</v>
      </c>
      <c r="Q177" s="1">
        <f t="shared" si="30"/>
        <v>10.424816413561555</v>
      </c>
      <c r="R177" s="1">
        <v>125.27909999999999</v>
      </c>
      <c r="S177" s="1" t="e">
        <f t="shared" si="31"/>
        <v>#N/A</v>
      </c>
      <c r="T177" s="1" t="e">
        <v>#N/A</v>
      </c>
    </row>
    <row r="178" spans="1:20" x14ac:dyDescent="0.35">
      <c r="A178" s="1">
        <v>500193.87760000001</v>
      </c>
      <c r="B178" s="1">
        <v>5999996.7819999997</v>
      </c>
      <c r="C178" s="1">
        <v>165.84180450851801</v>
      </c>
      <c r="D178" s="1">
        <f t="shared" si="32"/>
        <v>194.09816056155918</v>
      </c>
      <c r="E178" s="1">
        <v>0.01</v>
      </c>
      <c r="F178" s="1">
        <v>0.05</v>
      </c>
      <c r="G178" s="1">
        <v>0.1</v>
      </c>
      <c r="H178" s="1">
        <v>9.81</v>
      </c>
      <c r="I178" s="1">
        <v>2650</v>
      </c>
      <c r="J178" s="1">
        <v>1000</v>
      </c>
      <c r="K178" s="1">
        <v>1.65</v>
      </c>
      <c r="L178" s="1">
        <v>6.5</v>
      </c>
      <c r="M178" s="1">
        <v>2.5</v>
      </c>
      <c r="N178" s="6">
        <v>9.9999999999999995E-7</v>
      </c>
      <c r="O178" s="1">
        <f t="shared" si="33"/>
        <v>10.225732250662787</v>
      </c>
      <c r="P178" s="1">
        <f t="shared" si="29"/>
        <v>11.805317568883225</v>
      </c>
      <c r="Q178" s="1">
        <f t="shared" si="30"/>
        <v>11.011235469834716</v>
      </c>
      <c r="R178" s="1">
        <v>125.27909999999999</v>
      </c>
      <c r="S178" s="1" t="e">
        <f t="shared" si="31"/>
        <v>#N/A</v>
      </c>
      <c r="T178" s="1" t="e">
        <v>#N/A</v>
      </c>
    </row>
    <row r="179" spans="1:20" x14ac:dyDescent="0.35">
      <c r="A179" s="1">
        <v>500204.08159999998</v>
      </c>
      <c r="B179" s="1">
        <v>5999995.943</v>
      </c>
      <c r="C179" s="1">
        <v>159.96473160584401</v>
      </c>
      <c r="D179" s="1">
        <f t="shared" si="32"/>
        <v>204.33659486563312</v>
      </c>
      <c r="E179" s="1">
        <v>0.01</v>
      </c>
      <c r="F179" s="1">
        <v>0.05</v>
      </c>
      <c r="G179" s="1">
        <v>0.1</v>
      </c>
      <c r="H179" s="1">
        <v>9.81</v>
      </c>
      <c r="I179" s="1">
        <v>2650</v>
      </c>
      <c r="J179" s="1">
        <v>1000</v>
      </c>
      <c r="K179" s="1">
        <v>1.65</v>
      </c>
      <c r="L179" s="1">
        <v>6.5</v>
      </c>
      <c r="M179" s="1">
        <v>2.5</v>
      </c>
      <c r="N179" s="6">
        <v>9.9999999999999995E-7</v>
      </c>
      <c r="O179" s="1">
        <f t="shared" si="33"/>
        <v>10.222474465035148</v>
      </c>
      <c r="P179" s="1">
        <f t="shared" si="29"/>
        <v>10.510110351296964</v>
      </c>
      <c r="Q179" s="1">
        <f t="shared" si="30"/>
        <v>11.157713960090096</v>
      </c>
      <c r="R179" s="1">
        <v>125.27909999999999</v>
      </c>
      <c r="S179" s="1" t="e">
        <f t="shared" si="31"/>
        <v>#N/A</v>
      </c>
      <c r="T179" s="1" t="e">
        <v>#N/A</v>
      </c>
    </row>
    <row r="180" spans="1:20" x14ac:dyDescent="0.35">
      <c r="A180" s="1">
        <v>500214.28570000001</v>
      </c>
      <c r="B180" s="1">
        <v>5999995.7209999999</v>
      </c>
      <c r="C180" s="1">
        <v>162.47261493362501</v>
      </c>
      <c r="D180" s="1">
        <f t="shared" si="32"/>
        <v>214.54310949162948</v>
      </c>
      <c r="E180" s="1">
        <v>0.01</v>
      </c>
      <c r="F180" s="1">
        <v>0.05</v>
      </c>
      <c r="G180" s="1">
        <v>0.1</v>
      </c>
      <c r="H180" s="1">
        <v>9.81</v>
      </c>
      <c r="I180" s="1">
        <v>2650</v>
      </c>
      <c r="J180" s="1">
        <v>1000</v>
      </c>
      <c r="K180" s="1">
        <v>1.65</v>
      </c>
      <c r="L180" s="1">
        <v>6.5</v>
      </c>
      <c r="M180" s="1">
        <v>2.5</v>
      </c>
      <c r="N180" s="6">
        <v>9.9999999999999995E-7</v>
      </c>
      <c r="O180" s="1">
        <f t="shared" si="33"/>
        <v>10.209668499185454</v>
      </c>
      <c r="P180" s="1">
        <f t="shared" si="29"/>
        <v>13.932835838967597</v>
      </c>
      <c r="Q180" s="1">
        <f t="shared" si="30"/>
        <v>12.22147309513228</v>
      </c>
      <c r="R180" s="1">
        <v>125.27909999999999</v>
      </c>
      <c r="S180" s="1" t="e">
        <f t="shared" si="31"/>
        <v>#N/A</v>
      </c>
      <c r="T180" s="1" t="e">
        <v>#N/A</v>
      </c>
    </row>
    <row r="181" spans="1:20" x14ac:dyDescent="0.35">
      <c r="A181" s="1">
        <v>500224.48979999998</v>
      </c>
      <c r="B181" s="1">
        <v>5999996.1430000002</v>
      </c>
      <c r="C181" s="1">
        <v>152.99515885586101</v>
      </c>
      <c r="D181" s="1">
        <f t="shared" si="32"/>
        <v>224.75593186400403</v>
      </c>
      <c r="E181" s="1">
        <v>0.01</v>
      </c>
      <c r="F181" s="1">
        <v>0.05</v>
      </c>
      <c r="G181" s="1">
        <v>0.1</v>
      </c>
      <c r="H181" s="1">
        <v>9.81</v>
      </c>
      <c r="I181" s="1">
        <v>2650</v>
      </c>
      <c r="J181" s="1">
        <v>1000</v>
      </c>
      <c r="K181" s="1">
        <v>1.65</v>
      </c>
      <c r="L181" s="1">
        <v>6.5</v>
      </c>
      <c r="M181" s="1">
        <v>2.5</v>
      </c>
      <c r="N181" s="6">
        <v>9.9999999999999995E-7</v>
      </c>
      <c r="O181" s="1">
        <f t="shared" si="33"/>
        <v>10.211706300347956</v>
      </c>
      <c r="P181" s="1">
        <f t="shared" si="29"/>
        <v>10.301820481574744</v>
      </c>
      <c r="Q181" s="1">
        <f t="shared" si="30"/>
        <v>12.117328160271171</v>
      </c>
      <c r="R181" s="1">
        <v>125.27909999999999</v>
      </c>
      <c r="S181" s="1" t="e">
        <f t="shared" si="31"/>
        <v>#N/A</v>
      </c>
      <c r="T181" s="1" t="e">
        <v>#N/A</v>
      </c>
    </row>
    <row r="182" spans="1:20" x14ac:dyDescent="0.35">
      <c r="A182" s="1">
        <v>500234.69390000001</v>
      </c>
      <c r="B182" s="1">
        <v>5999996.5070000002</v>
      </c>
      <c r="C182" s="1">
        <v>151.627185016966</v>
      </c>
      <c r="D182" s="1">
        <f t="shared" si="32"/>
        <v>234.96652209232539</v>
      </c>
      <c r="E182" s="1">
        <v>0.01</v>
      </c>
      <c r="F182" s="1">
        <v>0.05</v>
      </c>
      <c r="G182" s="1">
        <v>0.1</v>
      </c>
      <c r="H182" s="1">
        <v>9.81</v>
      </c>
      <c r="I182" s="1">
        <v>2650</v>
      </c>
      <c r="J182" s="1">
        <v>1000</v>
      </c>
      <c r="K182" s="1">
        <v>1.65</v>
      </c>
      <c r="L182" s="1">
        <v>6.5</v>
      </c>
      <c r="M182" s="1">
        <v>2.5</v>
      </c>
      <c r="N182" s="6">
        <v>9.9999999999999995E-7</v>
      </c>
      <c r="O182" s="1">
        <f t="shared" si="33"/>
        <v>10.212172653557417</v>
      </c>
      <c r="P182" s="1">
        <f t="shared" si="29"/>
        <v>11.089044194999135</v>
      </c>
      <c r="Q182" s="1">
        <f t="shared" si="30"/>
        <v>10.695432338286938</v>
      </c>
      <c r="R182" s="1">
        <v>125.27909999999999</v>
      </c>
      <c r="S182" s="1" t="e">
        <f t="shared" si="31"/>
        <v>#N/A</v>
      </c>
      <c r="T182" s="1" t="e">
        <v>#N/A</v>
      </c>
    </row>
    <row r="183" spans="1:20" x14ac:dyDescent="0.35">
      <c r="A183" s="1">
        <v>500244.89799999999</v>
      </c>
      <c r="B183" s="1">
        <v>5999996.9510000004</v>
      </c>
      <c r="C183" s="1">
        <v>155.94529899752101</v>
      </c>
      <c r="D183" s="1">
        <f t="shared" si="32"/>
        <v>245.18027717111886</v>
      </c>
      <c r="E183" s="1">
        <v>0.01</v>
      </c>
      <c r="F183" s="1">
        <v>0.05</v>
      </c>
      <c r="G183" s="1">
        <v>0.1</v>
      </c>
      <c r="H183" s="1">
        <v>9.81</v>
      </c>
      <c r="I183" s="1">
        <v>2650</v>
      </c>
      <c r="J183" s="1">
        <v>1000</v>
      </c>
      <c r="K183" s="1">
        <v>1.65</v>
      </c>
      <c r="L183" s="1">
        <v>6.5</v>
      </c>
      <c r="M183" s="1">
        <v>2.5</v>
      </c>
      <c r="N183" s="6">
        <v>9.9999999999999995E-7</v>
      </c>
      <c r="O183" s="1">
        <f t="shared" si="33"/>
        <v>10.228334363400478</v>
      </c>
      <c r="P183" s="1">
        <f t="shared" si="29"/>
        <v>11.738479864242503</v>
      </c>
      <c r="Q183" s="1">
        <f t="shared" si="30"/>
        <v>11.41376202962082</v>
      </c>
      <c r="R183" s="1">
        <v>125.27909999999999</v>
      </c>
      <c r="S183" s="1" t="e">
        <f t="shared" si="31"/>
        <v>#N/A</v>
      </c>
      <c r="T183" s="1" t="e">
        <v>#N/A</v>
      </c>
    </row>
    <row r="184" spans="1:20" x14ac:dyDescent="0.35">
      <c r="A184" s="1">
        <v>500255.10200000001</v>
      </c>
      <c r="B184" s="1">
        <v>5999997.8430000003</v>
      </c>
      <c r="C184" s="1">
        <v>150.21165883417899</v>
      </c>
      <c r="D184" s="1">
        <f t="shared" si="32"/>
        <v>255.42319081912635</v>
      </c>
      <c r="E184" s="1">
        <v>0.01</v>
      </c>
      <c r="F184" s="1">
        <v>0.05</v>
      </c>
      <c r="G184" s="1">
        <v>0.1</v>
      </c>
      <c r="H184" s="1">
        <v>9.81</v>
      </c>
      <c r="I184" s="1">
        <v>2650</v>
      </c>
      <c r="J184" s="1">
        <v>1000</v>
      </c>
      <c r="K184" s="1">
        <v>1.65</v>
      </c>
      <c r="L184" s="1">
        <v>6.5</v>
      </c>
      <c r="M184" s="1">
        <v>2.5</v>
      </c>
      <c r="N184" s="6">
        <v>9.9999999999999995E-7</v>
      </c>
      <c r="O184" s="1">
        <f t="shared" si="33"/>
        <v>10.228247812702051</v>
      </c>
      <c r="P184" s="1">
        <f t="shared" si="29"/>
        <v>10.415569048554094</v>
      </c>
      <c r="Q184" s="1">
        <f t="shared" si="30"/>
        <v>11.077024456398298</v>
      </c>
      <c r="R184" s="1">
        <v>125.27909999999999</v>
      </c>
      <c r="S184" s="1" t="e">
        <f t="shared" si="31"/>
        <v>#N/A</v>
      </c>
      <c r="T184" s="1" t="e">
        <v>#N/A</v>
      </c>
    </row>
    <row r="185" spans="1:20" x14ac:dyDescent="0.35">
      <c r="A185" s="1">
        <v>500265.30609999999</v>
      </c>
      <c r="B185" s="1">
        <v>5999998.2829999998</v>
      </c>
      <c r="C185" s="1">
        <v>148.17037938339399</v>
      </c>
      <c r="D185" s="1">
        <f t="shared" si="32"/>
        <v>265.63677279652296</v>
      </c>
      <c r="E185" s="1">
        <v>0.01</v>
      </c>
      <c r="F185" s="1">
        <v>0.05</v>
      </c>
      <c r="G185" s="1">
        <v>0.1</v>
      </c>
      <c r="H185" s="1">
        <v>9.81</v>
      </c>
      <c r="I185" s="1">
        <v>2650</v>
      </c>
      <c r="J185" s="1">
        <v>1000</v>
      </c>
      <c r="K185" s="1">
        <v>1.65</v>
      </c>
      <c r="L185" s="1">
        <v>6.5</v>
      </c>
      <c r="M185" s="1">
        <v>2.5</v>
      </c>
      <c r="N185" s="6">
        <v>9.9999999999999995E-7</v>
      </c>
      <c r="O185" s="1">
        <f t="shared" si="33"/>
        <v>10.23198332194535</v>
      </c>
      <c r="P185" s="1">
        <f t="shared" si="29"/>
        <v>10.753746192038282</v>
      </c>
      <c r="Q185" s="1">
        <f t="shared" si="30"/>
        <v>10.584657620296188</v>
      </c>
      <c r="R185" s="1">
        <v>125.27909999999999</v>
      </c>
      <c r="S185" s="1" t="e">
        <f t="shared" si="31"/>
        <v>#N/A</v>
      </c>
      <c r="T185" s="1" t="e">
        <v>#N/A</v>
      </c>
    </row>
    <row r="186" spans="1:20" x14ac:dyDescent="0.35">
      <c r="A186" s="1">
        <v>500275.51020000002</v>
      </c>
      <c r="B186" s="1">
        <v>5999997.3099999996</v>
      </c>
      <c r="C186" s="1">
        <v>144.91881493659599</v>
      </c>
      <c r="D186" s="1">
        <f t="shared" si="32"/>
        <v>275.88715746301705</v>
      </c>
      <c r="E186" s="1">
        <v>0.01</v>
      </c>
      <c r="F186" s="1">
        <v>0.05</v>
      </c>
      <c r="G186" s="1">
        <v>0.1</v>
      </c>
      <c r="H186" s="1">
        <v>9.81</v>
      </c>
      <c r="I186" s="1">
        <v>2650</v>
      </c>
      <c r="J186" s="1">
        <v>1000</v>
      </c>
      <c r="K186" s="1">
        <v>1.65</v>
      </c>
      <c r="L186" s="1">
        <v>6.5</v>
      </c>
      <c r="M186" s="1">
        <v>2.5</v>
      </c>
      <c r="N186" s="6">
        <v>9.9999999999999995E-7</v>
      </c>
      <c r="O186" s="1">
        <f t="shared" si="33"/>
        <v>10.247668609691146</v>
      </c>
      <c r="P186" s="1">
        <f t="shared" si="29"/>
        <v>10.247801935839309</v>
      </c>
      <c r="Q186" s="1">
        <f t="shared" si="30"/>
        <v>10.500774063938795</v>
      </c>
      <c r="R186" s="1">
        <v>125.27909999999999</v>
      </c>
      <c r="S186" s="1" t="e">
        <f t="shared" si="31"/>
        <v>#N/A</v>
      </c>
      <c r="T186" s="1" t="e">
        <v>#N/A</v>
      </c>
    </row>
    <row r="187" spans="1:20" x14ac:dyDescent="0.35">
      <c r="A187" s="1">
        <v>500285.71429999999</v>
      </c>
      <c r="B187" s="1">
        <v>5999998.2240000004</v>
      </c>
      <c r="C187" s="1">
        <v>144.67717117967001</v>
      </c>
      <c r="D187" s="1">
        <f t="shared" si="32"/>
        <v>286.13211001590525</v>
      </c>
      <c r="E187" s="1">
        <v>0.01</v>
      </c>
      <c r="F187" s="1">
        <v>0.05</v>
      </c>
      <c r="G187" s="1">
        <v>0.1</v>
      </c>
      <c r="H187" s="1">
        <v>9.81</v>
      </c>
      <c r="I187" s="1">
        <v>2650</v>
      </c>
      <c r="J187" s="1">
        <v>1000</v>
      </c>
      <c r="K187" s="1">
        <v>1.65</v>
      </c>
      <c r="L187" s="1">
        <v>6.5</v>
      </c>
      <c r="M187" s="1">
        <v>2.5</v>
      </c>
      <c r="N187" s="6">
        <v>9.9999999999999995E-7</v>
      </c>
      <c r="O187" s="1">
        <f t="shared" si="33"/>
        <v>10.245310960713113</v>
      </c>
      <c r="P187" s="1">
        <f t="shared" si="29"/>
        <v>10.773986209295044</v>
      </c>
      <c r="Q187" s="1">
        <f t="shared" si="30"/>
        <v>10.510894072567176</v>
      </c>
      <c r="R187" s="1">
        <v>125.27909999999999</v>
      </c>
      <c r="S187" s="1" t="e">
        <f t="shared" si="31"/>
        <v>#N/A</v>
      </c>
      <c r="T187" s="1" t="e">
        <v>#N/A</v>
      </c>
    </row>
    <row r="188" spans="1:20" x14ac:dyDescent="0.35">
      <c r="A188" s="1">
        <v>500295.91840000002</v>
      </c>
      <c r="B188" s="1">
        <v>5999999.1459999997</v>
      </c>
      <c r="C188" s="1">
        <v>141.344748933213</v>
      </c>
      <c r="D188" s="1">
        <f t="shared" si="32"/>
        <v>296.37777938444327</v>
      </c>
      <c r="E188" s="1">
        <v>0.01</v>
      </c>
      <c r="F188" s="1">
        <v>0.05</v>
      </c>
      <c r="G188" s="1">
        <v>0.1</v>
      </c>
      <c r="H188" s="1">
        <v>9.81</v>
      </c>
      <c r="I188" s="1">
        <v>2650</v>
      </c>
      <c r="J188" s="1">
        <v>1000</v>
      </c>
      <c r="K188" s="1">
        <v>1.65</v>
      </c>
      <c r="L188" s="1">
        <v>6.5</v>
      </c>
      <c r="M188" s="1">
        <v>2.5</v>
      </c>
      <c r="N188" s="6">
        <v>9.9999999999999995E-7</v>
      </c>
      <c r="O188" s="1">
        <f t="shared" si="33"/>
        <v>10.233098302678485</v>
      </c>
      <c r="P188" s="1">
        <f t="shared" si="29"/>
        <v>10.320041754295742</v>
      </c>
      <c r="Q188" s="1">
        <f t="shared" si="30"/>
        <v>10.547013981795393</v>
      </c>
      <c r="R188" s="1">
        <v>125.27909999999999</v>
      </c>
      <c r="S188" s="1" t="e">
        <f t="shared" si="31"/>
        <v>#N/A</v>
      </c>
      <c r="T188" s="1" t="e">
        <v>#N/A</v>
      </c>
    </row>
    <row r="189" spans="1:20" x14ac:dyDescent="0.35">
      <c r="A189" s="1">
        <v>500306.12239999999</v>
      </c>
      <c r="B189" s="1">
        <v>5999998.5650000004</v>
      </c>
      <c r="C189" s="1">
        <v>139.91503399244701</v>
      </c>
      <c r="D189" s="1">
        <f t="shared" si="32"/>
        <v>306.59830662126222</v>
      </c>
      <c r="E189" s="1">
        <v>0.01</v>
      </c>
      <c r="F189" s="1">
        <v>0.05</v>
      </c>
      <c r="G189" s="1">
        <v>0.1</v>
      </c>
      <c r="H189" s="1">
        <v>9.81</v>
      </c>
      <c r="I189" s="1">
        <v>2650</v>
      </c>
      <c r="J189" s="1">
        <v>1000</v>
      </c>
      <c r="K189" s="1">
        <v>1.65</v>
      </c>
      <c r="L189" s="1">
        <v>6.5</v>
      </c>
      <c r="M189" s="1">
        <v>2.5</v>
      </c>
      <c r="N189" s="6">
        <v>9.9999999999999995E-7</v>
      </c>
      <c r="O189" s="1">
        <f t="shared" si="33"/>
        <v>10.221874954638196</v>
      </c>
      <c r="P189" s="1">
        <f t="shared" si="29"/>
        <v>13.893706980070347</v>
      </c>
      <c r="Q189" s="1">
        <f t="shared" si="30"/>
        <v>12.106874367183044</v>
      </c>
      <c r="R189" s="1">
        <v>125.27909999999999</v>
      </c>
      <c r="S189" s="1" t="e">
        <f t="shared" si="31"/>
        <v>#N/A</v>
      </c>
      <c r="T189" s="1" t="e">
        <v>#N/A</v>
      </c>
    </row>
    <row r="190" spans="1:20" x14ac:dyDescent="0.35">
      <c r="A190" s="1">
        <v>500316.32650000002</v>
      </c>
      <c r="B190" s="1">
        <v>5999999.1900000004</v>
      </c>
      <c r="C190" s="1">
        <v>130.506484059678</v>
      </c>
      <c r="D190" s="1">
        <f t="shared" si="32"/>
        <v>316.82152929371966</v>
      </c>
      <c r="E190" s="1">
        <v>0.01</v>
      </c>
      <c r="F190" s="1">
        <v>0.05</v>
      </c>
      <c r="G190" s="1">
        <v>0.1</v>
      </c>
      <c r="H190" s="1">
        <v>9.81</v>
      </c>
      <c r="I190" s="1">
        <v>2650</v>
      </c>
      <c r="J190" s="1">
        <v>1000</v>
      </c>
      <c r="K190" s="1">
        <v>1.65</v>
      </c>
      <c r="L190" s="1">
        <v>6.5</v>
      </c>
      <c r="M190" s="1">
        <v>2.5</v>
      </c>
      <c r="N190" s="6">
        <v>9.9999999999999995E-7</v>
      </c>
      <c r="O190" s="1">
        <f t="shared" si="33"/>
        <v>10.235493697492075</v>
      </c>
      <c r="P190" s="1">
        <f t="shared" si="29"/>
        <v>10.418299398725649</v>
      </c>
      <c r="Q190" s="1">
        <f t="shared" si="30"/>
        <v>12.156003189397998</v>
      </c>
      <c r="R190" s="1">
        <v>125.27909999999999</v>
      </c>
      <c r="S190" s="1" t="e">
        <f t="shared" si="31"/>
        <v>#N/A</v>
      </c>
      <c r="T190" s="1" t="e">
        <v>#N/A</v>
      </c>
    </row>
    <row r="191" spans="1:20" x14ac:dyDescent="0.35">
      <c r="A191" s="1">
        <v>500326.5306</v>
      </c>
      <c r="B191" s="1">
        <v>6000000.1349999998</v>
      </c>
      <c r="C191" s="1">
        <v>128.62917733108401</v>
      </c>
      <c r="D191" s="1">
        <f t="shared" si="32"/>
        <v>327.06929401624637</v>
      </c>
      <c r="E191" s="1">
        <v>0.01</v>
      </c>
      <c r="F191" s="1">
        <v>0.05</v>
      </c>
      <c r="G191" s="1">
        <v>0.1</v>
      </c>
      <c r="H191" s="1">
        <v>9.81</v>
      </c>
      <c r="I191" s="1">
        <v>2650</v>
      </c>
      <c r="J191" s="1">
        <v>1000</v>
      </c>
      <c r="K191" s="1">
        <v>1.65</v>
      </c>
      <c r="L191" s="1">
        <v>6.5</v>
      </c>
      <c r="M191" s="1">
        <v>2.5</v>
      </c>
      <c r="N191" s="6">
        <v>9.9999999999999995E-7</v>
      </c>
      <c r="O191" s="1">
        <f t="shared" si="33"/>
        <v>10.241238558797846</v>
      </c>
      <c r="P191" s="1">
        <f t="shared" ref="P191:P207" si="34">SQRT((D192 - D191)^2 + (C192 - C191)^2)</f>
        <v>10.787841757464356</v>
      </c>
      <c r="Q191" s="1">
        <f t="shared" ref="Q191:Q207" si="35">IF(ROW()=159, P191/2, (P191 + P190)/2)</f>
        <v>10.603070578095004</v>
      </c>
      <c r="R191" s="1">
        <v>125.27909999999999</v>
      </c>
      <c r="S191" s="1" t="e">
        <f t="shared" ref="S191:S207" si="36">IF(R191 - C191 &lt; 0, NA(), R191 - C191)</f>
        <v>#N/A</v>
      </c>
      <c r="T191" s="1" t="e">
        <v>#N/A</v>
      </c>
    </row>
    <row r="192" spans="1:20" x14ac:dyDescent="0.35">
      <c r="A192" s="1">
        <v>500336.73469999997</v>
      </c>
      <c r="B192" s="1">
        <v>5999999.3439999996</v>
      </c>
      <c r="C192" s="1">
        <v>132.03919081702699</v>
      </c>
      <c r="D192" s="1">
        <f t="shared" ref="D192:D208" si="37">D191 + SQRT((A192 - A191)^2 + (B192 - B191)^2)</f>
        <v>337.30400641131536</v>
      </c>
      <c r="E192" s="1">
        <v>0.01</v>
      </c>
      <c r="F192" s="1">
        <v>0.05</v>
      </c>
      <c r="G192" s="1">
        <v>0.1</v>
      </c>
      <c r="H192" s="1">
        <v>9.81</v>
      </c>
      <c r="I192" s="1">
        <v>2650</v>
      </c>
      <c r="J192" s="1">
        <v>1000</v>
      </c>
      <c r="K192" s="1">
        <v>1.65</v>
      </c>
      <c r="L192" s="1">
        <v>6.5</v>
      </c>
      <c r="M192" s="1">
        <v>2.5</v>
      </c>
      <c r="N192" s="6">
        <v>9.9999999999999995E-7</v>
      </c>
      <c r="O192" s="1">
        <f t="shared" si="33"/>
        <v>10.233949248828765</v>
      </c>
      <c r="P192" s="1">
        <f t="shared" si="34"/>
        <v>11.755266476054745</v>
      </c>
      <c r="Q192" s="1">
        <f t="shared" si="35"/>
        <v>11.27155411675955</v>
      </c>
      <c r="R192" s="1">
        <v>125.27909999999999</v>
      </c>
      <c r="S192" s="1" t="e">
        <f t="shared" si="36"/>
        <v>#N/A</v>
      </c>
      <c r="T192" s="1" t="e">
        <v>#N/A</v>
      </c>
    </row>
    <row r="193" spans="1:20" x14ac:dyDescent="0.35">
      <c r="A193" s="1">
        <v>500346.9388</v>
      </c>
      <c r="B193" s="1">
        <v>5999998.5729999999</v>
      </c>
      <c r="C193" s="1">
        <v>126.254020801129</v>
      </c>
      <c r="D193" s="1">
        <f t="shared" si="37"/>
        <v>347.5371925139039</v>
      </c>
      <c r="E193" s="1">
        <v>0.01</v>
      </c>
      <c r="F193" s="1">
        <v>0.05</v>
      </c>
      <c r="G193" s="1">
        <v>0.1</v>
      </c>
      <c r="H193" s="1">
        <v>9.81</v>
      </c>
      <c r="I193" s="1">
        <v>2650</v>
      </c>
      <c r="J193" s="1">
        <v>1000</v>
      </c>
      <c r="K193" s="1">
        <v>1.65</v>
      </c>
      <c r="L193" s="1">
        <v>6.5</v>
      </c>
      <c r="M193" s="1">
        <v>2.5</v>
      </c>
      <c r="N193" s="6">
        <v>9.9999999999999995E-7</v>
      </c>
      <c r="O193" s="1">
        <f t="shared" si="33"/>
        <v>10.232552707337419</v>
      </c>
      <c r="P193" s="1">
        <f t="shared" si="34"/>
        <v>11.350607222214496</v>
      </c>
      <c r="Q193" s="1">
        <f t="shared" si="35"/>
        <v>11.552936849134621</v>
      </c>
      <c r="R193" s="1">
        <v>125.27909999999999</v>
      </c>
      <c r="S193" s="1" t="e">
        <f t="shared" si="36"/>
        <v>#N/A</v>
      </c>
      <c r="T193" s="1" t="e">
        <v>#N/A</v>
      </c>
    </row>
    <row r="194" spans="1:20" x14ac:dyDescent="0.35">
      <c r="A194" s="1">
        <v>500357.14289999998</v>
      </c>
      <c r="B194" s="1">
        <v>5999999.3269999996</v>
      </c>
      <c r="C194" s="1">
        <v>131.167686591956</v>
      </c>
      <c r="D194" s="1">
        <f t="shared" si="37"/>
        <v>357.76911182599019</v>
      </c>
      <c r="E194" s="1">
        <v>0.01</v>
      </c>
      <c r="F194" s="1">
        <v>0.05</v>
      </c>
      <c r="G194" s="1">
        <v>0.1</v>
      </c>
      <c r="H194" s="1">
        <v>9.81</v>
      </c>
      <c r="I194" s="1">
        <v>2650</v>
      </c>
      <c r="J194" s="1">
        <v>1000</v>
      </c>
      <c r="K194" s="1">
        <v>1.65</v>
      </c>
      <c r="L194" s="1">
        <v>6.5</v>
      </c>
      <c r="M194" s="1">
        <v>2.5</v>
      </c>
      <c r="N194" s="6">
        <v>9.9999999999999995E-7</v>
      </c>
      <c r="O194" s="1">
        <f t="shared" si="33"/>
        <v>10.223838765829584</v>
      </c>
      <c r="P194" s="1">
        <f t="shared" si="34"/>
        <v>10.479732415606993</v>
      </c>
      <c r="Q194" s="1">
        <f t="shared" si="35"/>
        <v>10.915169818910744</v>
      </c>
      <c r="R194" s="1">
        <v>125.27909999999999</v>
      </c>
      <c r="S194" s="1" t="e">
        <f t="shared" si="36"/>
        <v>#N/A</v>
      </c>
      <c r="T194" s="1" t="e">
        <v>#N/A</v>
      </c>
    </row>
    <row r="195" spans="1:20" x14ac:dyDescent="0.35">
      <c r="A195" s="1">
        <v>500367.3469</v>
      </c>
      <c r="B195" s="1">
        <v>5999999.8169999998</v>
      </c>
      <c r="C195" s="1">
        <v>128.83036429882799</v>
      </c>
      <c r="D195" s="1">
        <f t="shared" si="37"/>
        <v>367.98487004556307</v>
      </c>
      <c r="E195" s="1">
        <v>0.01</v>
      </c>
      <c r="F195" s="1">
        <v>0.05</v>
      </c>
      <c r="G195" s="1">
        <v>0.1</v>
      </c>
      <c r="H195" s="1">
        <v>9.81</v>
      </c>
      <c r="I195" s="1">
        <v>2650</v>
      </c>
      <c r="J195" s="1">
        <v>1000</v>
      </c>
      <c r="K195" s="1">
        <v>1.65</v>
      </c>
      <c r="L195" s="1">
        <v>6.5</v>
      </c>
      <c r="M195" s="1">
        <v>2.5</v>
      </c>
      <c r="N195" s="6">
        <v>9.9999999999999995E-7</v>
      </c>
      <c r="O195" s="1">
        <f t="shared" si="33"/>
        <v>10.224509856901079</v>
      </c>
      <c r="P195" s="1">
        <f t="shared" si="34"/>
        <v>10.91645406051112</v>
      </c>
      <c r="Q195" s="1">
        <f t="shared" si="35"/>
        <v>10.698093238059055</v>
      </c>
      <c r="R195" s="1">
        <v>125.27909999999999</v>
      </c>
      <c r="S195" s="1" t="e">
        <f t="shared" si="36"/>
        <v>#N/A</v>
      </c>
      <c r="T195" s="1" t="e">
        <v>#N/A</v>
      </c>
    </row>
    <row r="196" spans="1:20" x14ac:dyDescent="0.35">
      <c r="A196" s="1">
        <v>500377.55099999998</v>
      </c>
      <c r="B196" s="1">
        <v>5999999.0449999999</v>
      </c>
      <c r="C196" s="1">
        <v>125.029137069896</v>
      </c>
      <c r="D196" s="1">
        <f t="shared" si="37"/>
        <v>378.21813153979235</v>
      </c>
      <c r="E196" s="1">
        <v>0.01</v>
      </c>
      <c r="F196" s="1">
        <v>0.05</v>
      </c>
      <c r="G196" s="1">
        <v>0.1</v>
      </c>
      <c r="H196" s="1">
        <v>9.81</v>
      </c>
      <c r="I196" s="1">
        <v>2650</v>
      </c>
      <c r="J196" s="1">
        <v>1000</v>
      </c>
      <c r="K196" s="1">
        <v>1.65</v>
      </c>
      <c r="L196" s="1">
        <v>6.5</v>
      </c>
      <c r="M196" s="1">
        <v>2.5</v>
      </c>
      <c r="N196" s="6">
        <v>9.9999999999999995E-7</v>
      </c>
      <c r="O196" s="1">
        <f t="shared" si="33"/>
        <v>10.221049857319429</v>
      </c>
      <c r="P196" s="1">
        <f t="shared" si="34"/>
        <v>10.237547645163266</v>
      </c>
      <c r="Q196" s="1">
        <f t="shared" si="35"/>
        <v>10.577000852837193</v>
      </c>
      <c r="R196" s="1">
        <v>125.27909999999999</v>
      </c>
      <c r="S196" s="1">
        <f t="shared" si="36"/>
        <v>0.24996293010399029</v>
      </c>
      <c r="T196" s="1">
        <v>0.24996293010399029</v>
      </c>
    </row>
    <row r="197" spans="1:20" x14ac:dyDescent="0.35">
      <c r="A197" s="1">
        <v>500387.75510000001</v>
      </c>
      <c r="B197" s="1">
        <v>5999999.3559999997</v>
      </c>
      <c r="C197" s="1">
        <v>125.795298917349</v>
      </c>
      <c r="D197" s="1">
        <f t="shared" si="37"/>
        <v>388.42696976020193</v>
      </c>
      <c r="E197" s="1">
        <v>0.01</v>
      </c>
      <c r="F197" s="1">
        <v>0.05</v>
      </c>
      <c r="G197" s="1">
        <v>0.1</v>
      </c>
      <c r="H197" s="1">
        <v>9.81</v>
      </c>
      <c r="I197" s="1">
        <v>2650</v>
      </c>
      <c r="J197" s="1">
        <v>1000</v>
      </c>
      <c r="K197" s="1">
        <v>1.65</v>
      </c>
      <c r="L197" s="1">
        <v>6.5</v>
      </c>
      <c r="M197" s="1">
        <v>2.5</v>
      </c>
      <c r="N197" s="6">
        <v>9.9999999999999995E-7</v>
      </c>
      <c r="O197" s="1">
        <f t="shared" si="33"/>
        <v>10.226672955179509</v>
      </c>
      <c r="P197" s="1">
        <f t="shared" si="34"/>
        <v>14.006911426674414</v>
      </c>
      <c r="Q197" s="1">
        <f t="shared" si="35"/>
        <v>12.122229535918841</v>
      </c>
      <c r="R197" s="1">
        <v>125.27909999999999</v>
      </c>
      <c r="S197" s="1" t="e">
        <f t="shared" si="36"/>
        <v>#N/A</v>
      </c>
      <c r="T197" s="1" t="e">
        <v>#N/A</v>
      </c>
    </row>
    <row r="198" spans="1:20" x14ac:dyDescent="0.35">
      <c r="A198" s="1">
        <v>500397.95919999998</v>
      </c>
      <c r="B198" s="1">
        <v>5999998.4469999997</v>
      </c>
      <c r="C198" s="1">
        <v>135.347452072804</v>
      </c>
      <c r="D198" s="1">
        <f t="shared" si="37"/>
        <v>398.67147745015137</v>
      </c>
      <c r="E198" s="1">
        <v>0.01</v>
      </c>
      <c r="F198" s="1">
        <v>0.05</v>
      </c>
      <c r="G198" s="1">
        <v>0.1</v>
      </c>
      <c r="H198" s="1">
        <v>9.81</v>
      </c>
      <c r="I198" s="1">
        <v>2650</v>
      </c>
      <c r="J198" s="1">
        <v>1000</v>
      </c>
      <c r="K198" s="1">
        <v>1.65</v>
      </c>
      <c r="L198" s="1">
        <v>6.5</v>
      </c>
      <c r="M198" s="1">
        <v>2.5</v>
      </c>
      <c r="N198" s="6">
        <v>9.9999999999999995E-7</v>
      </c>
      <c r="O198" s="1">
        <f t="shared" si="33"/>
        <v>10.22650836474881</v>
      </c>
      <c r="P198" s="1">
        <f t="shared" si="34"/>
        <v>12.538849639326756</v>
      </c>
      <c r="Q198" s="1">
        <f t="shared" si="35"/>
        <v>13.272880533000585</v>
      </c>
      <c r="R198" s="1">
        <v>125.27909999999999</v>
      </c>
      <c r="S198" s="1" t="e">
        <f t="shared" si="36"/>
        <v>#N/A</v>
      </c>
      <c r="T198" s="1" t="e">
        <v>#N/A</v>
      </c>
    </row>
    <row r="199" spans="1:20" x14ac:dyDescent="0.35">
      <c r="A199" s="1">
        <v>500408.16330000001</v>
      </c>
      <c r="B199" s="1">
        <v>5999998.1469999999</v>
      </c>
      <c r="C199" s="1">
        <v>128.06671766842501</v>
      </c>
      <c r="D199" s="1">
        <f t="shared" si="37"/>
        <v>408.87998648969955</v>
      </c>
      <c r="E199" s="1">
        <v>0.01</v>
      </c>
      <c r="F199" s="1">
        <v>0.05</v>
      </c>
      <c r="G199" s="1">
        <v>0.1</v>
      </c>
      <c r="H199" s="1">
        <v>9.81</v>
      </c>
      <c r="I199" s="1">
        <v>2650</v>
      </c>
      <c r="J199" s="1">
        <v>1000</v>
      </c>
      <c r="K199" s="1">
        <v>1.65</v>
      </c>
      <c r="L199" s="1">
        <v>6.5</v>
      </c>
      <c r="M199" s="1">
        <v>2.5</v>
      </c>
      <c r="N199" s="6">
        <v>9.9999999999999995E-7</v>
      </c>
      <c r="O199" s="1">
        <f t="shared" si="33"/>
        <v>10.217670819070179</v>
      </c>
      <c r="P199" s="1">
        <f t="shared" si="34"/>
        <v>11.126667604014996</v>
      </c>
      <c r="Q199" s="1">
        <f t="shared" si="35"/>
        <v>11.832758621670877</v>
      </c>
      <c r="R199" s="1">
        <v>125.27909999999999</v>
      </c>
      <c r="S199" s="1" t="e">
        <f t="shared" si="36"/>
        <v>#N/A</v>
      </c>
      <c r="T199" s="1" t="e">
        <v>#N/A</v>
      </c>
    </row>
    <row r="200" spans="1:20" x14ac:dyDescent="0.35">
      <c r="A200" s="1">
        <v>500418.36729999998</v>
      </c>
      <c r="B200" s="1">
        <v>5999997.4639999997</v>
      </c>
      <c r="C200" s="1">
        <v>132.450166877736</v>
      </c>
      <c r="D200" s="1">
        <f t="shared" si="37"/>
        <v>419.10681908829173</v>
      </c>
      <c r="E200" s="1">
        <v>0.01</v>
      </c>
      <c r="F200" s="1">
        <v>0.05</v>
      </c>
      <c r="G200" s="1">
        <v>0.1</v>
      </c>
      <c r="H200" s="1">
        <v>9.81</v>
      </c>
      <c r="I200" s="1">
        <v>2650</v>
      </c>
      <c r="J200" s="1">
        <v>1000</v>
      </c>
      <c r="K200" s="1">
        <v>1.65</v>
      </c>
      <c r="L200" s="1">
        <v>6.5</v>
      </c>
      <c r="M200" s="1">
        <v>2.5</v>
      </c>
      <c r="N200" s="6">
        <v>9.9999999999999995E-7</v>
      </c>
      <c r="O200" s="1">
        <f t="shared" si="33"/>
        <v>10.219153288461655</v>
      </c>
      <c r="P200" s="1">
        <f t="shared" si="34"/>
        <v>12.259823035582844</v>
      </c>
      <c r="Q200" s="1">
        <f t="shared" si="35"/>
        <v>11.693245319798919</v>
      </c>
      <c r="R200" s="1">
        <v>125.27909999999999</v>
      </c>
      <c r="S200" s="1" t="e">
        <f t="shared" si="36"/>
        <v>#N/A</v>
      </c>
      <c r="T200" s="1" t="e">
        <v>#N/A</v>
      </c>
    </row>
    <row r="201" spans="1:20" x14ac:dyDescent="0.35">
      <c r="A201" s="1">
        <v>500428.57140000002</v>
      </c>
      <c r="B201" s="1">
        <v>5999997.0760000004</v>
      </c>
      <c r="C201" s="1">
        <v>139.234638858198</v>
      </c>
      <c r="D201" s="1">
        <f t="shared" si="37"/>
        <v>429.31829306662286</v>
      </c>
      <c r="E201" s="1">
        <v>0.01</v>
      </c>
      <c r="F201" s="1">
        <v>0.05</v>
      </c>
      <c r="G201" s="1">
        <v>0.1</v>
      </c>
      <c r="H201" s="1">
        <v>9.81</v>
      </c>
      <c r="I201" s="1">
        <v>2650</v>
      </c>
      <c r="J201" s="1">
        <v>1000</v>
      </c>
      <c r="K201" s="1">
        <v>1.65</v>
      </c>
      <c r="L201" s="1">
        <v>6.5</v>
      </c>
      <c r="M201" s="1">
        <v>2.5</v>
      </c>
      <c r="N201" s="6">
        <v>9.9999999999999995E-7</v>
      </c>
      <c r="O201" s="1">
        <f t="shared" si="33"/>
        <v>10.213570502749036</v>
      </c>
      <c r="P201" s="1">
        <f t="shared" si="34"/>
        <v>10.221862151517284</v>
      </c>
      <c r="Q201" s="1">
        <f t="shared" si="35"/>
        <v>11.240842593550063</v>
      </c>
      <c r="R201" s="1">
        <v>125.27909999999999</v>
      </c>
      <c r="S201" s="1" t="e">
        <f t="shared" si="36"/>
        <v>#N/A</v>
      </c>
      <c r="T201" s="1" t="e">
        <v>#N/A</v>
      </c>
    </row>
    <row r="202" spans="1:20" x14ac:dyDescent="0.35">
      <c r="A202" s="1">
        <v>500438.77549999999</v>
      </c>
      <c r="B202" s="1">
        <v>5999996.5899999999</v>
      </c>
      <c r="C202" s="1">
        <v>139.590466112179</v>
      </c>
      <c r="D202" s="1">
        <f t="shared" si="37"/>
        <v>439.5339600937898</v>
      </c>
      <c r="E202" s="1">
        <v>0.01</v>
      </c>
      <c r="F202" s="1">
        <v>0.05</v>
      </c>
      <c r="G202" s="1">
        <v>0.1</v>
      </c>
      <c r="H202" s="1">
        <v>9.81</v>
      </c>
      <c r="I202" s="1">
        <v>2650</v>
      </c>
      <c r="J202" s="1">
        <v>1000</v>
      </c>
      <c r="K202" s="1">
        <v>1.65</v>
      </c>
      <c r="L202" s="1">
        <v>6.5</v>
      </c>
      <c r="M202" s="1">
        <v>2.5</v>
      </c>
      <c r="N202" s="6">
        <v>9.9999999999999995E-7</v>
      </c>
      <c r="O202" s="1">
        <f t="shared" si="33"/>
        <v>10.227678867958247</v>
      </c>
      <c r="P202" s="1">
        <f t="shared" si="34"/>
        <v>10.247073843648518</v>
      </c>
      <c r="Q202" s="1">
        <f t="shared" si="35"/>
        <v>10.2344679975829</v>
      </c>
      <c r="R202" s="1">
        <v>125.27909999999999</v>
      </c>
      <c r="S202" s="1" t="e">
        <f t="shared" si="36"/>
        <v>#N/A</v>
      </c>
      <c r="T202" s="1" t="e">
        <v>#N/A</v>
      </c>
    </row>
    <row r="203" spans="1:20" x14ac:dyDescent="0.35">
      <c r="A203" s="1">
        <v>500448.97960000002</v>
      </c>
      <c r="B203" s="1">
        <v>5999995.7369999997</v>
      </c>
      <c r="C203" s="1">
        <v>139.20154896633201</v>
      </c>
      <c r="D203" s="1">
        <f t="shared" si="37"/>
        <v>449.77365080253935</v>
      </c>
      <c r="E203" s="1">
        <v>0.01</v>
      </c>
      <c r="F203" s="1">
        <v>0.05</v>
      </c>
      <c r="G203" s="1">
        <v>0.1</v>
      </c>
      <c r="H203" s="1">
        <v>9.81</v>
      </c>
      <c r="I203" s="1">
        <v>2650</v>
      </c>
      <c r="J203" s="1">
        <v>1000</v>
      </c>
      <c r="K203" s="1">
        <v>1.65</v>
      </c>
      <c r="L203" s="1">
        <v>6.5</v>
      </c>
      <c r="M203" s="1">
        <v>2.5</v>
      </c>
      <c r="N203" s="6">
        <v>9.9999999999999995E-7</v>
      </c>
      <c r="O203" s="1">
        <f t="shared" si="33"/>
        <v>10.226507982984828</v>
      </c>
      <c r="P203" s="1">
        <f t="shared" si="34"/>
        <v>10.216402783069102</v>
      </c>
      <c r="Q203" s="1">
        <f t="shared" si="35"/>
        <v>10.231738313358811</v>
      </c>
      <c r="R203" s="1">
        <v>125.27909999999999</v>
      </c>
      <c r="S203" s="1" t="e">
        <f t="shared" si="36"/>
        <v>#N/A</v>
      </c>
      <c r="T203" s="1" t="e">
        <v>#N/A</v>
      </c>
    </row>
    <row r="204" spans="1:20" x14ac:dyDescent="0.35">
      <c r="A204" s="1">
        <v>500459.18369999999</v>
      </c>
      <c r="B204" s="1">
        <v>5999996.1710000001</v>
      </c>
      <c r="C204" s="1">
        <v>138.95080404388699</v>
      </c>
      <c r="D204" s="1">
        <f t="shared" si="37"/>
        <v>459.98697605975946</v>
      </c>
      <c r="E204" s="1">
        <v>0.01</v>
      </c>
      <c r="F204" s="1">
        <v>0.05</v>
      </c>
      <c r="G204" s="1">
        <v>0.1</v>
      </c>
      <c r="H204" s="1">
        <v>9.81</v>
      </c>
      <c r="I204" s="1">
        <v>2650</v>
      </c>
      <c r="J204" s="1">
        <v>1000</v>
      </c>
      <c r="K204" s="1">
        <v>1.65</v>
      </c>
      <c r="L204" s="1">
        <v>6.5</v>
      </c>
      <c r="M204" s="1">
        <v>2.5</v>
      </c>
      <c r="N204" s="6">
        <v>9.9999999999999995E-7</v>
      </c>
      <c r="O204" s="1">
        <f t="shared" si="33"/>
        <v>10.228563101333435</v>
      </c>
      <c r="P204" s="1">
        <f t="shared" si="34"/>
        <v>10.24381622597874</v>
      </c>
      <c r="Q204" s="1">
        <f t="shared" si="35"/>
        <v>10.23010950452392</v>
      </c>
      <c r="R204" s="1">
        <v>125.27909999999999</v>
      </c>
      <c r="S204" s="1" t="e">
        <f t="shared" si="36"/>
        <v>#N/A</v>
      </c>
      <c r="T204" s="1" t="e">
        <v>#N/A</v>
      </c>
    </row>
    <row r="205" spans="1:20" x14ac:dyDescent="0.35">
      <c r="A205" s="1">
        <v>500469.38780000003</v>
      </c>
      <c r="B205" s="1">
        <v>5999997.0719999997</v>
      </c>
      <c r="C205" s="1">
        <v>138.933110494517</v>
      </c>
      <c r="D205" s="1">
        <f t="shared" si="37"/>
        <v>470.23077700520622</v>
      </c>
      <c r="E205" s="1">
        <v>0.01</v>
      </c>
      <c r="F205" s="1">
        <v>0.05</v>
      </c>
      <c r="G205" s="1">
        <v>0.1</v>
      </c>
      <c r="H205" s="1">
        <v>9.81</v>
      </c>
      <c r="I205" s="1">
        <v>2650</v>
      </c>
      <c r="J205" s="1">
        <v>1000</v>
      </c>
      <c r="K205" s="1">
        <v>1.65</v>
      </c>
      <c r="L205" s="1">
        <v>6.5</v>
      </c>
      <c r="M205" s="1">
        <v>2.5</v>
      </c>
      <c r="N205" s="6">
        <v>9.9999999999999995E-7</v>
      </c>
      <c r="O205" s="1">
        <f t="shared" si="33"/>
        <v>10.235585469869676</v>
      </c>
      <c r="P205" s="1">
        <f t="shared" si="34"/>
        <v>14.038699271405504</v>
      </c>
      <c r="Q205" s="1">
        <f t="shared" si="35"/>
        <v>12.141257748692123</v>
      </c>
      <c r="R205" s="1">
        <v>125.27909999999999</v>
      </c>
      <c r="S205" s="1" t="e">
        <f t="shared" si="36"/>
        <v>#N/A</v>
      </c>
      <c r="T205" s="1" t="e">
        <v>#N/A</v>
      </c>
    </row>
    <row r="206" spans="1:20" x14ac:dyDescent="0.35">
      <c r="A206" s="1">
        <v>500479.59179999999</v>
      </c>
      <c r="B206" s="1">
        <v>5999997.7630000003</v>
      </c>
      <c r="C206" s="1">
        <v>148.55007364474301</v>
      </c>
      <c r="D206" s="1">
        <f t="shared" si="37"/>
        <v>480.45814699949881</v>
      </c>
      <c r="E206" s="1">
        <v>0.01</v>
      </c>
      <c r="F206" s="1">
        <v>0.05</v>
      </c>
      <c r="G206" s="1">
        <v>0.1</v>
      </c>
      <c r="H206" s="1">
        <v>9.81</v>
      </c>
      <c r="I206" s="1">
        <v>2650</v>
      </c>
      <c r="J206" s="1">
        <v>1000</v>
      </c>
      <c r="K206" s="1">
        <v>1.65</v>
      </c>
      <c r="L206" s="1">
        <v>6.5</v>
      </c>
      <c r="M206" s="1">
        <v>2.5</v>
      </c>
      <c r="N206" s="6">
        <v>9.9999999999999995E-7</v>
      </c>
      <c r="O206" s="1">
        <f t="shared" si="33"/>
        <v>10.217030880251457</v>
      </c>
      <c r="P206" s="1">
        <f t="shared" si="34"/>
        <v>10.496604105828091</v>
      </c>
      <c r="Q206" s="1">
        <f t="shared" si="35"/>
        <v>12.267651688616798</v>
      </c>
      <c r="R206" s="1">
        <v>125.27909999999999</v>
      </c>
      <c r="S206" s="1" t="e">
        <f t="shared" si="36"/>
        <v>#N/A</v>
      </c>
      <c r="T206" s="1" t="e">
        <v>#N/A</v>
      </c>
    </row>
    <row r="207" spans="1:20" x14ac:dyDescent="0.35">
      <c r="A207" s="1">
        <v>500489.79590000003</v>
      </c>
      <c r="B207" s="1">
        <v>5999997.9929999998</v>
      </c>
      <c r="C207" s="1">
        <v>146.10014692256101</v>
      </c>
      <c r="D207" s="1">
        <f t="shared" si="37"/>
        <v>490.66483876570913</v>
      </c>
      <c r="E207" s="1">
        <v>0.01</v>
      </c>
      <c r="F207" s="1">
        <v>0.05</v>
      </c>
      <c r="G207" s="1">
        <v>0.1</v>
      </c>
      <c r="H207" s="1">
        <v>9.81</v>
      </c>
      <c r="I207" s="1">
        <v>2650</v>
      </c>
      <c r="J207" s="1">
        <v>1000</v>
      </c>
      <c r="K207" s="1">
        <v>1.65</v>
      </c>
      <c r="L207" s="1">
        <v>6.5</v>
      </c>
      <c r="M207" s="1">
        <v>2.5</v>
      </c>
      <c r="N207" s="6">
        <v>9.9999999999999995E-7</v>
      </c>
      <c r="O207" s="1">
        <f t="shared" si="33"/>
        <v>10.209902888805345</v>
      </c>
      <c r="P207" s="1">
        <f t="shared" si="34"/>
        <v>10.652346301971106</v>
      </c>
      <c r="Q207" s="1">
        <f t="shared" si="35"/>
        <v>10.574475203899599</v>
      </c>
      <c r="R207" s="1">
        <v>125.27909999999999</v>
      </c>
      <c r="S207" s="1" t="e">
        <f t="shared" si="36"/>
        <v>#N/A</v>
      </c>
      <c r="T207" s="1" t="e">
        <v>#N/A</v>
      </c>
    </row>
    <row r="208" spans="1:20" x14ac:dyDescent="0.35">
      <c r="A208" s="1">
        <v>500500</v>
      </c>
      <c r="B208" s="1">
        <v>5999998.4220000003</v>
      </c>
      <c r="C208" s="1">
        <v>149.127486336511</v>
      </c>
      <c r="D208" s="1">
        <f t="shared" si="37"/>
        <v>500.8779527771095</v>
      </c>
      <c r="E208" s="1">
        <v>0.01</v>
      </c>
      <c r="F208" s="1">
        <v>0.05</v>
      </c>
      <c r="G208" s="1">
        <v>0.1</v>
      </c>
      <c r="H208" s="1">
        <v>9.81</v>
      </c>
      <c r="I208" s="1">
        <v>2650</v>
      </c>
      <c r="J208" s="1">
        <v>1000</v>
      </c>
      <c r="K208" s="1">
        <v>1.65</v>
      </c>
      <c r="L208" s="1">
        <v>6.5</v>
      </c>
      <c r="M208" s="1">
        <v>2.5</v>
      </c>
      <c r="N208" s="6">
        <v>9.9999999999999995E-7</v>
      </c>
      <c r="O208" s="1">
        <f xml:space="preserve"> (D208 - D207) / 2</f>
        <v>5.1065570057001821</v>
      </c>
    </row>
    <row r="211" spans="1:57" x14ac:dyDescent="0.35">
      <c r="A211" s="1" t="s">
        <v>0</v>
      </c>
      <c r="B211" s="1" t="s">
        <v>1</v>
      </c>
      <c r="C211" s="1" t="s">
        <v>2</v>
      </c>
      <c r="D211" s="1" t="s">
        <v>18</v>
      </c>
      <c r="E211" s="1" t="s">
        <v>67</v>
      </c>
      <c r="F211" s="1" t="s">
        <v>66</v>
      </c>
      <c r="G211" s="1" t="s">
        <v>65</v>
      </c>
      <c r="H211" s="1" t="s">
        <v>64</v>
      </c>
      <c r="I211" s="1" t="s">
        <v>63</v>
      </c>
      <c r="J211" s="1" t="s">
        <v>62</v>
      </c>
      <c r="K211" s="1" t="s">
        <v>61</v>
      </c>
      <c r="L211" s="1" t="s">
        <v>60</v>
      </c>
      <c r="M211" s="1" t="s">
        <v>59</v>
      </c>
      <c r="N211" s="1" t="s">
        <v>58</v>
      </c>
      <c r="O211" s="1" t="s">
        <v>57</v>
      </c>
      <c r="P211" s="1" t="s">
        <v>56</v>
      </c>
      <c r="Q211" s="1" t="s">
        <v>55</v>
      </c>
      <c r="R211" s="1" t="s">
        <v>54</v>
      </c>
      <c r="S211" s="1" t="s">
        <v>16</v>
      </c>
      <c r="T211" s="1" t="s">
        <v>53</v>
      </c>
      <c r="U211" s="10" t="s">
        <v>52</v>
      </c>
      <c r="V211" s="10" t="s">
        <v>51</v>
      </c>
      <c r="W211" s="10" t="s">
        <v>50</v>
      </c>
      <c r="X211" s="10" t="s">
        <v>49</v>
      </c>
      <c r="Y211" s="1" t="s">
        <v>48</v>
      </c>
      <c r="Z211" s="1" t="s">
        <v>47</v>
      </c>
      <c r="AA211" s="1" t="s">
        <v>46</v>
      </c>
      <c r="AB211" s="1" t="s">
        <v>45</v>
      </c>
      <c r="AC211" s="1" t="s">
        <v>44</v>
      </c>
      <c r="AD211" s="1" t="s">
        <v>43</v>
      </c>
      <c r="AE211" s="1" t="s">
        <v>42</v>
      </c>
      <c r="AF211" s="1" t="s">
        <v>41</v>
      </c>
      <c r="AG211" s="1" t="s">
        <v>40</v>
      </c>
      <c r="AH211" s="1" t="s">
        <v>39</v>
      </c>
      <c r="AI211" s="1" t="s">
        <v>38</v>
      </c>
      <c r="AJ211" s="1" t="s">
        <v>37</v>
      </c>
      <c r="AK211" s="1" t="s">
        <v>36</v>
      </c>
      <c r="AL211" s="1" t="s">
        <v>35</v>
      </c>
      <c r="AM211" s="1" t="s">
        <v>34</v>
      </c>
      <c r="AN211" s="1" t="s">
        <v>34</v>
      </c>
      <c r="AO211" s="7" t="s">
        <v>33</v>
      </c>
      <c r="AP211" s="7" t="s">
        <v>32</v>
      </c>
      <c r="AQ211" s="7" t="s">
        <v>31</v>
      </c>
      <c r="AR211" s="7" t="s">
        <v>30</v>
      </c>
      <c r="AS211" s="7" t="s">
        <v>29</v>
      </c>
      <c r="AT211" s="7" t="s">
        <v>28</v>
      </c>
      <c r="AU211" s="7" t="s">
        <v>27</v>
      </c>
      <c r="AV211" s="7" t="s">
        <v>27</v>
      </c>
      <c r="AW211" s="1" t="s">
        <v>26</v>
      </c>
      <c r="AX211" s="1" t="s">
        <v>25</v>
      </c>
      <c r="AY211" s="1" t="s">
        <v>24</v>
      </c>
      <c r="AZ211" s="1" t="s">
        <v>23</v>
      </c>
      <c r="BA211" s="1" t="s">
        <v>22</v>
      </c>
      <c r="BB211" s="1" t="s">
        <v>21</v>
      </c>
      <c r="BC211" s="1" t="s">
        <v>20</v>
      </c>
      <c r="BD211" s="1" t="s">
        <v>20</v>
      </c>
      <c r="BE211" s="1" t="s">
        <v>19</v>
      </c>
    </row>
    <row r="212" spans="1:57" x14ac:dyDescent="0.35">
      <c r="A212" s="1">
        <v>500000</v>
      </c>
      <c r="B212" s="1">
        <v>5999999.0959999999</v>
      </c>
      <c r="C212" s="1">
        <v>146.95665459614199</v>
      </c>
      <c r="D212" s="1">
        <v>0</v>
      </c>
      <c r="E212" s="1">
        <v>0.01</v>
      </c>
      <c r="F212" s="1">
        <v>0.05</v>
      </c>
      <c r="G212" s="1">
        <v>0.1</v>
      </c>
      <c r="H212" s="1">
        <v>9.81</v>
      </c>
      <c r="I212" s="1">
        <v>2650</v>
      </c>
      <c r="J212" s="1">
        <v>1000</v>
      </c>
      <c r="K212" s="1">
        <v>1.65</v>
      </c>
      <c r="L212" s="1">
        <v>6.5</v>
      </c>
      <c r="M212" s="1">
        <v>2.5</v>
      </c>
      <c r="N212" s="6">
        <v>9.9999999999999995E-7</v>
      </c>
      <c r="O212" s="1">
        <f xml:space="preserve"> (D213 - D212) / 2</f>
        <v>5.1061868798967165</v>
      </c>
      <c r="P212" s="1">
        <f t="shared" ref="P212:P243" si="38">SQRT((D213 - D212)^2 + (C213 - C212)^2)</f>
        <v>12.612081347143071</v>
      </c>
      <c r="Q212" s="1">
        <f t="shared" ref="Q212:Q243" si="39">IF(ROW()=212, P212/2, (P212 + P211)/2)</f>
        <v>6.3060406735715357</v>
      </c>
      <c r="R212" s="1">
        <v>125.32909999999998</v>
      </c>
      <c r="S212" s="1" t="e">
        <f t="shared" ref="S212:S243" si="40">IF(R212 - C212 &lt; 0, NA(), R212 - C212)</f>
        <v>#N/A</v>
      </c>
      <c r="T212" s="1" t="e">
        <v>#N/A</v>
      </c>
      <c r="U212" s="10" cm="1">
        <f t="array" ref="U212">SUMPRODUCT(IF(ISNA(T212:T261), 0, T212:T261), IF(ISNA(O212:O261), 0, O212:O261))</f>
        <v>3.0659360639404785</v>
      </c>
      <c r="V212" s="10">
        <f>SUMIF(S212:S261, "&gt;0", O212:O261)</f>
        <v>10.221049857319429</v>
      </c>
      <c r="W212" s="10">
        <f>SUMIF(S212:S261, "&gt;0", Q212:Q261)</f>
        <v>10.577000852837193</v>
      </c>
      <c r="X212" s="10">
        <f>U212/W212</f>
        <v>0.28986818726766639</v>
      </c>
      <c r="Y212" s="1">
        <f xml:space="preserve"> (6.5 * 2.5 * (X212 / G212)) / SQRT(6.5^2 + 2.5^2 * (X212 / G212)^(5/3))</f>
        <v>5.2968498930499548</v>
      </c>
      <c r="Z212" s="1">
        <f>Y212*SQRT(X212*H212*E212)</f>
        <v>0.89320767607624063</v>
      </c>
      <c r="AA212" s="1">
        <f>J212*H212*X212*E212</f>
        <v>28.436069170958071</v>
      </c>
      <c r="AB212" s="1">
        <f>(AA212 / (9.81 * 1000 *1.65 * F212))</f>
        <v>3.5135537850626224E-2</v>
      </c>
      <c r="AC212" s="9">
        <f xml:space="preserve"> F212 * (K212 * H212 / (N212)^2)^(1/3)</f>
        <v>1264.7974700106745</v>
      </c>
      <c r="AD212" s="1">
        <f xml:space="preserve"> 0.3 / (1 + 1.2 * AC212) + 0.055 * (1 - EXP(-0.02 * AC212))</f>
        <v>5.5197529957883754E-2</v>
      </c>
      <c r="AE212" s="1">
        <f>IF(AC212 &lt;= 4, 0.24 * AC212^-1, IF(AC212 &gt; 4, IF(AC212 &lt;= 10, 0.14 * AC212^-0.64, IF(AC212 &lt;= 20, 0.04 * AC212^-0.1, IF(AC212 &lt;= 150, 0.013 * AC212^0.29, 0.056)))))</f>
        <v>5.6000000000000001E-2</v>
      </c>
      <c r="AF212" s="1">
        <f>AB212/AD212-1</f>
        <v>-0.36345814971367418</v>
      </c>
      <c r="AG212" s="1">
        <f xml:space="preserve"> 2.45 * SQRT(AD212) / (K212 + 1)^0.4</f>
        <v>0.38978718496890047</v>
      </c>
      <c r="AH212" s="1">
        <f>SQRT(2/3 + 36 / AC212^3) - SQRT(36 / AC212^3)</f>
        <v>0.81636320289979147</v>
      </c>
      <c r="AI212" s="1">
        <f>AA212* Z212 / (J212 * (H212* K212 * F212)^(3/2))</f>
        <v>3.4884907420054137E-2</v>
      </c>
      <c r="AJ212" s="1">
        <f>AD212* K212 * F212 / E212</f>
        <v>0.45537962215254096</v>
      </c>
      <c r="AK212" s="1">
        <f>Y212 * AD212^(3/2)</f>
        <v>6.8690571781417825E-2</v>
      </c>
      <c r="AL212" s="1">
        <f>(0.92 - 0.25 * SQRT(AK212 / AI212))^9</f>
        <v>6.2708647213283245E-3</v>
      </c>
      <c r="AM212" s="1">
        <v>5.2759527000000001E-2</v>
      </c>
      <c r="AN212" s="1">
        <v>4.7434165E-2</v>
      </c>
      <c r="AO212" s="7">
        <f>IF(AB212 &gt; 0.047, 8 * (AB212 - 0.047)^(3/2), 0)</f>
        <v>0</v>
      </c>
      <c r="AP212" s="7">
        <f>IF(AB212&gt; 0.047, 4 * (AB212 - 0.047)^(3/2), 0)</f>
        <v>0</v>
      </c>
      <c r="AQ212" s="7" t="e">
        <f xml:space="preserve"> (0.053 / AC212^(0.3)) * ((AB212 / AE212) - 1)^2.1</f>
        <v>#NUM!</v>
      </c>
      <c r="AR212" s="7">
        <f xml:space="preserve"> IF(AB212 &gt; AD212, 0.635 * AF212 * SQRT(AB212) * (1 - (1 / (AG212*AF212)) * LOG(1 + AF212*AG212)), 0)</f>
        <v>0</v>
      </c>
      <c r="AS212" s="8">
        <f>IF(AB212&gt;= 0.19, 40 * AH212 * AB212^3, (AH212 * EXP(-0.391 / AB212)) / 0.465)</f>
        <v>2.5790301833206427E-5</v>
      </c>
      <c r="AT212" s="7">
        <f>AL212* AI212</f>
        <v>2.1875853524722219E-4</v>
      </c>
      <c r="AU212" s="7">
        <f>14 * AB212^2.5 / (1 + (AM212/AB212)^4)</f>
        <v>5.324706152413564E-4</v>
      </c>
      <c r="AV212" s="7">
        <f>14*AB212^2.5/(1+(AN212/AB212)^4)</f>
        <v>7.4959371915536016E-4</v>
      </c>
      <c r="AW212" s="1">
        <f>AO212*SQRT(1.65*9.81*F212^3)</f>
        <v>0</v>
      </c>
      <c r="AX212" s="1">
        <f>AP212*SQRT(1.65*9.81*F212^3)</f>
        <v>0</v>
      </c>
      <c r="AY212" s="1" t="e">
        <f>AQ212*SQRT(1.65*9.81*F212^3)</f>
        <v>#NUM!</v>
      </c>
      <c r="AZ212" s="1">
        <f>AR212*SQRT(1.65*9.81*F212^3)</f>
        <v>0</v>
      </c>
      <c r="BA212" s="1">
        <f>AS212*SQRT(1.65*9.81*F212^3)</f>
        <v>1.1600799135495518E-6</v>
      </c>
      <c r="BB212" s="1">
        <f>AT212*SQRT(1.65*9.81*F212^3)</f>
        <v>9.8400315087073481E-6</v>
      </c>
      <c r="BC212" s="1">
        <f>AU212*SQRT(1.65*9.81*G212^3)</f>
        <v>6.7744200503363757E-5</v>
      </c>
      <c r="BD212" s="1">
        <f>AV212*SQRT(1.65*9.81*G212^3)</f>
        <v>9.5367942855410334E-5</v>
      </c>
      <c r="BE212" s="1">
        <f>U212*Z212</f>
        <v>2.7385176266706113</v>
      </c>
    </row>
    <row r="213" spans="1:57" x14ac:dyDescent="0.35">
      <c r="A213" s="1">
        <v>500010.20409999997</v>
      </c>
      <c r="B213" s="1">
        <v>5999998.6849999996</v>
      </c>
      <c r="C213" s="1">
        <v>154.35746658519</v>
      </c>
      <c r="D213" s="1">
        <f t="shared" ref="D213:D244" si="41">D212 + SQRT((A213 - A212)^2 + (B213 - B212)^2)</f>
        <v>10.212373759793433</v>
      </c>
      <c r="E213" s="1">
        <v>0.01</v>
      </c>
      <c r="F213" s="1">
        <v>0.05</v>
      </c>
      <c r="G213" s="1">
        <v>0.1</v>
      </c>
      <c r="H213" s="1">
        <v>9.81</v>
      </c>
      <c r="I213" s="1">
        <v>2650</v>
      </c>
      <c r="J213" s="1">
        <v>1000</v>
      </c>
      <c r="K213" s="1">
        <v>1.65</v>
      </c>
      <c r="L213" s="1">
        <v>6.5</v>
      </c>
      <c r="M213" s="1">
        <v>2.5</v>
      </c>
      <c r="N213" s="6">
        <v>9.9999999999999995E-7</v>
      </c>
      <c r="O213" s="1">
        <f t="shared" ref="O213:O260" si="42" xml:space="preserve"> (D214 - D213 + D213 - D212) / 2</f>
        <v>10.212934886473896</v>
      </c>
      <c r="P213" s="1">
        <f t="shared" si="38"/>
        <v>10.748393624242958</v>
      </c>
      <c r="Q213" s="1">
        <f t="shared" si="39"/>
        <v>11.680237485693015</v>
      </c>
      <c r="R213" s="1">
        <v>125.32909999999998</v>
      </c>
      <c r="S213" s="1" t="e">
        <f t="shared" si="40"/>
        <v>#N/A</v>
      </c>
      <c r="T213" s="1" t="e">
        <v>#N/A</v>
      </c>
      <c r="AO213" s="7"/>
      <c r="AP213" s="7"/>
      <c r="AQ213" s="7"/>
      <c r="AR213" s="7"/>
      <c r="AS213" s="7"/>
      <c r="AT213" s="7"/>
      <c r="AU213" s="7"/>
      <c r="AV213" s="7"/>
    </row>
    <row r="214" spans="1:57" x14ac:dyDescent="0.35">
      <c r="A214" s="1">
        <v>500020.40820000001</v>
      </c>
      <c r="B214" s="1">
        <v>5999999.1229999997</v>
      </c>
      <c r="C214" s="1">
        <v>151.008964727501</v>
      </c>
      <c r="D214" s="1">
        <f t="shared" si="41"/>
        <v>20.425869772947792</v>
      </c>
      <c r="E214" s="1">
        <v>0.01</v>
      </c>
      <c r="F214" s="1">
        <v>0.05</v>
      </c>
      <c r="G214" s="1">
        <v>0.1</v>
      </c>
      <c r="H214" s="1">
        <v>9.81</v>
      </c>
      <c r="I214" s="1">
        <v>2650</v>
      </c>
      <c r="J214" s="1">
        <v>1000</v>
      </c>
      <c r="K214" s="1">
        <v>1.65</v>
      </c>
      <c r="L214" s="1">
        <v>6.5</v>
      </c>
      <c r="M214" s="1">
        <v>2.5</v>
      </c>
      <c r="N214" s="6">
        <v>9.9999999999999995E-7</v>
      </c>
      <c r="O214" s="1">
        <f t="shared" si="42"/>
        <v>10.21125621009096</v>
      </c>
      <c r="P214" s="1">
        <f t="shared" si="38"/>
        <v>13.985433799960637</v>
      </c>
      <c r="Q214" s="1">
        <f t="shared" si="39"/>
        <v>12.366913712101798</v>
      </c>
      <c r="R214" s="1">
        <v>125.32909999999998</v>
      </c>
      <c r="S214" s="1" t="e">
        <f t="shared" si="40"/>
        <v>#N/A</v>
      </c>
      <c r="T214" s="1" t="e">
        <v>#N/A</v>
      </c>
    </row>
    <row r="215" spans="1:57" x14ac:dyDescent="0.35">
      <c r="A215" s="1">
        <v>500030.61219999997</v>
      </c>
      <c r="B215" s="1">
        <v>5999998.8030000003</v>
      </c>
      <c r="C215" s="1">
        <v>160.567643641144</v>
      </c>
      <c r="D215" s="1">
        <f t="shared" si="41"/>
        <v>30.634886179975354</v>
      </c>
      <c r="E215" s="1">
        <v>0.01</v>
      </c>
      <c r="F215" s="1">
        <v>0.05</v>
      </c>
      <c r="G215" s="1">
        <v>0.1</v>
      </c>
      <c r="H215" s="1">
        <v>9.81</v>
      </c>
      <c r="I215" s="1">
        <v>2650</v>
      </c>
      <c r="J215" s="1">
        <v>1000</v>
      </c>
      <c r="K215" s="1">
        <v>1.65</v>
      </c>
      <c r="L215" s="1">
        <v>6.5</v>
      </c>
      <c r="M215" s="1">
        <v>2.5</v>
      </c>
      <c r="N215" s="6">
        <v>9.9999999999999995E-7</v>
      </c>
      <c r="O215" s="1">
        <f t="shared" si="42"/>
        <v>10.214935822867286</v>
      </c>
      <c r="P215" s="1">
        <f t="shared" si="38"/>
        <v>10.224042445454263</v>
      </c>
      <c r="Q215" s="1">
        <f t="shared" si="39"/>
        <v>12.104738122707449</v>
      </c>
      <c r="R215" s="1">
        <v>125.32909999999998</v>
      </c>
      <c r="S215" s="1" t="e">
        <f t="shared" si="40"/>
        <v>#N/A</v>
      </c>
      <c r="T215" s="1" t="e">
        <v>#N/A</v>
      </c>
    </row>
    <row r="216" spans="1:57" x14ac:dyDescent="0.35">
      <c r="A216" s="1">
        <v>500040.81630000001</v>
      </c>
      <c r="B216" s="1">
        <v>5999998.2180000003</v>
      </c>
      <c r="C216" s="1">
        <v>160.82291235416201</v>
      </c>
      <c r="D216" s="1">
        <f t="shared" si="41"/>
        <v>40.855741418682364</v>
      </c>
      <c r="E216" s="1">
        <v>0.01</v>
      </c>
      <c r="F216" s="1">
        <v>0.05</v>
      </c>
      <c r="G216" s="1">
        <v>0.1</v>
      </c>
      <c r="H216" s="1">
        <v>9.81</v>
      </c>
      <c r="I216" s="1">
        <v>2650</v>
      </c>
      <c r="J216" s="1">
        <v>1000</v>
      </c>
      <c r="K216" s="1">
        <v>1.65</v>
      </c>
      <c r="L216" s="1">
        <v>6.5</v>
      </c>
      <c r="M216" s="1">
        <v>2.5</v>
      </c>
      <c r="N216" s="6">
        <v>9.9999999999999995E-7</v>
      </c>
      <c r="O216" s="1">
        <f t="shared" si="42"/>
        <v>10.231243785008825</v>
      </c>
      <c r="P216" s="1">
        <f t="shared" si="38"/>
        <v>10.333484931908488</v>
      </c>
      <c r="Q216" s="1">
        <f t="shared" si="39"/>
        <v>10.278763688681376</v>
      </c>
      <c r="R216" s="1">
        <v>125.32909999999998</v>
      </c>
      <c r="S216" s="1" t="e">
        <f t="shared" si="40"/>
        <v>#N/A</v>
      </c>
      <c r="T216" s="1" t="e">
        <v>#N/A</v>
      </c>
    </row>
    <row r="217" spans="1:57" x14ac:dyDescent="0.35">
      <c r="A217" s="1">
        <v>500051.02039999998</v>
      </c>
      <c r="B217" s="1">
        <v>5999997.3420000002</v>
      </c>
      <c r="C217" s="1">
        <v>159.448184007094</v>
      </c>
      <c r="D217" s="1">
        <f t="shared" si="41"/>
        <v>51.097373749993004</v>
      </c>
      <c r="E217" s="1">
        <v>0.01</v>
      </c>
      <c r="F217" s="1">
        <v>0.05</v>
      </c>
      <c r="G217" s="1">
        <v>0.1</v>
      </c>
      <c r="H217" s="1">
        <v>9.81</v>
      </c>
      <c r="I217" s="1">
        <v>2650</v>
      </c>
      <c r="J217" s="1">
        <v>1000</v>
      </c>
      <c r="K217" s="1">
        <v>1.65</v>
      </c>
      <c r="L217" s="1">
        <v>6.5</v>
      </c>
      <c r="M217" s="1">
        <v>2.5</v>
      </c>
      <c r="N217" s="6">
        <v>9.9999999999999995E-7</v>
      </c>
      <c r="O217" s="1">
        <f t="shared" si="42"/>
        <v>10.22297614478725</v>
      </c>
      <c r="P217" s="1">
        <f t="shared" si="38"/>
        <v>11.164078602095582</v>
      </c>
      <c r="Q217" s="1">
        <f t="shared" si="39"/>
        <v>10.748781767002036</v>
      </c>
      <c r="R217" s="1">
        <v>125.32909999999998</v>
      </c>
      <c r="S217" s="1" t="e">
        <f t="shared" si="40"/>
        <v>#N/A</v>
      </c>
      <c r="T217" s="1" t="e">
        <v>#N/A</v>
      </c>
    </row>
    <row r="218" spans="1:57" x14ac:dyDescent="0.35">
      <c r="A218" s="1">
        <v>500061.22450000001</v>
      </c>
      <c r="B218" s="1">
        <v>5999997.2750000004</v>
      </c>
      <c r="C218" s="1">
        <v>163.976815723534</v>
      </c>
      <c r="D218" s="1">
        <f t="shared" si="41"/>
        <v>61.301693708256863</v>
      </c>
      <c r="E218" s="1">
        <v>0.01</v>
      </c>
      <c r="F218" s="1">
        <v>0.05</v>
      </c>
      <c r="G218" s="1">
        <v>0.1</v>
      </c>
      <c r="H218" s="1">
        <v>9.81</v>
      </c>
      <c r="I218" s="1">
        <v>2650</v>
      </c>
      <c r="J218" s="1">
        <v>1000</v>
      </c>
      <c r="K218" s="1">
        <v>1.65</v>
      </c>
      <c r="L218" s="1">
        <v>6.5</v>
      </c>
      <c r="M218" s="1">
        <v>2.5</v>
      </c>
      <c r="N218" s="6">
        <v>9.9999999999999995E-7</v>
      </c>
      <c r="O218" s="1">
        <f t="shared" si="42"/>
        <v>10.209391538632293</v>
      </c>
      <c r="P218" s="1">
        <f t="shared" si="38"/>
        <v>11.034750060361873</v>
      </c>
      <c r="Q218" s="1">
        <f t="shared" si="39"/>
        <v>11.099414331228727</v>
      </c>
      <c r="R218" s="1">
        <v>125.32909999999998</v>
      </c>
      <c r="S218" s="1" t="e">
        <f t="shared" si="40"/>
        <v>#N/A</v>
      </c>
      <c r="T218" s="1" t="e">
        <v>#N/A</v>
      </c>
    </row>
    <row r="219" spans="1:57" x14ac:dyDescent="0.35">
      <c r="A219" s="1">
        <v>500071.42859999998</v>
      </c>
      <c r="B219" s="1">
        <v>5999996.8150000004</v>
      </c>
      <c r="C219" s="1">
        <v>168.15179501512699</v>
      </c>
      <c r="D219" s="1">
        <f t="shared" si="41"/>
        <v>71.516156827257589</v>
      </c>
      <c r="E219" s="1">
        <v>0.01</v>
      </c>
      <c r="F219" s="1">
        <v>0.05</v>
      </c>
      <c r="G219" s="1">
        <v>0.1</v>
      </c>
      <c r="H219" s="1">
        <v>9.81</v>
      </c>
      <c r="I219" s="1">
        <v>2650</v>
      </c>
      <c r="J219" s="1">
        <v>1000</v>
      </c>
      <c r="K219" s="1">
        <v>1.65</v>
      </c>
      <c r="L219" s="1">
        <v>6.5</v>
      </c>
      <c r="M219" s="1">
        <v>2.5</v>
      </c>
      <c r="N219" s="6">
        <v>9.9999999999999995E-7</v>
      </c>
      <c r="O219" s="1">
        <f t="shared" si="42"/>
        <v>10.229976351370027</v>
      </c>
      <c r="P219" s="1">
        <f t="shared" si="38"/>
        <v>11.687505241745082</v>
      </c>
      <c r="Q219" s="1">
        <f t="shared" si="39"/>
        <v>11.361127651053478</v>
      </c>
      <c r="R219" s="1">
        <v>125.32909999999998</v>
      </c>
      <c r="S219" s="1" t="e">
        <f t="shared" si="40"/>
        <v>#N/A</v>
      </c>
      <c r="T219" s="1" t="e">
        <v>#N/A</v>
      </c>
    </row>
    <row r="220" spans="1:57" x14ac:dyDescent="0.35">
      <c r="A220" s="1">
        <v>500081.63270000002</v>
      </c>
      <c r="B220" s="1">
        <v>5999997.7350000003</v>
      </c>
      <c r="C220" s="1">
        <v>162.52794206849799</v>
      </c>
      <c r="D220" s="1">
        <f t="shared" si="41"/>
        <v>81.761646410996917</v>
      </c>
      <c r="E220" s="1">
        <v>0.01</v>
      </c>
      <c r="F220" s="1">
        <v>0.05</v>
      </c>
      <c r="G220" s="1">
        <v>0.1</v>
      </c>
      <c r="H220" s="1">
        <v>9.81</v>
      </c>
      <c r="I220" s="1">
        <v>2650</v>
      </c>
      <c r="J220" s="1">
        <v>1000</v>
      </c>
      <c r="K220" s="1">
        <v>1.65</v>
      </c>
      <c r="L220" s="1">
        <v>6.5</v>
      </c>
      <c r="M220" s="1">
        <v>2.5</v>
      </c>
      <c r="N220" s="6">
        <v>9.9999999999999995E-7</v>
      </c>
      <c r="O220" s="1">
        <f t="shared" si="42"/>
        <v>10.224765396477437</v>
      </c>
      <c r="P220" s="1">
        <f t="shared" si="38"/>
        <v>11.652977208096294</v>
      </c>
      <c r="Q220" s="1">
        <f t="shared" si="39"/>
        <v>11.670241224920687</v>
      </c>
      <c r="R220" s="1">
        <v>125.32909999999998</v>
      </c>
      <c r="S220" s="1" t="e">
        <f t="shared" si="40"/>
        <v>#N/A</v>
      </c>
      <c r="T220" s="1" t="e">
        <v>#N/A</v>
      </c>
    </row>
    <row r="221" spans="1:57" x14ac:dyDescent="0.35">
      <c r="A221" s="1">
        <v>500091.83669999999</v>
      </c>
      <c r="B221" s="1">
        <v>5999997.7640000004</v>
      </c>
      <c r="C221" s="1">
        <v>168.15550111421601</v>
      </c>
      <c r="D221" s="1">
        <f t="shared" si="41"/>
        <v>91.965687620212464</v>
      </c>
      <c r="E221" s="1">
        <v>0.01</v>
      </c>
      <c r="F221" s="1">
        <v>0.05</v>
      </c>
      <c r="G221" s="1">
        <v>0.1</v>
      </c>
      <c r="H221" s="1">
        <v>9.81</v>
      </c>
      <c r="I221" s="1">
        <v>2650</v>
      </c>
      <c r="J221" s="1">
        <v>1000</v>
      </c>
      <c r="K221" s="1">
        <v>1.65</v>
      </c>
      <c r="L221" s="1">
        <v>6.5</v>
      </c>
      <c r="M221" s="1">
        <v>2.5</v>
      </c>
      <c r="N221" s="6">
        <v>9.9999999999999995E-7</v>
      </c>
      <c r="O221" s="1">
        <f t="shared" si="42"/>
        <v>10.204607223431253</v>
      </c>
      <c r="P221" s="1">
        <f t="shared" si="38"/>
        <v>10.499401533865951</v>
      </c>
      <c r="Q221" s="1">
        <f t="shared" si="39"/>
        <v>11.076189370981123</v>
      </c>
      <c r="R221" s="1">
        <v>125.32909999999998</v>
      </c>
      <c r="S221" s="1" t="e">
        <f t="shared" si="40"/>
        <v>#N/A</v>
      </c>
      <c r="T221" s="1" t="e">
        <v>#N/A</v>
      </c>
    </row>
    <row r="222" spans="1:57" x14ac:dyDescent="0.35">
      <c r="A222" s="1">
        <v>500102.04080000002</v>
      </c>
      <c r="B222" s="1">
        <v>5999997.9119999995</v>
      </c>
      <c r="C222" s="1">
        <v>170.62367285843499</v>
      </c>
      <c r="D222" s="1">
        <f t="shared" si="41"/>
        <v>102.17086085785942</v>
      </c>
      <c r="E222" s="1">
        <v>0.01</v>
      </c>
      <c r="F222" s="1">
        <v>0.05</v>
      </c>
      <c r="G222" s="1">
        <v>0.1</v>
      </c>
      <c r="H222" s="1">
        <v>9.81</v>
      </c>
      <c r="I222" s="1">
        <v>2650</v>
      </c>
      <c r="J222" s="1">
        <v>1000</v>
      </c>
      <c r="K222" s="1">
        <v>1.65</v>
      </c>
      <c r="L222" s="1">
        <v>6.5</v>
      </c>
      <c r="M222" s="1">
        <v>2.5</v>
      </c>
      <c r="N222" s="6">
        <v>9.9999999999999995E-7</v>
      </c>
      <c r="O222" s="1">
        <f t="shared" si="42"/>
        <v>10.21006882166494</v>
      </c>
      <c r="P222" s="1">
        <f t="shared" si="38"/>
        <v>10.948230205101877</v>
      </c>
      <c r="Q222" s="1">
        <f t="shared" si="39"/>
        <v>10.723815869483914</v>
      </c>
      <c r="R222" s="1">
        <v>125.32909999999998</v>
      </c>
      <c r="S222" s="1" t="e">
        <f t="shared" si="40"/>
        <v>#N/A</v>
      </c>
      <c r="T222" s="1" t="e">
        <v>#N/A</v>
      </c>
    </row>
    <row r="223" spans="1:57" x14ac:dyDescent="0.35">
      <c r="A223" s="1">
        <v>500112.24489999999</v>
      </c>
      <c r="B223" s="1">
        <v>5999997.4409999996</v>
      </c>
      <c r="C223" s="1">
        <v>174.56299346160199</v>
      </c>
      <c r="D223" s="1">
        <f t="shared" si="41"/>
        <v>112.38582526354234</v>
      </c>
      <c r="E223" s="1">
        <v>0.01</v>
      </c>
      <c r="F223" s="1">
        <v>0.05</v>
      </c>
      <c r="G223" s="1">
        <v>0.1</v>
      </c>
      <c r="H223" s="1">
        <v>9.81</v>
      </c>
      <c r="I223" s="1">
        <v>2650</v>
      </c>
      <c r="J223" s="1">
        <v>1000</v>
      </c>
      <c r="K223" s="1">
        <v>1.65</v>
      </c>
      <c r="L223" s="1">
        <v>6.5</v>
      </c>
      <c r="M223" s="1">
        <v>2.5</v>
      </c>
      <c r="N223" s="6">
        <v>9.9999999999999995E-7</v>
      </c>
      <c r="O223" s="1">
        <f t="shared" si="42"/>
        <v>10.211692861963954</v>
      </c>
      <c r="P223" s="1">
        <f t="shared" si="38"/>
        <v>13.530011313683339</v>
      </c>
      <c r="Q223" s="1">
        <f t="shared" si="39"/>
        <v>12.239120759392609</v>
      </c>
      <c r="R223" s="1">
        <v>125.32909999999998</v>
      </c>
      <c r="S223" s="1" t="e">
        <f t="shared" si="40"/>
        <v>#N/A</v>
      </c>
      <c r="T223" s="1" t="e">
        <v>#N/A</v>
      </c>
    </row>
    <row r="224" spans="1:57" x14ac:dyDescent="0.35">
      <c r="A224" s="1">
        <v>500122.44900000002</v>
      </c>
      <c r="B224" s="1">
        <v>5999997.7379999999</v>
      </c>
      <c r="C224" s="1">
        <v>165.68327835707299</v>
      </c>
      <c r="D224" s="1">
        <f t="shared" si="41"/>
        <v>122.59424658178733</v>
      </c>
      <c r="E224" s="1">
        <v>0.01</v>
      </c>
      <c r="F224" s="1">
        <v>0.05</v>
      </c>
      <c r="G224" s="1">
        <v>0.1</v>
      </c>
      <c r="H224" s="1">
        <v>9.81</v>
      </c>
      <c r="I224" s="1">
        <v>2650</v>
      </c>
      <c r="J224" s="1">
        <v>1000</v>
      </c>
      <c r="K224" s="1">
        <v>1.65</v>
      </c>
      <c r="L224" s="1">
        <v>6.5</v>
      </c>
      <c r="M224" s="1">
        <v>2.5</v>
      </c>
      <c r="N224" s="6">
        <v>9.9999999999999995E-7</v>
      </c>
      <c r="O224" s="1">
        <f t="shared" si="42"/>
        <v>10.212455607463802</v>
      </c>
      <c r="P224" s="1">
        <f t="shared" si="38"/>
        <v>12.917030195420445</v>
      </c>
      <c r="Q224" s="1">
        <f t="shared" si="39"/>
        <v>13.223520754551892</v>
      </c>
      <c r="R224" s="1">
        <v>125.32909999999998</v>
      </c>
      <c r="S224" s="1" t="e">
        <f t="shared" si="40"/>
        <v>#N/A</v>
      </c>
      <c r="T224" s="1" t="e">
        <v>#N/A</v>
      </c>
    </row>
    <row r="225" spans="1:20" x14ac:dyDescent="0.35">
      <c r="A225" s="1">
        <v>500132.6531</v>
      </c>
      <c r="B225" s="1">
        <v>5999997.2350000003</v>
      </c>
      <c r="C225" s="1">
        <v>173.58726489934301</v>
      </c>
      <c r="D225" s="1">
        <f t="shared" si="41"/>
        <v>132.81073647846995</v>
      </c>
      <c r="E225" s="1">
        <v>0.01</v>
      </c>
      <c r="F225" s="1">
        <v>0.05</v>
      </c>
      <c r="G225" s="1">
        <v>0.1</v>
      </c>
      <c r="H225" s="1">
        <v>9.81</v>
      </c>
      <c r="I225" s="1">
        <v>2650</v>
      </c>
      <c r="J225" s="1">
        <v>1000</v>
      </c>
      <c r="K225" s="1">
        <v>1.65</v>
      </c>
      <c r="L225" s="1">
        <v>6.5</v>
      </c>
      <c r="M225" s="1">
        <v>2.5</v>
      </c>
      <c r="N225" s="6">
        <v>9.9999999999999995E-7</v>
      </c>
      <c r="O225" s="1">
        <f t="shared" si="42"/>
        <v>10.225512676353247</v>
      </c>
      <c r="P225" s="1">
        <f t="shared" si="38"/>
        <v>13.492945518552009</v>
      </c>
      <c r="Q225" s="1">
        <f t="shared" si="39"/>
        <v>13.204987856986227</v>
      </c>
      <c r="R225" s="1">
        <v>125.32909999999998</v>
      </c>
      <c r="S225" s="1" t="e">
        <f t="shared" si="40"/>
        <v>#N/A</v>
      </c>
      <c r="T225" s="1" t="e">
        <v>#N/A</v>
      </c>
    </row>
    <row r="226" spans="1:20" x14ac:dyDescent="0.35">
      <c r="A226" s="1">
        <v>500142.85710000002</v>
      </c>
      <c r="B226" s="1">
        <v>5999996.4450000003</v>
      </c>
      <c r="C226" s="1">
        <v>164.79443470844299</v>
      </c>
      <c r="D226" s="1">
        <f t="shared" si="41"/>
        <v>143.04527193449383</v>
      </c>
      <c r="E226" s="1">
        <v>0.01</v>
      </c>
      <c r="F226" s="1">
        <v>0.05</v>
      </c>
      <c r="G226" s="1">
        <v>0.1</v>
      </c>
      <c r="H226" s="1">
        <v>9.81</v>
      </c>
      <c r="I226" s="1">
        <v>2650</v>
      </c>
      <c r="J226" s="1">
        <v>1000</v>
      </c>
      <c r="K226" s="1">
        <v>1.65</v>
      </c>
      <c r="L226" s="1">
        <v>6.5</v>
      </c>
      <c r="M226" s="1">
        <v>2.5</v>
      </c>
      <c r="N226" s="6">
        <v>9.9999999999999995E-7</v>
      </c>
      <c r="O226" s="1">
        <f t="shared" si="42"/>
        <v>10.219577641411078</v>
      </c>
      <c r="P226" s="1">
        <f t="shared" si="38"/>
        <v>10.57052865269438</v>
      </c>
      <c r="Q226" s="1">
        <f t="shared" si="39"/>
        <v>12.031737085623195</v>
      </c>
      <c r="R226" s="1">
        <v>125.32909999999998</v>
      </c>
      <c r="S226" s="1" t="e">
        <f t="shared" si="40"/>
        <v>#N/A</v>
      </c>
      <c r="T226" s="1" t="e">
        <v>#N/A</v>
      </c>
    </row>
    <row r="227" spans="1:20" x14ac:dyDescent="0.35">
      <c r="A227" s="1">
        <v>500153.0612</v>
      </c>
      <c r="B227" s="1">
        <v>5999996.5480000004</v>
      </c>
      <c r="C227" s="1">
        <v>167.55157275140499</v>
      </c>
      <c r="D227" s="1">
        <f t="shared" si="41"/>
        <v>153.2498917612921</v>
      </c>
      <c r="E227" s="1">
        <v>0.01</v>
      </c>
      <c r="F227" s="1">
        <v>0.05</v>
      </c>
      <c r="G227" s="1">
        <v>0.1</v>
      </c>
      <c r="H227" s="1">
        <v>9.81</v>
      </c>
      <c r="I227" s="1">
        <v>2650</v>
      </c>
      <c r="J227" s="1">
        <v>1000</v>
      </c>
      <c r="K227" s="1">
        <v>1.65</v>
      </c>
      <c r="L227" s="1">
        <v>6.5</v>
      </c>
      <c r="M227" s="1">
        <v>2.5</v>
      </c>
      <c r="N227" s="6">
        <v>9.9999999999999995E-7</v>
      </c>
      <c r="O227" s="1">
        <f t="shared" si="42"/>
        <v>10.204940921281036</v>
      </c>
      <c r="P227" s="1">
        <f t="shared" si="38"/>
        <v>10.682627590463349</v>
      </c>
      <c r="Q227" s="1">
        <f t="shared" si="39"/>
        <v>10.626578121578865</v>
      </c>
      <c r="R227" s="1">
        <v>125.32909999999998</v>
      </c>
      <c r="S227" s="1" t="e">
        <f t="shared" si="40"/>
        <v>#N/A</v>
      </c>
      <c r="T227" s="1" t="e">
        <v>#N/A</v>
      </c>
    </row>
    <row r="228" spans="1:20" x14ac:dyDescent="0.35">
      <c r="A228" s="1">
        <v>500163.26530000003</v>
      </c>
      <c r="B228" s="1">
        <v>5999996.7019999996</v>
      </c>
      <c r="C228" s="1">
        <v>164.39385847900201</v>
      </c>
      <c r="D228" s="1">
        <f t="shared" si="41"/>
        <v>163.4551537770559</v>
      </c>
      <c r="E228" s="1">
        <v>0.01</v>
      </c>
      <c r="F228" s="1">
        <v>0.05</v>
      </c>
      <c r="G228" s="1">
        <v>0.1</v>
      </c>
      <c r="H228" s="1">
        <v>9.81</v>
      </c>
      <c r="I228" s="1">
        <v>2650</v>
      </c>
      <c r="J228" s="1">
        <v>1000</v>
      </c>
      <c r="K228" s="1">
        <v>1.65</v>
      </c>
      <c r="L228" s="1">
        <v>6.5</v>
      </c>
      <c r="M228" s="1">
        <v>2.5</v>
      </c>
      <c r="N228" s="6">
        <v>9.9999999999999995E-7</v>
      </c>
      <c r="O228" s="1">
        <f t="shared" si="42"/>
        <v>10.213849082106762</v>
      </c>
      <c r="P228" s="1">
        <f t="shared" si="38"/>
        <v>11.026540308620518</v>
      </c>
      <c r="Q228" s="1">
        <f t="shared" si="39"/>
        <v>10.854583949541933</v>
      </c>
      <c r="R228" s="1">
        <v>125.32909999999998</v>
      </c>
      <c r="S228" s="1" t="e">
        <f t="shared" si="40"/>
        <v>#N/A</v>
      </c>
      <c r="T228" s="1" t="e">
        <v>#N/A</v>
      </c>
    </row>
    <row r="229" spans="1:20" x14ac:dyDescent="0.35">
      <c r="A229" s="1">
        <v>500173.4694</v>
      </c>
      <c r="B229" s="1">
        <v>5999996.0899999999</v>
      </c>
      <c r="C229" s="1">
        <v>168.52742719967199</v>
      </c>
      <c r="D229" s="1">
        <f t="shared" si="41"/>
        <v>173.67758992550563</v>
      </c>
      <c r="E229" s="1">
        <v>0.01</v>
      </c>
      <c r="F229" s="1">
        <v>0.05</v>
      </c>
      <c r="G229" s="1">
        <v>0.1</v>
      </c>
      <c r="H229" s="1">
        <v>9.81</v>
      </c>
      <c r="I229" s="1">
        <v>2650</v>
      </c>
      <c r="J229" s="1">
        <v>1000</v>
      </c>
      <c r="K229" s="1">
        <v>1.65</v>
      </c>
      <c r="L229" s="1">
        <v>6.5</v>
      </c>
      <c r="M229" s="1">
        <v>2.5</v>
      </c>
      <c r="N229" s="6">
        <v>9.9999999999999995E-7</v>
      </c>
      <c r="O229" s="1">
        <f t="shared" si="42"/>
        <v>10.214988293625822</v>
      </c>
      <c r="P229" s="1">
        <f t="shared" si="38"/>
        <v>10.632479456336906</v>
      </c>
      <c r="Q229" s="1">
        <f t="shared" si="39"/>
        <v>10.829509882478712</v>
      </c>
      <c r="R229" s="1">
        <v>125.32909999999998</v>
      </c>
      <c r="S229" s="1" t="e">
        <f t="shared" si="40"/>
        <v>#N/A</v>
      </c>
      <c r="T229" s="1" t="e">
        <v>#N/A</v>
      </c>
    </row>
    <row r="230" spans="1:20" x14ac:dyDescent="0.35">
      <c r="A230" s="1">
        <v>500183.67349999998</v>
      </c>
      <c r="B230" s="1">
        <v>5999996.3550000004</v>
      </c>
      <c r="C230" s="1">
        <v>165.55156806663999</v>
      </c>
      <c r="D230" s="1">
        <f t="shared" si="41"/>
        <v>183.88513036430754</v>
      </c>
      <c r="E230" s="1">
        <v>0.01</v>
      </c>
      <c r="F230" s="1">
        <v>0.05</v>
      </c>
      <c r="G230" s="1">
        <v>0.1</v>
      </c>
      <c r="H230" s="1">
        <v>9.81</v>
      </c>
      <c r="I230" s="1">
        <v>2650</v>
      </c>
      <c r="J230" s="1">
        <v>1000</v>
      </c>
      <c r="K230" s="1">
        <v>1.65</v>
      </c>
      <c r="L230" s="1">
        <v>6.5</v>
      </c>
      <c r="M230" s="1">
        <v>2.5</v>
      </c>
      <c r="N230" s="6">
        <v>9.9999999999999995E-7</v>
      </c>
      <c r="O230" s="1">
        <f t="shared" si="42"/>
        <v>10.210285318026777</v>
      </c>
      <c r="P230" s="1">
        <f t="shared" si="38"/>
        <v>10.217153370786205</v>
      </c>
      <c r="Q230" s="1">
        <f t="shared" si="39"/>
        <v>10.424816413561555</v>
      </c>
      <c r="R230" s="1">
        <v>125.32909999999998</v>
      </c>
      <c r="S230" s="1" t="e">
        <f t="shared" si="40"/>
        <v>#N/A</v>
      </c>
      <c r="T230" s="1" t="e">
        <v>#N/A</v>
      </c>
    </row>
    <row r="231" spans="1:20" x14ac:dyDescent="0.35">
      <c r="A231" s="1">
        <v>500193.87760000001</v>
      </c>
      <c r="B231" s="1">
        <v>5999996.7819999997</v>
      </c>
      <c r="C231" s="1">
        <v>165.84180450851801</v>
      </c>
      <c r="D231" s="1">
        <f t="shared" si="41"/>
        <v>194.09816056155918</v>
      </c>
      <c r="E231" s="1">
        <v>0.01</v>
      </c>
      <c r="F231" s="1">
        <v>0.05</v>
      </c>
      <c r="G231" s="1">
        <v>0.1</v>
      </c>
      <c r="H231" s="1">
        <v>9.81</v>
      </c>
      <c r="I231" s="1">
        <v>2650</v>
      </c>
      <c r="J231" s="1">
        <v>1000</v>
      </c>
      <c r="K231" s="1">
        <v>1.65</v>
      </c>
      <c r="L231" s="1">
        <v>6.5</v>
      </c>
      <c r="M231" s="1">
        <v>2.5</v>
      </c>
      <c r="N231" s="6">
        <v>9.9999999999999995E-7</v>
      </c>
      <c r="O231" s="1">
        <f t="shared" si="42"/>
        <v>10.225732250662787</v>
      </c>
      <c r="P231" s="1">
        <f t="shared" si="38"/>
        <v>11.805317568883225</v>
      </c>
      <c r="Q231" s="1">
        <f t="shared" si="39"/>
        <v>11.011235469834716</v>
      </c>
      <c r="R231" s="1">
        <v>125.32909999999998</v>
      </c>
      <c r="S231" s="1" t="e">
        <f t="shared" si="40"/>
        <v>#N/A</v>
      </c>
      <c r="T231" s="1" t="e">
        <v>#N/A</v>
      </c>
    </row>
    <row r="232" spans="1:20" x14ac:dyDescent="0.35">
      <c r="A232" s="1">
        <v>500204.08159999998</v>
      </c>
      <c r="B232" s="1">
        <v>5999995.943</v>
      </c>
      <c r="C232" s="1">
        <v>159.96473160584401</v>
      </c>
      <c r="D232" s="1">
        <f t="shared" si="41"/>
        <v>204.33659486563312</v>
      </c>
      <c r="E232" s="1">
        <v>0.01</v>
      </c>
      <c r="F232" s="1">
        <v>0.05</v>
      </c>
      <c r="G232" s="1">
        <v>0.1</v>
      </c>
      <c r="H232" s="1">
        <v>9.81</v>
      </c>
      <c r="I232" s="1">
        <v>2650</v>
      </c>
      <c r="J232" s="1">
        <v>1000</v>
      </c>
      <c r="K232" s="1">
        <v>1.65</v>
      </c>
      <c r="L232" s="1">
        <v>6.5</v>
      </c>
      <c r="M232" s="1">
        <v>2.5</v>
      </c>
      <c r="N232" s="6">
        <v>9.9999999999999995E-7</v>
      </c>
      <c r="O232" s="1">
        <f t="shared" si="42"/>
        <v>10.222474465035148</v>
      </c>
      <c r="P232" s="1">
        <f t="shared" si="38"/>
        <v>10.510110351296964</v>
      </c>
      <c r="Q232" s="1">
        <f t="shared" si="39"/>
        <v>11.157713960090096</v>
      </c>
      <c r="R232" s="1">
        <v>125.32909999999998</v>
      </c>
      <c r="S232" s="1" t="e">
        <f t="shared" si="40"/>
        <v>#N/A</v>
      </c>
      <c r="T232" s="1" t="e">
        <v>#N/A</v>
      </c>
    </row>
    <row r="233" spans="1:20" x14ac:dyDescent="0.35">
      <c r="A233" s="1">
        <v>500214.28570000001</v>
      </c>
      <c r="B233" s="1">
        <v>5999995.7209999999</v>
      </c>
      <c r="C233" s="1">
        <v>162.47261493362501</v>
      </c>
      <c r="D233" s="1">
        <f t="shared" si="41"/>
        <v>214.54310949162948</v>
      </c>
      <c r="E233" s="1">
        <v>0.01</v>
      </c>
      <c r="F233" s="1">
        <v>0.05</v>
      </c>
      <c r="G233" s="1">
        <v>0.1</v>
      </c>
      <c r="H233" s="1">
        <v>9.81</v>
      </c>
      <c r="I233" s="1">
        <v>2650</v>
      </c>
      <c r="J233" s="1">
        <v>1000</v>
      </c>
      <c r="K233" s="1">
        <v>1.65</v>
      </c>
      <c r="L233" s="1">
        <v>6.5</v>
      </c>
      <c r="M233" s="1">
        <v>2.5</v>
      </c>
      <c r="N233" s="6">
        <v>9.9999999999999995E-7</v>
      </c>
      <c r="O233" s="1">
        <f t="shared" si="42"/>
        <v>10.209668499185454</v>
      </c>
      <c r="P233" s="1">
        <f t="shared" si="38"/>
        <v>13.932835838967597</v>
      </c>
      <c r="Q233" s="1">
        <f t="shared" si="39"/>
        <v>12.22147309513228</v>
      </c>
      <c r="R233" s="1">
        <v>125.32909999999998</v>
      </c>
      <c r="S233" s="1" t="e">
        <f t="shared" si="40"/>
        <v>#N/A</v>
      </c>
      <c r="T233" s="1" t="e">
        <v>#N/A</v>
      </c>
    </row>
    <row r="234" spans="1:20" x14ac:dyDescent="0.35">
      <c r="A234" s="1">
        <v>500224.48979999998</v>
      </c>
      <c r="B234" s="1">
        <v>5999996.1430000002</v>
      </c>
      <c r="C234" s="1">
        <v>152.99515885586101</v>
      </c>
      <c r="D234" s="1">
        <f t="shared" si="41"/>
        <v>224.75593186400403</v>
      </c>
      <c r="E234" s="1">
        <v>0.01</v>
      </c>
      <c r="F234" s="1">
        <v>0.05</v>
      </c>
      <c r="G234" s="1">
        <v>0.1</v>
      </c>
      <c r="H234" s="1">
        <v>9.81</v>
      </c>
      <c r="I234" s="1">
        <v>2650</v>
      </c>
      <c r="J234" s="1">
        <v>1000</v>
      </c>
      <c r="K234" s="1">
        <v>1.65</v>
      </c>
      <c r="L234" s="1">
        <v>6.5</v>
      </c>
      <c r="M234" s="1">
        <v>2.5</v>
      </c>
      <c r="N234" s="6">
        <v>9.9999999999999995E-7</v>
      </c>
      <c r="O234" s="1">
        <f t="shared" si="42"/>
        <v>10.211706300347956</v>
      </c>
      <c r="P234" s="1">
        <f t="shared" si="38"/>
        <v>10.301820481574744</v>
      </c>
      <c r="Q234" s="1">
        <f t="shared" si="39"/>
        <v>12.117328160271171</v>
      </c>
      <c r="R234" s="1">
        <v>125.32909999999998</v>
      </c>
      <c r="S234" s="1" t="e">
        <f t="shared" si="40"/>
        <v>#N/A</v>
      </c>
      <c r="T234" s="1" t="e">
        <v>#N/A</v>
      </c>
    </row>
    <row r="235" spans="1:20" x14ac:dyDescent="0.35">
      <c r="A235" s="1">
        <v>500234.69390000001</v>
      </c>
      <c r="B235" s="1">
        <v>5999996.5070000002</v>
      </c>
      <c r="C235" s="1">
        <v>151.627185016966</v>
      </c>
      <c r="D235" s="1">
        <f t="shared" si="41"/>
        <v>234.96652209232539</v>
      </c>
      <c r="E235" s="1">
        <v>0.01</v>
      </c>
      <c r="F235" s="1">
        <v>0.05</v>
      </c>
      <c r="G235" s="1">
        <v>0.1</v>
      </c>
      <c r="H235" s="1">
        <v>9.81</v>
      </c>
      <c r="I235" s="1">
        <v>2650</v>
      </c>
      <c r="J235" s="1">
        <v>1000</v>
      </c>
      <c r="K235" s="1">
        <v>1.65</v>
      </c>
      <c r="L235" s="1">
        <v>6.5</v>
      </c>
      <c r="M235" s="1">
        <v>2.5</v>
      </c>
      <c r="N235" s="6">
        <v>9.9999999999999995E-7</v>
      </c>
      <c r="O235" s="1">
        <f t="shared" si="42"/>
        <v>10.212172653557417</v>
      </c>
      <c r="P235" s="1">
        <f t="shared" si="38"/>
        <v>11.089044194999135</v>
      </c>
      <c r="Q235" s="1">
        <f t="shared" si="39"/>
        <v>10.695432338286938</v>
      </c>
      <c r="R235" s="1">
        <v>125.32909999999998</v>
      </c>
      <c r="S235" s="1" t="e">
        <f t="shared" si="40"/>
        <v>#N/A</v>
      </c>
      <c r="T235" s="1" t="e">
        <v>#N/A</v>
      </c>
    </row>
    <row r="236" spans="1:20" x14ac:dyDescent="0.35">
      <c r="A236" s="1">
        <v>500244.89799999999</v>
      </c>
      <c r="B236" s="1">
        <v>5999996.9510000004</v>
      </c>
      <c r="C236" s="1">
        <v>155.94529899752101</v>
      </c>
      <c r="D236" s="1">
        <f t="shared" si="41"/>
        <v>245.18027717111886</v>
      </c>
      <c r="E236" s="1">
        <v>0.01</v>
      </c>
      <c r="F236" s="1">
        <v>0.05</v>
      </c>
      <c r="G236" s="1">
        <v>0.1</v>
      </c>
      <c r="H236" s="1">
        <v>9.81</v>
      </c>
      <c r="I236" s="1">
        <v>2650</v>
      </c>
      <c r="J236" s="1">
        <v>1000</v>
      </c>
      <c r="K236" s="1">
        <v>1.65</v>
      </c>
      <c r="L236" s="1">
        <v>6.5</v>
      </c>
      <c r="M236" s="1">
        <v>2.5</v>
      </c>
      <c r="N236" s="6">
        <v>9.9999999999999995E-7</v>
      </c>
      <c r="O236" s="1">
        <f t="shared" si="42"/>
        <v>10.228334363400478</v>
      </c>
      <c r="P236" s="1">
        <f t="shared" si="38"/>
        <v>11.738479864242503</v>
      </c>
      <c r="Q236" s="1">
        <f t="shared" si="39"/>
        <v>11.41376202962082</v>
      </c>
      <c r="R236" s="1">
        <v>125.32909999999998</v>
      </c>
      <c r="S236" s="1" t="e">
        <f t="shared" si="40"/>
        <v>#N/A</v>
      </c>
      <c r="T236" s="1" t="e">
        <v>#N/A</v>
      </c>
    </row>
    <row r="237" spans="1:20" x14ac:dyDescent="0.35">
      <c r="A237" s="1">
        <v>500255.10200000001</v>
      </c>
      <c r="B237" s="1">
        <v>5999997.8430000003</v>
      </c>
      <c r="C237" s="1">
        <v>150.21165883417899</v>
      </c>
      <c r="D237" s="1">
        <f t="shared" si="41"/>
        <v>255.42319081912635</v>
      </c>
      <c r="E237" s="1">
        <v>0.01</v>
      </c>
      <c r="F237" s="1">
        <v>0.05</v>
      </c>
      <c r="G237" s="1">
        <v>0.1</v>
      </c>
      <c r="H237" s="1">
        <v>9.81</v>
      </c>
      <c r="I237" s="1">
        <v>2650</v>
      </c>
      <c r="J237" s="1">
        <v>1000</v>
      </c>
      <c r="K237" s="1">
        <v>1.65</v>
      </c>
      <c r="L237" s="1">
        <v>6.5</v>
      </c>
      <c r="M237" s="1">
        <v>2.5</v>
      </c>
      <c r="N237" s="6">
        <v>9.9999999999999995E-7</v>
      </c>
      <c r="O237" s="1">
        <f t="shared" si="42"/>
        <v>10.228247812702051</v>
      </c>
      <c r="P237" s="1">
        <f t="shared" si="38"/>
        <v>10.415569048554094</v>
      </c>
      <c r="Q237" s="1">
        <f t="shared" si="39"/>
        <v>11.077024456398298</v>
      </c>
      <c r="R237" s="1">
        <v>125.32909999999998</v>
      </c>
      <c r="S237" s="1" t="e">
        <f t="shared" si="40"/>
        <v>#N/A</v>
      </c>
      <c r="T237" s="1" t="e">
        <v>#N/A</v>
      </c>
    </row>
    <row r="238" spans="1:20" x14ac:dyDescent="0.35">
      <c r="A238" s="1">
        <v>500265.30609999999</v>
      </c>
      <c r="B238" s="1">
        <v>5999998.2829999998</v>
      </c>
      <c r="C238" s="1">
        <v>148.17037938339399</v>
      </c>
      <c r="D238" s="1">
        <f t="shared" si="41"/>
        <v>265.63677279652296</v>
      </c>
      <c r="E238" s="1">
        <v>0.01</v>
      </c>
      <c r="F238" s="1">
        <v>0.05</v>
      </c>
      <c r="G238" s="1">
        <v>0.1</v>
      </c>
      <c r="H238" s="1">
        <v>9.81</v>
      </c>
      <c r="I238" s="1">
        <v>2650</v>
      </c>
      <c r="J238" s="1">
        <v>1000</v>
      </c>
      <c r="K238" s="1">
        <v>1.65</v>
      </c>
      <c r="L238" s="1">
        <v>6.5</v>
      </c>
      <c r="M238" s="1">
        <v>2.5</v>
      </c>
      <c r="N238" s="6">
        <v>9.9999999999999995E-7</v>
      </c>
      <c r="O238" s="1">
        <f t="shared" si="42"/>
        <v>10.23198332194535</v>
      </c>
      <c r="P238" s="1">
        <f t="shared" si="38"/>
        <v>10.753746192038282</v>
      </c>
      <c r="Q238" s="1">
        <f t="shared" si="39"/>
        <v>10.584657620296188</v>
      </c>
      <c r="R238" s="1">
        <v>125.32909999999998</v>
      </c>
      <c r="S238" s="1" t="e">
        <f t="shared" si="40"/>
        <v>#N/A</v>
      </c>
      <c r="T238" s="1" t="e">
        <v>#N/A</v>
      </c>
    </row>
    <row r="239" spans="1:20" x14ac:dyDescent="0.35">
      <c r="A239" s="1">
        <v>500275.51020000002</v>
      </c>
      <c r="B239" s="1">
        <v>5999997.3099999996</v>
      </c>
      <c r="C239" s="1">
        <v>144.91881493659599</v>
      </c>
      <c r="D239" s="1">
        <f t="shared" si="41"/>
        <v>275.88715746301705</v>
      </c>
      <c r="E239" s="1">
        <v>0.01</v>
      </c>
      <c r="F239" s="1">
        <v>0.05</v>
      </c>
      <c r="G239" s="1">
        <v>0.1</v>
      </c>
      <c r="H239" s="1">
        <v>9.81</v>
      </c>
      <c r="I239" s="1">
        <v>2650</v>
      </c>
      <c r="J239" s="1">
        <v>1000</v>
      </c>
      <c r="K239" s="1">
        <v>1.65</v>
      </c>
      <c r="L239" s="1">
        <v>6.5</v>
      </c>
      <c r="M239" s="1">
        <v>2.5</v>
      </c>
      <c r="N239" s="6">
        <v>9.9999999999999995E-7</v>
      </c>
      <c r="O239" s="1">
        <f t="shared" si="42"/>
        <v>10.247668609691146</v>
      </c>
      <c r="P239" s="1">
        <f t="shared" si="38"/>
        <v>10.247801935839309</v>
      </c>
      <c r="Q239" s="1">
        <f t="shared" si="39"/>
        <v>10.500774063938795</v>
      </c>
      <c r="R239" s="1">
        <v>125.32909999999998</v>
      </c>
      <c r="S239" s="1" t="e">
        <f t="shared" si="40"/>
        <v>#N/A</v>
      </c>
      <c r="T239" s="1" t="e">
        <v>#N/A</v>
      </c>
    </row>
    <row r="240" spans="1:20" x14ac:dyDescent="0.35">
      <c r="A240" s="1">
        <v>500285.71429999999</v>
      </c>
      <c r="B240" s="1">
        <v>5999998.2240000004</v>
      </c>
      <c r="C240" s="1">
        <v>144.67717117967001</v>
      </c>
      <c r="D240" s="1">
        <f t="shared" si="41"/>
        <v>286.13211001590525</v>
      </c>
      <c r="E240" s="1">
        <v>0.01</v>
      </c>
      <c r="F240" s="1">
        <v>0.05</v>
      </c>
      <c r="G240" s="1">
        <v>0.1</v>
      </c>
      <c r="H240" s="1">
        <v>9.81</v>
      </c>
      <c r="I240" s="1">
        <v>2650</v>
      </c>
      <c r="J240" s="1">
        <v>1000</v>
      </c>
      <c r="K240" s="1">
        <v>1.65</v>
      </c>
      <c r="L240" s="1">
        <v>6.5</v>
      </c>
      <c r="M240" s="1">
        <v>2.5</v>
      </c>
      <c r="N240" s="6">
        <v>9.9999999999999995E-7</v>
      </c>
      <c r="O240" s="1">
        <f t="shared" si="42"/>
        <v>10.245310960713113</v>
      </c>
      <c r="P240" s="1">
        <f t="shared" si="38"/>
        <v>10.773986209295044</v>
      </c>
      <c r="Q240" s="1">
        <f t="shared" si="39"/>
        <v>10.510894072567176</v>
      </c>
      <c r="R240" s="1">
        <v>125.32909999999998</v>
      </c>
      <c r="S240" s="1" t="e">
        <f t="shared" si="40"/>
        <v>#N/A</v>
      </c>
      <c r="T240" s="1" t="e">
        <v>#N/A</v>
      </c>
    </row>
    <row r="241" spans="1:20" x14ac:dyDescent="0.35">
      <c r="A241" s="1">
        <v>500295.91840000002</v>
      </c>
      <c r="B241" s="1">
        <v>5999999.1459999997</v>
      </c>
      <c r="C241" s="1">
        <v>141.344748933213</v>
      </c>
      <c r="D241" s="1">
        <f t="shared" si="41"/>
        <v>296.37777938444327</v>
      </c>
      <c r="E241" s="1">
        <v>0.01</v>
      </c>
      <c r="F241" s="1">
        <v>0.05</v>
      </c>
      <c r="G241" s="1">
        <v>0.1</v>
      </c>
      <c r="H241" s="1">
        <v>9.81</v>
      </c>
      <c r="I241" s="1">
        <v>2650</v>
      </c>
      <c r="J241" s="1">
        <v>1000</v>
      </c>
      <c r="K241" s="1">
        <v>1.65</v>
      </c>
      <c r="L241" s="1">
        <v>6.5</v>
      </c>
      <c r="M241" s="1">
        <v>2.5</v>
      </c>
      <c r="N241" s="6">
        <v>9.9999999999999995E-7</v>
      </c>
      <c r="O241" s="1">
        <f t="shared" si="42"/>
        <v>10.233098302678485</v>
      </c>
      <c r="P241" s="1">
        <f t="shared" si="38"/>
        <v>10.320041754295742</v>
      </c>
      <c r="Q241" s="1">
        <f t="shared" si="39"/>
        <v>10.547013981795393</v>
      </c>
      <c r="R241" s="1">
        <v>125.32909999999998</v>
      </c>
      <c r="S241" s="1" t="e">
        <f t="shared" si="40"/>
        <v>#N/A</v>
      </c>
      <c r="T241" s="1" t="e">
        <v>#N/A</v>
      </c>
    </row>
    <row r="242" spans="1:20" x14ac:dyDescent="0.35">
      <c r="A242" s="1">
        <v>500306.12239999999</v>
      </c>
      <c r="B242" s="1">
        <v>5999998.5650000004</v>
      </c>
      <c r="C242" s="1">
        <v>139.91503399244701</v>
      </c>
      <c r="D242" s="1">
        <f t="shared" si="41"/>
        <v>306.59830662126222</v>
      </c>
      <c r="E242" s="1">
        <v>0.01</v>
      </c>
      <c r="F242" s="1">
        <v>0.05</v>
      </c>
      <c r="G242" s="1">
        <v>0.1</v>
      </c>
      <c r="H242" s="1">
        <v>9.81</v>
      </c>
      <c r="I242" s="1">
        <v>2650</v>
      </c>
      <c r="J242" s="1">
        <v>1000</v>
      </c>
      <c r="K242" s="1">
        <v>1.65</v>
      </c>
      <c r="L242" s="1">
        <v>6.5</v>
      </c>
      <c r="M242" s="1">
        <v>2.5</v>
      </c>
      <c r="N242" s="6">
        <v>9.9999999999999995E-7</v>
      </c>
      <c r="O242" s="1">
        <f t="shared" si="42"/>
        <v>10.221874954638196</v>
      </c>
      <c r="P242" s="1">
        <f t="shared" si="38"/>
        <v>13.893706980070347</v>
      </c>
      <c r="Q242" s="1">
        <f t="shared" si="39"/>
        <v>12.106874367183044</v>
      </c>
      <c r="R242" s="1">
        <v>125.32909999999998</v>
      </c>
      <c r="S242" s="1" t="e">
        <f t="shared" si="40"/>
        <v>#N/A</v>
      </c>
      <c r="T242" s="1" t="e">
        <v>#N/A</v>
      </c>
    </row>
    <row r="243" spans="1:20" x14ac:dyDescent="0.35">
      <c r="A243" s="1">
        <v>500316.32650000002</v>
      </c>
      <c r="B243" s="1">
        <v>5999999.1900000004</v>
      </c>
      <c r="C243" s="1">
        <v>130.506484059678</v>
      </c>
      <c r="D243" s="1">
        <f t="shared" si="41"/>
        <v>316.82152929371966</v>
      </c>
      <c r="E243" s="1">
        <v>0.01</v>
      </c>
      <c r="F243" s="1">
        <v>0.05</v>
      </c>
      <c r="G243" s="1">
        <v>0.1</v>
      </c>
      <c r="H243" s="1">
        <v>9.81</v>
      </c>
      <c r="I243" s="1">
        <v>2650</v>
      </c>
      <c r="J243" s="1">
        <v>1000</v>
      </c>
      <c r="K243" s="1">
        <v>1.65</v>
      </c>
      <c r="L243" s="1">
        <v>6.5</v>
      </c>
      <c r="M243" s="1">
        <v>2.5</v>
      </c>
      <c r="N243" s="6">
        <v>9.9999999999999995E-7</v>
      </c>
      <c r="O243" s="1">
        <f t="shared" si="42"/>
        <v>10.235493697492075</v>
      </c>
      <c r="P243" s="1">
        <f t="shared" si="38"/>
        <v>10.418299398725649</v>
      </c>
      <c r="Q243" s="1">
        <f t="shared" si="39"/>
        <v>12.156003189397998</v>
      </c>
      <c r="R243" s="1">
        <v>125.32909999999998</v>
      </c>
      <c r="S243" s="1" t="e">
        <f t="shared" si="40"/>
        <v>#N/A</v>
      </c>
      <c r="T243" s="1" t="e">
        <v>#N/A</v>
      </c>
    </row>
    <row r="244" spans="1:20" x14ac:dyDescent="0.35">
      <c r="A244" s="1">
        <v>500326.5306</v>
      </c>
      <c r="B244" s="1">
        <v>6000000.1349999998</v>
      </c>
      <c r="C244" s="1">
        <v>128.62917733108401</v>
      </c>
      <c r="D244" s="1">
        <f t="shared" si="41"/>
        <v>327.06929401624637</v>
      </c>
      <c r="E244" s="1">
        <v>0.01</v>
      </c>
      <c r="F244" s="1">
        <v>0.05</v>
      </c>
      <c r="G244" s="1">
        <v>0.1</v>
      </c>
      <c r="H244" s="1">
        <v>9.81</v>
      </c>
      <c r="I244" s="1">
        <v>2650</v>
      </c>
      <c r="J244" s="1">
        <v>1000</v>
      </c>
      <c r="K244" s="1">
        <v>1.65</v>
      </c>
      <c r="L244" s="1">
        <v>6.5</v>
      </c>
      <c r="M244" s="1">
        <v>2.5</v>
      </c>
      <c r="N244" s="6">
        <v>9.9999999999999995E-7</v>
      </c>
      <c r="O244" s="1">
        <f t="shared" si="42"/>
        <v>10.241238558797846</v>
      </c>
      <c r="P244" s="1">
        <f t="shared" ref="P244:P260" si="43">SQRT((D245 - D244)^2 + (C245 - C244)^2)</f>
        <v>10.787841757464356</v>
      </c>
      <c r="Q244" s="1">
        <f t="shared" ref="Q244:Q260" si="44">IF(ROW()=212, P244/2, (P244 + P243)/2)</f>
        <v>10.603070578095004</v>
      </c>
      <c r="R244" s="1">
        <v>125.32909999999998</v>
      </c>
      <c r="S244" s="1" t="e">
        <f t="shared" ref="S244:S260" si="45">IF(R244 - C244 &lt; 0, NA(), R244 - C244)</f>
        <v>#N/A</v>
      </c>
      <c r="T244" s="1" t="e">
        <v>#N/A</v>
      </c>
    </row>
    <row r="245" spans="1:20" x14ac:dyDescent="0.35">
      <c r="A245" s="1">
        <v>500336.73469999997</v>
      </c>
      <c r="B245" s="1">
        <v>5999999.3439999996</v>
      </c>
      <c r="C245" s="1">
        <v>132.03919081702699</v>
      </c>
      <c r="D245" s="1">
        <f t="shared" ref="D245:D261" si="46">D244 + SQRT((A245 - A244)^2 + (B245 - B244)^2)</f>
        <v>337.30400641131536</v>
      </c>
      <c r="E245" s="1">
        <v>0.01</v>
      </c>
      <c r="F245" s="1">
        <v>0.05</v>
      </c>
      <c r="G245" s="1">
        <v>0.1</v>
      </c>
      <c r="H245" s="1">
        <v>9.81</v>
      </c>
      <c r="I245" s="1">
        <v>2650</v>
      </c>
      <c r="J245" s="1">
        <v>1000</v>
      </c>
      <c r="K245" s="1">
        <v>1.65</v>
      </c>
      <c r="L245" s="1">
        <v>6.5</v>
      </c>
      <c r="M245" s="1">
        <v>2.5</v>
      </c>
      <c r="N245" s="6">
        <v>9.9999999999999995E-7</v>
      </c>
      <c r="O245" s="1">
        <f t="shared" si="42"/>
        <v>10.233949248828765</v>
      </c>
      <c r="P245" s="1">
        <f t="shared" si="43"/>
        <v>11.755266476054745</v>
      </c>
      <c r="Q245" s="1">
        <f t="shared" si="44"/>
        <v>11.27155411675955</v>
      </c>
      <c r="R245" s="1">
        <v>125.32909999999998</v>
      </c>
      <c r="S245" s="1" t="e">
        <f t="shared" si="45"/>
        <v>#N/A</v>
      </c>
      <c r="T245" s="1" t="e">
        <v>#N/A</v>
      </c>
    </row>
    <row r="246" spans="1:20" x14ac:dyDescent="0.35">
      <c r="A246" s="1">
        <v>500346.9388</v>
      </c>
      <c r="B246" s="1">
        <v>5999998.5729999999</v>
      </c>
      <c r="C246" s="1">
        <v>126.254020801129</v>
      </c>
      <c r="D246" s="1">
        <f t="shared" si="46"/>
        <v>347.5371925139039</v>
      </c>
      <c r="E246" s="1">
        <v>0.01</v>
      </c>
      <c r="F246" s="1">
        <v>0.05</v>
      </c>
      <c r="G246" s="1">
        <v>0.1</v>
      </c>
      <c r="H246" s="1">
        <v>9.81</v>
      </c>
      <c r="I246" s="1">
        <v>2650</v>
      </c>
      <c r="J246" s="1">
        <v>1000</v>
      </c>
      <c r="K246" s="1">
        <v>1.65</v>
      </c>
      <c r="L246" s="1">
        <v>6.5</v>
      </c>
      <c r="M246" s="1">
        <v>2.5</v>
      </c>
      <c r="N246" s="6">
        <v>9.9999999999999995E-7</v>
      </c>
      <c r="O246" s="1">
        <f t="shared" si="42"/>
        <v>10.232552707337419</v>
      </c>
      <c r="P246" s="1">
        <f t="shared" si="43"/>
        <v>11.350607222214496</v>
      </c>
      <c r="Q246" s="1">
        <f t="shared" si="44"/>
        <v>11.552936849134621</v>
      </c>
      <c r="R246" s="1">
        <v>125.32909999999998</v>
      </c>
      <c r="S246" s="1" t="e">
        <f t="shared" si="45"/>
        <v>#N/A</v>
      </c>
      <c r="T246" s="1" t="e">
        <v>#N/A</v>
      </c>
    </row>
    <row r="247" spans="1:20" x14ac:dyDescent="0.35">
      <c r="A247" s="1">
        <v>500357.14289999998</v>
      </c>
      <c r="B247" s="1">
        <v>5999999.3269999996</v>
      </c>
      <c r="C247" s="1">
        <v>131.167686591956</v>
      </c>
      <c r="D247" s="1">
        <f t="shared" si="46"/>
        <v>357.76911182599019</v>
      </c>
      <c r="E247" s="1">
        <v>0.01</v>
      </c>
      <c r="F247" s="1">
        <v>0.05</v>
      </c>
      <c r="G247" s="1">
        <v>0.1</v>
      </c>
      <c r="H247" s="1">
        <v>9.81</v>
      </c>
      <c r="I247" s="1">
        <v>2650</v>
      </c>
      <c r="J247" s="1">
        <v>1000</v>
      </c>
      <c r="K247" s="1">
        <v>1.65</v>
      </c>
      <c r="L247" s="1">
        <v>6.5</v>
      </c>
      <c r="M247" s="1">
        <v>2.5</v>
      </c>
      <c r="N247" s="6">
        <v>9.9999999999999995E-7</v>
      </c>
      <c r="O247" s="1">
        <f t="shared" si="42"/>
        <v>10.223838765829584</v>
      </c>
      <c r="P247" s="1">
        <f t="shared" si="43"/>
        <v>10.479732415606993</v>
      </c>
      <c r="Q247" s="1">
        <f t="shared" si="44"/>
        <v>10.915169818910744</v>
      </c>
      <c r="R247" s="1">
        <v>125.32909999999998</v>
      </c>
      <c r="S247" s="1" t="e">
        <f t="shared" si="45"/>
        <v>#N/A</v>
      </c>
      <c r="T247" s="1" t="e">
        <v>#N/A</v>
      </c>
    </row>
    <row r="248" spans="1:20" x14ac:dyDescent="0.35">
      <c r="A248" s="1">
        <v>500367.3469</v>
      </c>
      <c r="B248" s="1">
        <v>5999999.8169999998</v>
      </c>
      <c r="C248" s="1">
        <v>128.83036429882799</v>
      </c>
      <c r="D248" s="1">
        <f t="shared" si="46"/>
        <v>367.98487004556307</v>
      </c>
      <c r="E248" s="1">
        <v>0.01</v>
      </c>
      <c r="F248" s="1">
        <v>0.05</v>
      </c>
      <c r="G248" s="1">
        <v>0.1</v>
      </c>
      <c r="H248" s="1">
        <v>9.81</v>
      </c>
      <c r="I248" s="1">
        <v>2650</v>
      </c>
      <c r="J248" s="1">
        <v>1000</v>
      </c>
      <c r="K248" s="1">
        <v>1.65</v>
      </c>
      <c r="L248" s="1">
        <v>6.5</v>
      </c>
      <c r="M248" s="1">
        <v>2.5</v>
      </c>
      <c r="N248" s="6">
        <v>9.9999999999999995E-7</v>
      </c>
      <c r="O248" s="1">
        <f t="shared" si="42"/>
        <v>10.224509856901079</v>
      </c>
      <c r="P248" s="1">
        <f t="shared" si="43"/>
        <v>10.91645406051112</v>
      </c>
      <c r="Q248" s="1">
        <f t="shared" si="44"/>
        <v>10.698093238059055</v>
      </c>
      <c r="R248" s="1">
        <v>125.32909999999998</v>
      </c>
      <c r="S248" s="1" t="e">
        <f t="shared" si="45"/>
        <v>#N/A</v>
      </c>
      <c r="T248" s="1" t="e">
        <v>#N/A</v>
      </c>
    </row>
    <row r="249" spans="1:20" x14ac:dyDescent="0.35">
      <c r="A249" s="1">
        <v>500377.55099999998</v>
      </c>
      <c r="B249" s="1">
        <v>5999999.0449999999</v>
      </c>
      <c r="C249" s="1">
        <v>125.029137069896</v>
      </c>
      <c r="D249" s="1">
        <f t="shared" si="46"/>
        <v>378.21813153979235</v>
      </c>
      <c r="E249" s="1">
        <v>0.01</v>
      </c>
      <c r="F249" s="1">
        <v>0.05</v>
      </c>
      <c r="G249" s="1">
        <v>0.1</v>
      </c>
      <c r="H249" s="1">
        <v>9.81</v>
      </c>
      <c r="I249" s="1">
        <v>2650</v>
      </c>
      <c r="J249" s="1">
        <v>1000</v>
      </c>
      <c r="K249" s="1">
        <v>1.65</v>
      </c>
      <c r="L249" s="1">
        <v>6.5</v>
      </c>
      <c r="M249" s="1">
        <v>2.5</v>
      </c>
      <c r="N249" s="6">
        <v>9.9999999999999995E-7</v>
      </c>
      <c r="O249" s="1">
        <f t="shared" si="42"/>
        <v>10.221049857319429</v>
      </c>
      <c r="P249" s="1">
        <f t="shared" si="43"/>
        <v>10.237547645163266</v>
      </c>
      <c r="Q249" s="1">
        <f t="shared" si="44"/>
        <v>10.577000852837193</v>
      </c>
      <c r="R249" s="1">
        <v>125.32909999999998</v>
      </c>
      <c r="S249" s="1">
        <f t="shared" si="45"/>
        <v>0.29996293010398745</v>
      </c>
      <c r="T249" s="1">
        <v>0.29996293010398745</v>
      </c>
    </row>
    <row r="250" spans="1:20" x14ac:dyDescent="0.35">
      <c r="A250" s="1">
        <v>500387.75510000001</v>
      </c>
      <c r="B250" s="1">
        <v>5999999.3559999997</v>
      </c>
      <c r="C250" s="1">
        <v>125.795298917349</v>
      </c>
      <c r="D250" s="1">
        <f t="shared" si="46"/>
        <v>388.42696976020193</v>
      </c>
      <c r="E250" s="1">
        <v>0.01</v>
      </c>
      <c r="F250" s="1">
        <v>0.05</v>
      </c>
      <c r="G250" s="1">
        <v>0.1</v>
      </c>
      <c r="H250" s="1">
        <v>9.81</v>
      </c>
      <c r="I250" s="1">
        <v>2650</v>
      </c>
      <c r="J250" s="1">
        <v>1000</v>
      </c>
      <c r="K250" s="1">
        <v>1.65</v>
      </c>
      <c r="L250" s="1">
        <v>6.5</v>
      </c>
      <c r="M250" s="1">
        <v>2.5</v>
      </c>
      <c r="N250" s="6">
        <v>9.9999999999999995E-7</v>
      </c>
      <c r="O250" s="1">
        <f t="shared" si="42"/>
        <v>10.226672955179509</v>
      </c>
      <c r="P250" s="1">
        <f t="shared" si="43"/>
        <v>14.006911426674414</v>
      </c>
      <c r="Q250" s="1">
        <f t="shared" si="44"/>
        <v>12.122229535918841</v>
      </c>
      <c r="R250" s="1">
        <v>125.32909999999998</v>
      </c>
      <c r="S250" s="1" t="e">
        <f t="shared" si="45"/>
        <v>#N/A</v>
      </c>
      <c r="T250" s="1" t="e">
        <v>#N/A</v>
      </c>
    </row>
    <row r="251" spans="1:20" x14ac:dyDescent="0.35">
      <c r="A251" s="1">
        <v>500397.95919999998</v>
      </c>
      <c r="B251" s="1">
        <v>5999998.4469999997</v>
      </c>
      <c r="C251" s="1">
        <v>135.347452072804</v>
      </c>
      <c r="D251" s="1">
        <f t="shared" si="46"/>
        <v>398.67147745015137</v>
      </c>
      <c r="E251" s="1">
        <v>0.01</v>
      </c>
      <c r="F251" s="1">
        <v>0.05</v>
      </c>
      <c r="G251" s="1">
        <v>0.1</v>
      </c>
      <c r="H251" s="1">
        <v>9.81</v>
      </c>
      <c r="I251" s="1">
        <v>2650</v>
      </c>
      <c r="J251" s="1">
        <v>1000</v>
      </c>
      <c r="K251" s="1">
        <v>1.65</v>
      </c>
      <c r="L251" s="1">
        <v>6.5</v>
      </c>
      <c r="M251" s="1">
        <v>2.5</v>
      </c>
      <c r="N251" s="6">
        <v>9.9999999999999995E-7</v>
      </c>
      <c r="O251" s="1">
        <f t="shared" si="42"/>
        <v>10.22650836474881</v>
      </c>
      <c r="P251" s="1">
        <f t="shared" si="43"/>
        <v>12.538849639326756</v>
      </c>
      <c r="Q251" s="1">
        <f t="shared" si="44"/>
        <v>13.272880533000585</v>
      </c>
      <c r="R251" s="1">
        <v>125.32909999999998</v>
      </c>
      <c r="S251" s="1" t="e">
        <f t="shared" si="45"/>
        <v>#N/A</v>
      </c>
      <c r="T251" s="1" t="e">
        <v>#N/A</v>
      </c>
    </row>
    <row r="252" spans="1:20" x14ac:dyDescent="0.35">
      <c r="A252" s="1">
        <v>500408.16330000001</v>
      </c>
      <c r="B252" s="1">
        <v>5999998.1469999999</v>
      </c>
      <c r="C252" s="1">
        <v>128.06671766842501</v>
      </c>
      <c r="D252" s="1">
        <f t="shared" si="46"/>
        <v>408.87998648969955</v>
      </c>
      <c r="E252" s="1">
        <v>0.01</v>
      </c>
      <c r="F252" s="1">
        <v>0.05</v>
      </c>
      <c r="G252" s="1">
        <v>0.1</v>
      </c>
      <c r="H252" s="1">
        <v>9.81</v>
      </c>
      <c r="I252" s="1">
        <v>2650</v>
      </c>
      <c r="J252" s="1">
        <v>1000</v>
      </c>
      <c r="K252" s="1">
        <v>1.65</v>
      </c>
      <c r="L252" s="1">
        <v>6.5</v>
      </c>
      <c r="M252" s="1">
        <v>2.5</v>
      </c>
      <c r="N252" s="6">
        <v>9.9999999999999995E-7</v>
      </c>
      <c r="O252" s="1">
        <f t="shared" si="42"/>
        <v>10.217670819070179</v>
      </c>
      <c r="P252" s="1">
        <f t="shared" si="43"/>
        <v>11.126667604014996</v>
      </c>
      <c r="Q252" s="1">
        <f t="shared" si="44"/>
        <v>11.832758621670877</v>
      </c>
      <c r="R252" s="1">
        <v>125.32909999999998</v>
      </c>
      <c r="S252" s="1" t="e">
        <f t="shared" si="45"/>
        <v>#N/A</v>
      </c>
      <c r="T252" s="1" t="e">
        <v>#N/A</v>
      </c>
    </row>
    <row r="253" spans="1:20" x14ac:dyDescent="0.35">
      <c r="A253" s="1">
        <v>500418.36729999998</v>
      </c>
      <c r="B253" s="1">
        <v>5999997.4639999997</v>
      </c>
      <c r="C253" s="1">
        <v>132.450166877736</v>
      </c>
      <c r="D253" s="1">
        <f t="shared" si="46"/>
        <v>419.10681908829173</v>
      </c>
      <c r="E253" s="1">
        <v>0.01</v>
      </c>
      <c r="F253" s="1">
        <v>0.05</v>
      </c>
      <c r="G253" s="1">
        <v>0.1</v>
      </c>
      <c r="H253" s="1">
        <v>9.81</v>
      </c>
      <c r="I253" s="1">
        <v>2650</v>
      </c>
      <c r="J253" s="1">
        <v>1000</v>
      </c>
      <c r="K253" s="1">
        <v>1.65</v>
      </c>
      <c r="L253" s="1">
        <v>6.5</v>
      </c>
      <c r="M253" s="1">
        <v>2.5</v>
      </c>
      <c r="N253" s="6">
        <v>9.9999999999999995E-7</v>
      </c>
      <c r="O253" s="1">
        <f t="shared" si="42"/>
        <v>10.219153288461655</v>
      </c>
      <c r="P253" s="1">
        <f t="shared" si="43"/>
        <v>12.259823035582844</v>
      </c>
      <c r="Q253" s="1">
        <f t="shared" si="44"/>
        <v>11.693245319798919</v>
      </c>
      <c r="R253" s="1">
        <v>125.32909999999998</v>
      </c>
      <c r="S253" s="1" t="e">
        <f t="shared" si="45"/>
        <v>#N/A</v>
      </c>
      <c r="T253" s="1" t="e">
        <v>#N/A</v>
      </c>
    </row>
    <row r="254" spans="1:20" x14ac:dyDescent="0.35">
      <c r="A254" s="1">
        <v>500428.57140000002</v>
      </c>
      <c r="B254" s="1">
        <v>5999997.0760000004</v>
      </c>
      <c r="C254" s="1">
        <v>139.234638858198</v>
      </c>
      <c r="D254" s="1">
        <f t="shared" si="46"/>
        <v>429.31829306662286</v>
      </c>
      <c r="E254" s="1">
        <v>0.01</v>
      </c>
      <c r="F254" s="1">
        <v>0.05</v>
      </c>
      <c r="G254" s="1">
        <v>0.1</v>
      </c>
      <c r="H254" s="1">
        <v>9.81</v>
      </c>
      <c r="I254" s="1">
        <v>2650</v>
      </c>
      <c r="J254" s="1">
        <v>1000</v>
      </c>
      <c r="K254" s="1">
        <v>1.65</v>
      </c>
      <c r="L254" s="1">
        <v>6.5</v>
      </c>
      <c r="M254" s="1">
        <v>2.5</v>
      </c>
      <c r="N254" s="6">
        <v>9.9999999999999995E-7</v>
      </c>
      <c r="O254" s="1">
        <f t="shared" si="42"/>
        <v>10.213570502749036</v>
      </c>
      <c r="P254" s="1">
        <f t="shared" si="43"/>
        <v>10.221862151517284</v>
      </c>
      <c r="Q254" s="1">
        <f t="shared" si="44"/>
        <v>11.240842593550063</v>
      </c>
      <c r="R254" s="1">
        <v>125.32909999999998</v>
      </c>
      <c r="S254" s="1" t="e">
        <f t="shared" si="45"/>
        <v>#N/A</v>
      </c>
      <c r="T254" s="1" t="e">
        <v>#N/A</v>
      </c>
    </row>
    <row r="255" spans="1:20" x14ac:dyDescent="0.35">
      <c r="A255" s="1">
        <v>500438.77549999999</v>
      </c>
      <c r="B255" s="1">
        <v>5999996.5899999999</v>
      </c>
      <c r="C255" s="1">
        <v>139.590466112179</v>
      </c>
      <c r="D255" s="1">
        <f t="shared" si="46"/>
        <v>439.5339600937898</v>
      </c>
      <c r="E255" s="1">
        <v>0.01</v>
      </c>
      <c r="F255" s="1">
        <v>0.05</v>
      </c>
      <c r="G255" s="1">
        <v>0.1</v>
      </c>
      <c r="H255" s="1">
        <v>9.81</v>
      </c>
      <c r="I255" s="1">
        <v>2650</v>
      </c>
      <c r="J255" s="1">
        <v>1000</v>
      </c>
      <c r="K255" s="1">
        <v>1.65</v>
      </c>
      <c r="L255" s="1">
        <v>6.5</v>
      </c>
      <c r="M255" s="1">
        <v>2.5</v>
      </c>
      <c r="N255" s="6">
        <v>9.9999999999999995E-7</v>
      </c>
      <c r="O255" s="1">
        <f t="shared" si="42"/>
        <v>10.227678867958247</v>
      </c>
      <c r="P255" s="1">
        <f t="shared" si="43"/>
        <v>10.247073843648518</v>
      </c>
      <c r="Q255" s="1">
        <f t="shared" si="44"/>
        <v>10.2344679975829</v>
      </c>
      <c r="R255" s="1">
        <v>125.32909999999998</v>
      </c>
      <c r="S255" s="1" t="e">
        <f t="shared" si="45"/>
        <v>#N/A</v>
      </c>
      <c r="T255" s="1" t="e">
        <v>#N/A</v>
      </c>
    </row>
    <row r="256" spans="1:20" x14ac:dyDescent="0.35">
      <c r="A256" s="1">
        <v>500448.97960000002</v>
      </c>
      <c r="B256" s="1">
        <v>5999995.7369999997</v>
      </c>
      <c r="C256" s="1">
        <v>139.20154896633201</v>
      </c>
      <c r="D256" s="1">
        <f t="shared" si="46"/>
        <v>449.77365080253935</v>
      </c>
      <c r="E256" s="1">
        <v>0.01</v>
      </c>
      <c r="F256" s="1">
        <v>0.05</v>
      </c>
      <c r="G256" s="1">
        <v>0.1</v>
      </c>
      <c r="H256" s="1">
        <v>9.81</v>
      </c>
      <c r="I256" s="1">
        <v>2650</v>
      </c>
      <c r="J256" s="1">
        <v>1000</v>
      </c>
      <c r="K256" s="1">
        <v>1.65</v>
      </c>
      <c r="L256" s="1">
        <v>6.5</v>
      </c>
      <c r="M256" s="1">
        <v>2.5</v>
      </c>
      <c r="N256" s="6">
        <v>9.9999999999999995E-7</v>
      </c>
      <c r="O256" s="1">
        <f t="shared" si="42"/>
        <v>10.226507982984828</v>
      </c>
      <c r="P256" s="1">
        <f t="shared" si="43"/>
        <v>10.216402783069102</v>
      </c>
      <c r="Q256" s="1">
        <f t="shared" si="44"/>
        <v>10.231738313358811</v>
      </c>
      <c r="R256" s="1">
        <v>125.32909999999998</v>
      </c>
      <c r="S256" s="1" t="e">
        <f t="shared" si="45"/>
        <v>#N/A</v>
      </c>
      <c r="T256" s="1" t="e">
        <v>#N/A</v>
      </c>
    </row>
    <row r="257" spans="1:57" x14ac:dyDescent="0.35">
      <c r="A257" s="1">
        <v>500459.18369999999</v>
      </c>
      <c r="B257" s="1">
        <v>5999996.1710000001</v>
      </c>
      <c r="C257" s="1">
        <v>138.95080404388699</v>
      </c>
      <c r="D257" s="1">
        <f t="shared" si="46"/>
        <v>459.98697605975946</v>
      </c>
      <c r="E257" s="1">
        <v>0.01</v>
      </c>
      <c r="F257" s="1">
        <v>0.05</v>
      </c>
      <c r="G257" s="1">
        <v>0.1</v>
      </c>
      <c r="H257" s="1">
        <v>9.81</v>
      </c>
      <c r="I257" s="1">
        <v>2650</v>
      </c>
      <c r="J257" s="1">
        <v>1000</v>
      </c>
      <c r="K257" s="1">
        <v>1.65</v>
      </c>
      <c r="L257" s="1">
        <v>6.5</v>
      </c>
      <c r="M257" s="1">
        <v>2.5</v>
      </c>
      <c r="N257" s="6">
        <v>9.9999999999999995E-7</v>
      </c>
      <c r="O257" s="1">
        <f t="shared" si="42"/>
        <v>10.228563101333435</v>
      </c>
      <c r="P257" s="1">
        <f t="shared" si="43"/>
        <v>10.24381622597874</v>
      </c>
      <c r="Q257" s="1">
        <f t="shared" si="44"/>
        <v>10.23010950452392</v>
      </c>
      <c r="R257" s="1">
        <v>125.32909999999998</v>
      </c>
      <c r="S257" s="1" t="e">
        <f t="shared" si="45"/>
        <v>#N/A</v>
      </c>
      <c r="T257" s="1" t="e">
        <v>#N/A</v>
      </c>
    </row>
    <row r="258" spans="1:57" x14ac:dyDescent="0.35">
      <c r="A258" s="1">
        <v>500469.38780000003</v>
      </c>
      <c r="B258" s="1">
        <v>5999997.0719999997</v>
      </c>
      <c r="C258" s="1">
        <v>138.933110494517</v>
      </c>
      <c r="D258" s="1">
        <f t="shared" si="46"/>
        <v>470.23077700520622</v>
      </c>
      <c r="E258" s="1">
        <v>0.01</v>
      </c>
      <c r="F258" s="1">
        <v>0.05</v>
      </c>
      <c r="G258" s="1">
        <v>0.1</v>
      </c>
      <c r="H258" s="1">
        <v>9.81</v>
      </c>
      <c r="I258" s="1">
        <v>2650</v>
      </c>
      <c r="J258" s="1">
        <v>1000</v>
      </c>
      <c r="K258" s="1">
        <v>1.65</v>
      </c>
      <c r="L258" s="1">
        <v>6.5</v>
      </c>
      <c r="M258" s="1">
        <v>2.5</v>
      </c>
      <c r="N258" s="6">
        <v>9.9999999999999995E-7</v>
      </c>
      <c r="O258" s="1">
        <f t="shared" si="42"/>
        <v>10.235585469869676</v>
      </c>
      <c r="P258" s="1">
        <f t="shared" si="43"/>
        <v>14.038699271405504</v>
      </c>
      <c r="Q258" s="1">
        <f t="shared" si="44"/>
        <v>12.141257748692123</v>
      </c>
      <c r="R258" s="1">
        <v>125.32909999999998</v>
      </c>
      <c r="S258" s="1" t="e">
        <f t="shared" si="45"/>
        <v>#N/A</v>
      </c>
      <c r="T258" s="1" t="e">
        <v>#N/A</v>
      </c>
    </row>
    <row r="259" spans="1:57" x14ac:dyDescent="0.35">
      <c r="A259" s="1">
        <v>500479.59179999999</v>
      </c>
      <c r="B259" s="1">
        <v>5999997.7630000003</v>
      </c>
      <c r="C259" s="1">
        <v>148.55007364474301</v>
      </c>
      <c r="D259" s="1">
        <f t="shared" si="46"/>
        <v>480.45814699949881</v>
      </c>
      <c r="E259" s="1">
        <v>0.01</v>
      </c>
      <c r="F259" s="1">
        <v>0.05</v>
      </c>
      <c r="G259" s="1">
        <v>0.1</v>
      </c>
      <c r="H259" s="1">
        <v>9.81</v>
      </c>
      <c r="I259" s="1">
        <v>2650</v>
      </c>
      <c r="J259" s="1">
        <v>1000</v>
      </c>
      <c r="K259" s="1">
        <v>1.65</v>
      </c>
      <c r="L259" s="1">
        <v>6.5</v>
      </c>
      <c r="M259" s="1">
        <v>2.5</v>
      </c>
      <c r="N259" s="6">
        <v>9.9999999999999995E-7</v>
      </c>
      <c r="O259" s="1">
        <f t="shared" si="42"/>
        <v>10.217030880251457</v>
      </c>
      <c r="P259" s="1">
        <f t="shared" si="43"/>
        <v>10.496604105828091</v>
      </c>
      <c r="Q259" s="1">
        <f t="shared" si="44"/>
        <v>12.267651688616798</v>
      </c>
      <c r="R259" s="1">
        <v>125.32909999999998</v>
      </c>
      <c r="S259" s="1" t="e">
        <f t="shared" si="45"/>
        <v>#N/A</v>
      </c>
      <c r="T259" s="1" t="e">
        <v>#N/A</v>
      </c>
    </row>
    <row r="260" spans="1:57" x14ac:dyDescent="0.35">
      <c r="A260" s="1">
        <v>500489.79590000003</v>
      </c>
      <c r="B260" s="1">
        <v>5999997.9929999998</v>
      </c>
      <c r="C260" s="1">
        <v>146.10014692256101</v>
      </c>
      <c r="D260" s="1">
        <f t="shared" si="46"/>
        <v>490.66483876570913</v>
      </c>
      <c r="E260" s="1">
        <v>0.01</v>
      </c>
      <c r="F260" s="1">
        <v>0.05</v>
      </c>
      <c r="G260" s="1">
        <v>0.1</v>
      </c>
      <c r="H260" s="1">
        <v>9.81</v>
      </c>
      <c r="I260" s="1">
        <v>2650</v>
      </c>
      <c r="J260" s="1">
        <v>1000</v>
      </c>
      <c r="K260" s="1">
        <v>1.65</v>
      </c>
      <c r="L260" s="1">
        <v>6.5</v>
      </c>
      <c r="M260" s="1">
        <v>2.5</v>
      </c>
      <c r="N260" s="6">
        <v>9.9999999999999995E-7</v>
      </c>
      <c r="O260" s="1">
        <f t="shared" si="42"/>
        <v>10.209902888805345</v>
      </c>
      <c r="P260" s="1">
        <f t="shared" si="43"/>
        <v>10.652346301971106</v>
      </c>
      <c r="Q260" s="1">
        <f t="shared" si="44"/>
        <v>10.574475203899599</v>
      </c>
      <c r="R260" s="1">
        <v>125.32909999999998</v>
      </c>
      <c r="S260" s="1" t="e">
        <f t="shared" si="45"/>
        <v>#N/A</v>
      </c>
      <c r="T260" s="1" t="e">
        <v>#N/A</v>
      </c>
    </row>
    <row r="261" spans="1:57" x14ac:dyDescent="0.35">
      <c r="A261" s="1">
        <v>500500</v>
      </c>
      <c r="B261" s="1">
        <v>5999998.4220000003</v>
      </c>
      <c r="C261" s="1">
        <v>149.127486336511</v>
      </c>
      <c r="D261" s="1">
        <f t="shared" si="46"/>
        <v>500.8779527771095</v>
      </c>
      <c r="E261" s="1">
        <v>0.01</v>
      </c>
      <c r="F261" s="1">
        <v>0.05</v>
      </c>
      <c r="G261" s="1">
        <v>0.1</v>
      </c>
      <c r="H261" s="1">
        <v>9.81</v>
      </c>
      <c r="I261" s="1">
        <v>2650</v>
      </c>
      <c r="J261" s="1">
        <v>1000</v>
      </c>
      <c r="K261" s="1">
        <v>1.65</v>
      </c>
      <c r="L261" s="1">
        <v>6.5</v>
      </c>
      <c r="M261" s="1">
        <v>2.5</v>
      </c>
      <c r="N261" s="6">
        <v>9.9999999999999995E-7</v>
      </c>
      <c r="O261" s="1">
        <f xml:space="preserve"> (D261 - D260) / 2</f>
        <v>5.1065570057001821</v>
      </c>
    </row>
    <row r="264" spans="1:57" x14ac:dyDescent="0.35">
      <c r="A264" s="1" t="s">
        <v>0</v>
      </c>
      <c r="B264" s="1" t="s">
        <v>1</v>
      </c>
      <c r="C264" s="1" t="s">
        <v>2</v>
      </c>
      <c r="D264" s="1" t="s">
        <v>18</v>
      </c>
      <c r="E264" s="1" t="s">
        <v>67</v>
      </c>
      <c r="F264" s="1" t="s">
        <v>66</v>
      </c>
      <c r="G264" s="1" t="s">
        <v>65</v>
      </c>
      <c r="H264" s="1" t="s">
        <v>64</v>
      </c>
      <c r="I264" s="1" t="s">
        <v>63</v>
      </c>
      <c r="J264" s="1" t="s">
        <v>62</v>
      </c>
      <c r="K264" s="1" t="s">
        <v>61</v>
      </c>
      <c r="L264" s="1" t="s">
        <v>60</v>
      </c>
      <c r="M264" s="1" t="s">
        <v>59</v>
      </c>
      <c r="N264" s="1" t="s">
        <v>58</v>
      </c>
      <c r="O264" s="1" t="s">
        <v>57</v>
      </c>
      <c r="P264" s="1" t="s">
        <v>56</v>
      </c>
      <c r="Q264" s="1" t="s">
        <v>55</v>
      </c>
      <c r="R264" s="1" t="s">
        <v>54</v>
      </c>
      <c r="S264" s="1" t="s">
        <v>16</v>
      </c>
      <c r="T264" s="1" t="s">
        <v>53</v>
      </c>
      <c r="U264" s="10" t="s">
        <v>52</v>
      </c>
      <c r="V264" s="10" t="s">
        <v>51</v>
      </c>
      <c r="W264" s="10" t="s">
        <v>50</v>
      </c>
      <c r="X264" s="10" t="s">
        <v>49</v>
      </c>
      <c r="Y264" s="1" t="s">
        <v>48</v>
      </c>
      <c r="Z264" s="1" t="s">
        <v>47</v>
      </c>
      <c r="AA264" s="1" t="s">
        <v>46</v>
      </c>
      <c r="AB264" s="1" t="s">
        <v>45</v>
      </c>
      <c r="AC264" s="1" t="s">
        <v>44</v>
      </c>
      <c r="AD264" s="1" t="s">
        <v>43</v>
      </c>
      <c r="AE264" s="1" t="s">
        <v>42</v>
      </c>
      <c r="AF264" s="1" t="s">
        <v>41</v>
      </c>
      <c r="AG264" s="1" t="s">
        <v>40</v>
      </c>
      <c r="AH264" s="1" t="s">
        <v>39</v>
      </c>
      <c r="AI264" s="1" t="s">
        <v>38</v>
      </c>
      <c r="AJ264" s="1" t="s">
        <v>37</v>
      </c>
      <c r="AK264" s="1" t="s">
        <v>36</v>
      </c>
      <c r="AL264" s="1" t="s">
        <v>35</v>
      </c>
      <c r="AM264" s="1" t="s">
        <v>34</v>
      </c>
      <c r="AN264" s="1" t="s">
        <v>34</v>
      </c>
      <c r="AO264" s="7" t="s">
        <v>33</v>
      </c>
      <c r="AP264" s="7" t="s">
        <v>32</v>
      </c>
      <c r="AQ264" s="7" t="s">
        <v>31</v>
      </c>
      <c r="AR264" s="7" t="s">
        <v>30</v>
      </c>
      <c r="AS264" s="7" t="s">
        <v>29</v>
      </c>
      <c r="AT264" s="7" t="s">
        <v>28</v>
      </c>
      <c r="AU264" s="7" t="s">
        <v>27</v>
      </c>
      <c r="AV264" s="7" t="s">
        <v>27</v>
      </c>
      <c r="AW264" s="1" t="s">
        <v>26</v>
      </c>
      <c r="AX264" s="1" t="s">
        <v>25</v>
      </c>
      <c r="AY264" s="1" t="s">
        <v>24</v>
      </c>
      <c r="AZ264" s="1" t="s">
        <v>23</v>
      </c>
      <c r="BA264" s="1" t="s">
        <v>22</v>
      </c>
      <c r="BB264" s="1" t="s">
        <v>21</v>
      </c>
      <c r="BC264" s="1" t="s">
        <v>20</v>
      </c>
      <c r="BD264" s="1" t="s">
        <v>20</v>
      </c>
      <c r="BE264" s="1" t="s">
        <v>19</v>
      </c>
    </row>
    <row r="265" spans="1:57" x14ac:dyDescent="0.35">
      <c r="A265" s="1">
        <v>500000</v>
      </c>
      <c r="B265" s="1">
        <v>5999999.0959999999</v>
      </c>
      <c r="C265" s="1">
        <v>146.95665459614199</v>
      </c>
      <c r="D265" s="1">
        <v>0</v>
      </c>
      <c r="E265" s="1">
        <v>0.01</v>
      </c>
      <c r="F265" s="1">
        <v>0.05</v>
      </c>
      <c r="G265" s="1">
        <v>0.1</v>
      </c>
      <c r="H265" s="1">
        <v>9.81</v>
      </c>
      <c r="I265" s="1">
        <v>2650</v>
      </c>
      <c r="J265" s="1">
        <v>1000</v>
      </c>
      <c r="K265" s="1">
        <v>1.65</v>
      </c>
      <c r="L265" s="1">
        <v>6.5</v>
      </c>
      <c r="M265" s="1">
        <v>2.5</v>
      </c>
      <c r="N265" s="6">
        <v>9.9999999999999995E-7</v>
      </c>
      <c r="O265" s="1">
        <f xml:space="preserve"> (D266 - D265) / 2</f>
        <v>5.1061868798967165</v>
      </c>
      <c r="P265" s="1">
        <f t="shared" ref="P265:P296" si="47">SQRT((D266 - D265)^2 + (C266 - C265)^2)</f>
        <v>12.612081347143071</v>
      </c>
      <c r="Q265" s="1">
        <f t="shared" ref="Q265:Q296" si="48">IF(ROW()=265, P265/2, (P265 + P264)/2)</f>
        <v>6.3060406735715357</v>
      </c>
      <c r="R265" s="1">
        <v>125.37909999999998</v>
      </c>
      <c r="S265" s="1" t="e">
        <f t="shared" ref="S265:S296" si="49">IF(R265 - C265 &lt; 0, NA(), R265 - C265)</f>
        <v>#N/A</v>
      </c>
      <c r="T265" s="1" t="e">
        <v>#N/A</v>
      </c>
      <c r="U265" s="10" cm="1">
        <f t="array" ref="U265">SUMPRODUCT(IF(ISNA(T265:T314), 0, T265:T314), IF(ISNA(O265:O314), 0, O265:O314))</f>
        <v>3.576988556806421</v>
      </c>
      <c r="V265" s="10">
        <f>SUMIF(S265:S314, "&gt;0", O265:O314)</f>
        <v>10.221049857319429</v>
      </c>
      <c r="W265" s="10">
        <f>SUMIF(S265:S314, "&gt;0", Q265:Q314)</f>
        <v>10.577000852837193</v>
      </c>
      <c r="X265" s="10">
        <f>U265/W265</f>
        <v>0.3381855222075475</v>
      </c>
      <c r="Y265" s="1">
        <f xml:space="preserve"> (6.5 * 2.5 * (X265 / G265)) / SQRT(6.5^2 + 2.5^2 * (X265 / G265)^(5/3))</f>
        <v>5.7969140448998084</v>
      </c>
      <c r="Z265" s="1">
        <f>Y265*SQRT(X265*H265*E265)</f>
        <v>1.0558661576730228</v>
      </c>
      <c r="AA265" s="1">
        <f>J265*H265*X265*E265</f>
        <v>33.175999728560413</v>
      </c>
      <c r="AB265" s="1">
        <f>(AA265 / (9.81 * 1000 *1.65 * F265))</f>
        <v>4.0992184510005761E-2</v>
      </c>
      <c r="AC265" s="9">
        <f xml:space="preserve"> F265 * (K265 * H265 / (N265)^2)^(1/3)</f>
        <v>1264.7974700106745</v>
      </c>
      <c r="AD265" s="1">
        <f xml:space="preserve"> 0.3 / (1 + 1.2 * AC265) + 0.055 * (1 - EXP(-0.02 * AC265))</f>
        <v>5.5197529957883754E-2</v>
      </c>
      <c r="AE265" s="1">
        <f>IF(AC265 &lt;= 4, 0.24 * AC265^-1, IF(AC265 &gt; 4, IF(AC265 &lt;= 10, 0.14 * AC265^-0.64, IF(AC265 &lt;= 20, 0.04 * AC265^-0.1, IF(AC265 &lt;= 150, 0.013 * AC265^0.29, 0.056)))))</f>
        <v>5.6000000000000001E-2</v>
      </c>
      <c r="AF265" s="1">
        <f>AB265/AD265-1</f>
        <v>-0.25735473052357249</v>
      </c>
      <c r="AG265" s="1">
        <f xml:space="preserve"> 2.45 * SQRT(AD265) / (K265 + 1)^0.4</f>
        <v>0.38978718496890047</v>
      </c>
      <c r="AH265" s="1">
        <f>SQRT(2/3 + 36 / AC265^3) - SQRT(36 / AC265^3)</f>
        <v>0.81636320289979147</v>
      </c>
      <c r="AI265" s="1">
        <f>AA265* Z265 / (J265 * (H265* K265 * F265)^(3/2))</f>
        <v>4.8111451008450684E-2</v>
      </c>
      <c r="AJ265" s="1">
        <f>AD265* K265 * F265 / E265</f>
        <v>0.45537962215254096</v>
      </c>
      <c r="AK265" s="1">
        <f>Y265 * AD265^(3/2)</f>
        <v>7.5175500222192923E-2</v>
      </c>
      <c r="AL265" s="1">
        <f>(0.92 - 0.25 * SQRT(AK265 / AI265))^9</f>
        <v>1.1269337343108702E-2</v>
      </c>
      <c r="AM265" s="1">
        <v>5.2759527000000001E-2</v>
      </c>
      <c r="AN265" s="1">
        <v>4.7434165E-2</v>
      </c>
      <c r="AO265" s="7">
        <f>IF(AB265 &gt; 0.047, 8 * (AB265 - 0.047)^(3/2), 0)</f>
        <v>0</v>
      </c>
      <c r="AP265" s="7">
        <f>IF(AB265&gt; 0.047, 4 * (AB265 - 0.047)^(3/2), 0)</f>
        <v>0</v>
      </c>
      <c r="AQ265" s="7" t="e">
        <f xml:space="preserve"> (0.053 / AC265^(0.3)) * ((AB265 / AE265) - 1)^2.1</f>
        <v>#NUM!</v>
      </c>
      <c r="AR265" s="7">
        <f xml:space="preserve"> IF(AB265 &gt; AD265, 0.635 * AF265 * SQRT(AB265) * (1 - (1 / (AG265*AF265)) * LOG(1 + AF265*AG265)), 0)</f>
        <v>0</v>
      </c>
      <c r="AS265" s="8">
        <f>IF(AB265&gt;= 0.19, 40 * AH265 * AB265^3, (AH265 * EXP(-0.391 / AB265)) / 0.465)</f>
        <v>1.26460362263511E-4</v>
      </c>
      <c r="AT265" s="7">
        <f>AL265* AI265</f>
        <v>5.421841714806781E-4</v>
      </c>
      <c r="AU265" s="7">
        <f>14 * AB265^2.5 / (1 + (AM265/AB265)^4)</f>
        <v>1.2721364652474188E-3</v>
      </c>
      <c r="AV265" s="7">
        <f>14*AB265^2.5/(1+(AN265/AB265)^4)</f>
        <v>1.7053843614003601E-3</v>
      </c>
      <c r="AW265" s="1">
        <f>AO265*SQRT(1.65*9.81*F265^3)</f>
        <v>0</v>
      </c>
      <c r="AX265" s="1">
        <f>AP265*SQRT(1.65*9.81*F265^3)</f>
        <v>0</v>
      </c>
      <c r="AY265" s="1" t="e">
        <f>AQ265*SQRT(1.65*9.81*F265^3)</f>
        <v>#NUM!</v>
      </c>
      <c r="AZ265" s="1">
        <f>AR265*SQRT(1.65*9.81*F265^3)</f>
        <v>0</v>
      </c>
      <c r="BA265" s="1">
        <f>AS265*SQRT(1.65*9.81*F265^3)</f>
        <v>5.6883446758738295E-6</v>
      </c>
      <c r="BB265" s="1">
        <f>AT265*SQRT(1.65*9.81*F265^3)</f>
        <v>2.4388119644625412E-5</v>
      </c>
      <c r="BC265" s="1">
        <f>AU265*SQRT(1.65*9.81*G265^3)</f>
        <v>1.6184905852560197E-4</v>
      </c>
      <c r="BD265" s="1">
        <f>AV265*SQRT(1.65*9.81*G265^3)</f>
        <v>2.1696953185226938E-4</v>
      </c>
      <c r="BE265" s="1">
        <f>U265*Z265</f>
        <v>3.7768211635155668</v>
      </c>
    </row>
    <row r="266" spans="1:57" x14ac:dyDescent="0.35">
      <c r="A266" s="1">
        <v>500010.20409999997</v>
      </c>
      <c r="B266" s="1">
        <v>5999998.6849999996</v>
      </c>
      <c r="C266" s="1">
        <v>154.35746658519</v>
      </c>
      <c r="D266" s="1">
        <f t="shared" ref="D266:D297" si="50">D265 + SQRT((A266 - A265)^2 + (B266 - B265)^2)</f>
        <v>10.212373759793433</v>
      </c>
      <c r="E266" s="1">
        <v>0.01</v>
      </c>
      <c r="F266" s="1">
        <v>0.05</v>
      </c>
      <c r="G266" s="1">
        <v>0.1</v>
      </c>
      <c r="H266" s="1">
        <v>9.81</v>
      </c>
      <c r="I266" s="1">
        <v>2650</v>
      </c>
      <c r="J266" s="1">
        <v>1000</v>
      </c>
      <c r="K266" s="1">
        <v>1.65</v>
      </c>
      <c r="L266" s="1">
        <v>6.5</v>
      </c>
      <c r="M266" s="1">
        <v>2.5</v>
      </c>
      <c r="N266" s="6">
        <v>9.9999999999999995E-7</v>
      </c>
      <c r="O266" s="1">
        <f t="shared" ref="O266:O313" si="51" xml:space="preserve"> (D267 - D266 + D266 - D265) / 2</f>
        <v>10.212934886473896</v>
      </c>
      <c r="P266" s="1">
        <f t="shared" si="47"/>
        <v>10.748393624242958</v>
      </c>
      <c r="Q266" s="1">
        <f t="shared" si="48"/>
        <v>11.680237485693015</v>
      </c>
      <c r="R266" s="1">
        <v>125.37909999999998</v>
      </c>
      <c r="S266" s="1" t="e">
        <f t="shared" si="49"/>
        <v>#N/A</v>
      </c>
      <c r="T266" s="1" t="e">
        <v>#N/A</v>
      </c>
      <c r="AO266" s="7"/>
      <c r="AP266" s="7"/>
      <c r="AQ266" s="7"/>
      <c r="AR266" s="7"/>
      <c r="AS266" s="7"/>
      <c r="AT266" s="7"/>
      <c r="AU266" s="7"/>
      <c r="AV266" s="7"/>
    </row>
    <row r="267" spans="1:57" x14ac:dyDescent="0.35">
      <c r="A267" s="1">
        <v>500020.40820000001</v>
      </c>
      <c r="B267" s="1">
        <v>5999999.1229999997</v>
      </c>
      <c r="C267" s="1">
        <v>151.008964727501</v>
      </c>
      <c r="D267" s="1">
        <f t="shared" si="50"/>
        <v>20.425869772947792</v>
      </c>
      <c r="E267" s="1">
        <v>0.01</v>
      </c>
      <c r="F267" s="1">
        <v>0.05</v>
      </c>
      <c r="G267" s="1">
        <v>0.1</v>
      </c>
      <c r="H267" s="1">
        <v>9.81</v>
      </c>
      <c r="I267" s="1">
        <v>2650</v>
      </c>
      <c r="J267" s="1">
        <v>1000</v>
      </c>
      <c r="K267" s="1">
        <v>1.65</v>
      </c>
      <c r="L267" s="1">
        <v>6.5</v>
      </c>
      <c r="M267" s="1">
        <v>2.5</v>
      </c>
      <c r="N267" s="6">
        <v>9.9999999999999995E-7</v>
      </c>
      <c r="O267" s="1">
        <f t="shared" si="51"/>
        <v>10.21125621009096</v>
      </c>
      <c r="P267" s="1">
        <f t="shared" si="47"/>
        <v>13.985433799960637</v>
      </c>
      <c r="Q267" s="1">
        <f t="shared" si="48"/>
        <v>12.366913712101798</v>
      </c>
      <c r="R267" s="1">
        <v>125.37909999999998</v>
      </c>
      <c r="S267" s="1" t="e">
        <f t="shared" si="49"/>
        <v>#N/A</v>
      </c>
      <c r="T267" s="1" t="e">
        <v>#N/A</v>
      </c>
    </row>
    <row r="268" spans="1:57" x14ac:dyDescent="0.35">
      <c r="A268" s="1">
        <v>500030.61219999997</v>
      </c>
      <c r="B268" s="1">
        <v>5999998.8030000003</v>
      </c>
      <c r="C268" s="1">
        <v>160.567643641144</v>
      </c>
      <c r="D268" s="1">
        <f t="shared" si="50"/>
        <v>30.634886179975354</v>
      </c>
      <c r="E268" s="1">
        <v>0.01</v>
      </c>
      <c r="F268" s="1">
        <v>0.05</v>
      </c>
      <c r="G268" s="1">
        <v>0.1</v>
      </c>
      <c r="H268" s="1">
        <v>9.81</v>
      </c>
      <c r="I268" s="1">
        <v>2650</v>
      </c>
      <c r="J268" s="1">
        <v>1000</v>
      </c>
      <c r="K268" s="1">
        <v>1.65</v>
      </c>
      <c r="L268" s="1">
        <v>6.5</v>
      </c>
      <c r="M268" s="1">
        <v>2.5</v>
      </c>
      <c r="N268" s="6">
        <v>9.9999999999999995E-7</v>
      </c>
      <c r="O268" s="1">
        <f t="shared" si="51"/>
        <v>10.214935822867286</v>
      </c>
      <c r="P268" s="1">
        <f t="shared" si="47"/>
        <v>10.224042445454263</v>
      </c>
      <c r="Q268" s="1">
        <f t="shared" si="48"/>
        <v>12.104738122707449</v>
      </c>
      <c r="R268" s="1">
        <v>125.37909999999998</v>
      </c>
      <c r="S268" s="1" t="e">
        <f t="shared" si="49"/>
        <v>#N/A</v>
      </c>
      <c r="T268" s="1" t="e">
        <v>#N/A</v>
      </c>
    </row>
    <row r="269" spans="1:57" x14ac:dyDescent="0.35">
      <c r="A269" s="1">
        <v>500040.81630000001</v>
      </c>
      <c r="B269" s="1">
        <v>5999998.2180000003</v>
      </c>
      <c r="C269" s="1">
        <v>160.82291235416201</v>
      </c>
      <c r="D269" s="1">
        <f t="shared" si="50"/>
        <v>40.855741418682364</v>
      </c>
      <c r="E269" s="1">
        <v>0.01</v>
      </c>
      <c r="F269" s="1">
        <v>0.05</v>
      </c>
      <c r="G269" s="1">
        <v>0.1</v>
      </c>
      <c r="H269" s="1">
        <v>9.81</v>
      </c>
      <c r="I269" s="1">
        <v>2650</v>
      </c>
      <c r="J269" s="1">
        <v>1000</v>
      </c>
      <c r="K269" s="1">
        <v>1.65</v>
      </c>
      <c r="L269" s="1">
        <v>6.5</v>
      </c>
      <c r="M269" s="1">
        <v>2.5</v>
      </c>
      <c r="N269" s="6">
        <v>9.9999999999999995E-7</v>
      </c>
      <c r="O269" s="1">
        <f t="shared" si="51"/>
        <v>10.231243785008825</v>
      </c>
      <c r="P269" s="1">
        <f t="shared" si="47"/>
        <v>10.333484931908488</v>
      </c>
      <c r="Q269" s="1">
        <f t="shared" si="48"/>
        <v>10.278763688681376</v>
      </c>
      <c r="R269" s="1">
        <v>125.37909999999998</v>
      </c>
      <c r="S269" s="1" t="e">
        <f t="shared" si="49"/>
        <v>#N/A</v>
      </c>
      <c r="T269" s="1" t="e">
        <v>#N/A</v>
      </c>
    </row>
    <row r="270" spans="1:57" x14ac:dyDescent="0.35">
      <c r="A270" s="1">
        <v>500051.02039999998</v>
      </c>
      <c r="B270" s="1">
        <v>5999997.3420000002</v>
      </c>
      <c r="C270" s="1">
        <v>159.448184007094</v>
      </c>
      <c r="D270" s="1">
        <f t="shared" si="50"/>
        <v>51.097373749993004</v>
      </c>
      <c r="E270" s="1">
        <v>0.01</v>
      </c>
      <c r="F270" s="1">
        <v>0.05</v>
      </c>
      <c r="G270" s="1">
        <v>0.1</v>
      </c>
      <c r="H270" s="1">
        <v>9.81</v>
      </c>
      <c r="I270" s="1">
        <v>2650</v>
      </c>
      <c r="J270" s="1">
        <v>1000</v>
      </c>
      <c r="K270" s="1">
        <v>1.65</v>
      </c>
      <c r="L270" s="1">
        <v>6.5</v>
      </c>
      <c r="M270" s="1">
        <v>2.5</v>
      </c>
      <c r="N270" s="6">
        <v>9.9999999999999995E-7</v>
      </c>
      <c r="O270" s="1">
        <f t="shared" si="51"/>
        <v>10.22297614478725</v>
      </c>
      <c r="P270" s="1">
        <f t="shared" si="47"/>
        <v>11.164078602095582</v>
      </c>
      <c r="Q270" s="1">
        <f t="shared" si="48"/>
        <v>10.748781767002036</v>
      </c>
      <c r="R270" s="1">
        <v>125.37909999999998</v>
      </c>
      <c r="S270" s="1" t="e">
        <f t="shared" si="49"/>
        <v>#N/A</v>
      </c>
      <c r="T270" s="1" t="e">
        <v>#N/A</v>
      </c>
    </row>
    <row r="271" spans="1:57" x14ac:dyDescent="0.35">
      <c r="A271" s="1">
        <v>500061.22450000001</v>
      </c>
      <c r="B271" s="1">
        <v>5999997.2750000004</v>
      </c>
      <c r="C271" s="1">
        <v>163.976815723534</v>
      </c>
      <c r="D271" s="1">
        <f t="shared" si="50"/>
        <v>61.301693708256863</v>
      </c>
      <c r="E271" s="1">
        <v>0.01</v>
      </c>
      <c r="F271" s="1">
        <v>0.05</v>
      </c>
      <c r="G271" s="1">
        <v>0.1</v>
      </c>
      <c r="H271" s="1">
        <v>9.81</v>
      </c>
      <c r="I271" s="1">
        <v>2650</v>
      </c>
      <c r="J271" s="1">
        <v>1000</v>
      </c>
      <c r="K271" s="1">
        <v>1.65</v>
      </c>
      <c r="L271" s="1">
        <v>6.5</v>
      </c>
      <c r="M271" s="1">
        <v>2.5</v>
      </c>
      <c r="N271" s="6">
        <v>9.9999999999999995E-7</v>
      </c>
      <c r="O271" s="1">
        <f t="shared" si="51"/>
        <v>10.209391538632293</v>
      </c>
      <c r="P271" s="1">
        <f t="shared" si="47"/>
        <v>11.034750060361873</v>
      </c>
      <c r="Q271" s="1">
        <f t="shared" si="48"/>
        <v>11.099414331228727</v>
      </c>
      <c r="R271" s="1">
        <v>125.37909999999998</v>
      </c>
      <c r="S271" s="1" t="e">
        <f t="shared" si="49"/>
        <v>#N/A</v>
      </c>
      <c r="T271" s="1" t="e">
        <v>#N/A</v>
      </c>
    </row>
    <row r="272" spans="1:57" x14ac:dyDescent="0.35">
      <c r="A272" s="1">
        <v>500071.42859999998</v>
      </c>
      <c r="B272" s="1">
        <v>5999996.8150000004</v>
      </c>
      <c r="C272" s="1">
        <v>168.15179501512699</v>
      </c>
      <c r="D272" s="1">
        <f t="shared" si="50"/>
        <v>71.516156827257589</v>
      </c>
      <c r="E272" s="1">
        <v>0.01</v>
      </c>
      <c r="F272" s="1">
        <v>0.05</v>
      </c>
      <c r="G272" s="1">
        <v>0.1</v>
      </c>
      <c r="H272" s="1">
        <v>9.81</v>
      </c>
      <c r="I272" s="1">
        <v>2650</v>
      </c>
      <c r="J272" s="1">
        <v>1000</v>
      </c>
      <c r="K272" s="1">
        <v>1.65</v>
      </c>
      <c r="L272" s="1">
        <v>6.5</v>
      </c>
      <c r="M272" s="1">
        <v>2.5</v>
      </c>
      <c r="N272" s="6">
        <v>9.9999999999999995E-7</v>
      </c>
      <c r="O272" s="1">
        <f t="shared" si="51"/>
        <v>10.229976351370027</v>
      </c>
      <c r="P272" s="1">
        <f t="shared" si="47"/>
        <v>11.687505241745082</v>
      </c>
      <c r="Q272" s="1">
        <f t="shared" si="48"/>
        <v>11.361127651053478</v>
      </c>
      <c r="R272" s="1">
        <v>125.37909999999998</v>
      </c>
      <c r="S272" s="1" t="e">
        <f t="shared" si="49"/>
        <v>#N/A</v>
      </c>
      <c r="T272" s="1" t="e">
        <v>#N/A</v>
      </c>
    </row>
    <row r="273" spans="1:20" x14ac:dyDescent="0.35">
      <c r="A273" s="1">
        <v>500081.63270000002</v>
      </c>
      <c r="B273" s="1">
        <v>5999997.7350000003</v>
      </c>
      <c r="C273" s="1">
        <v>162.52794206849799</v>
      </c>
      <c r="D273" s="1">
        <f t="shared" si="50"/>
        <v>81.761646410996917</v>
      </c>
      <c r="E273" s="1">
        <v>0.01</v>
      </c>
      <c r="F273" s="1">
        <v>0.05</v>
      </c>
      <c r="G273" s="1">
        <v>0.1</v>
      </c>
      <c r="H273" s="1">
        <v>9.81</v>
      </c>
      <c r="I273" s="1">
        <v>2650</v>
      </c>
      <c r="J273" s="1">
        <v>1000</v>
      </c>
      <c r="K273" s="1">
        <v>1.65</v>
      </c>
      <c r="L273" s="1">
        <v>6.5</v>
      </c>
      <c r="M273" s="1">
        <v>2.5</v>
      </c>
      <c r="N273" s="6">
        <v>9.9999999999999995E-7</v>
      </c>
      <c r="O273" s="1">
        <f t="shared" si="51"/>
        <v>10.224765396477437</v>
      </c>
      <c r="P273" s="1">
        <f t="shared" si="47"/>
        <v>11.652977208096294</v>
      </c>
      <c r="Q273" s="1">
        <f t="shared" si="48"/>
        <v>11.670241224920687</v>
      </c>
      <c r="R273" s="1">
        <v>125.37909999999998</v>
      </c>
      <c r="S273" s="1" t="e">
        <f t="shared" si="49"/>
        <v>#N/A</v>
      </c>
      <c r="T273" s="1" t="e">
        <v>#N/A</v>
      </c>
    </row>
    <row r="274" spans="1:20" x14ac:dyDescent="0.35">
      <c r="A274" s="1">
        <v>500091.83669999999</v>
      </c>
      <c r="B274" s="1">
        <v>5999997.7640000004</v>
      </c>
      <c r="C274" s="1">
        <v>168.15550111421601</v>
      </c>
      <c r="D274" s="1">
        <f t="shared" si="50"/>
        <v>91.965687620212464</v>
      </c>
      <c r="E274" s="1">
        <v>0.01</v>
      </c>
      <c r="F274" s="1">
        <v>0.05</v>
      </c>
      <c r="G274" s="1">
        <v>0.1</v>
      </c>
      <c r="H274" s="1">
        <v>9.81</v>
      </c>
      <c r="I274" s="1">
        <v>2650</v>
      </c>
      <c r="J274" s="1">
        <v>1000</v>
      </c>
      <c r="K274" s="1">
        <v>1.65</v>
      </c>
      <c r="L274" s="1">
        <v>6.5</v>
      </c>
      <c r="M274" s="1">
        <v>2.5</v>
      </c>
      <c r="N274" s="6">
        <v>9.9999999999999995E-7</v>
      </c>
      <c r="O274" s="1">
        <f t="shared" si="51"/>
        <v>10.204607223431253</v>
      </c>
      <c r="P274" s="1">
        <f t="shared" si="47"/>
        <v>10.499401533865951</v>
      </c>
      <c r="Q274" s="1">
        <f t="shared" si="48"/>
        <v>11.076189370981123</v>
      </c>
      <c r="R274" s="1">
        <v>125.37909999999998</v>
      </c>
      <c r="S274" s="1" t="e">
        <f t="shared" si="49"/>
        <v>#N/A</v>
      </c>
      <c r="T274" s="1" t="e">
        <v>#N/A</v>
      </c>
    </row>
    <row r="275" spans="1:20" x14ac:dyDescent="0.35">
      <c r="A275" s="1">
        <v>500102.04080000002</v>
      </c>
      <c r="B275" s="1">
        <v>5999997.9119999995</v>
      </c>
      <c r="C275" s="1">
        <v>170.62367285843499</v>
      </c>
      <c r="D275" s="1">
        <f t="shared" si="50"/>
        <v>102.17086085785942</v>
      </c>
      <c r="E275" s="1">
        <v>0.01</v>
      </c>
      <c r="F275" s="1">
        <v>0.05</v>
      </c>
      <c r="G275" s="1">
        <v>0.1</v>
      </c>
      <c r="H275" s="1">
        <v>9.81</v>
      </c>
      <c r="I275" s="1">
        <v>2650</v>
      </c>
      <c r="J275" s="1">
        <v>1000</v>
      </c>
      <c r="K275" s="1">
        <v>1.65</v>
      </c>
      <c r="L275" s="1">
        <v>6.5</v>
      </c>
      <c r="M275" s="1">
        <v>2.5</v>
      </c>
      <c r="N275" s="6">
        <v>9.9999999999999995E-7</v>
      </c>
      <c r="O275" s="1">
        <f t="shared" si="51"/>
        <v>10.21006882166494</v>
      </c>
      <c r="P275" s="1">
        <f t="shared" si="47"/>
        <v>10.948230205101877</v>
      </c>
      <c r="Q275" s="1">
        <f t="shared" si="48"/>
        <v>10.723815869483914</v>
      </c>
      <c r="R275" s="1">
        <v>125.37909999999998</v>
      </c>
      <c r="S275" s="1" t="e">
        <f t="shared" si="49"/>
        <v>#N/A</v>
      </c>
      <c r="T275" s="1" t="e">
        <v>#N/A</v>
      </c>
    </row>
    <row r="276" spans="1:20" x14ac:dyDescent="0.35">
      <c r="A276" s="1">
        <v>500112.24489999999</v>
      </c>
      <c r="B276" s="1">
        <v>5999997.4409999996</v>
      </c>
      <c r="C276" s="1">
        <v>174.56299346160199</v>
      </c>
      <c r="D276" s="1">
        <f t="shared" si="50"/>
        <v>112.38582526354234</v>
      </c>
      <c r="E276" s="1">
        <v>0.01</v>
      </c>
      <c r="F276" s="1">
        <v>0.05</v>
      </c>
      <c r="G276" s="1">
        <v>0.1</v>
      </c>
      <c r="H276" s="1">
        <v>9.81</v>
      </c>
      <c r="I276" s="1">
        <v>2650</v>
      </c>
      <c r="J276" s="1">
        <v>1000</v>
      </c>
      <c r="K276" s="1">
        <v>1.65</v>
      </c>
      <c r="L276" s="1">
        <v>6.5</v>
      </c>
      <c r="M276" s="1">
        <v>2.5</v>
      </c>
      <c r="N276" s="6">
        <v>9.9999999999999995E-7</v>
      </c>
      <c r="O276" s="1">
        <f t="shared" si="51"/>
        <v>10.211692861963954</v>
      </c>
      <c r="P276" s="1">
        <f t="shared" si="47"/>
        <v>13.530011313683339</v>
      </c>
      <c r="Q276" s="1">
        <f t="shared" si="48"/>
        <v>12.239120759392609</v>
      </c>
      <c r="R276" s="1">
        <v>125.37909999999998</v>
      </c>
      <c r="S276" s="1" t="e">
        <f t="shared" si="49"/>
        <v>#N/A</v>
      </c>
      <c r="T276" s="1" t="e">
        <v>#N/A</v>
      </c>
    </row>
    <row r="277" spans="1:20" x14ac:dyDescent="0.35">
      <c r="A277" s="1">
        <v>500122.44900000002</v>
      </c>
      <c r="B277" s="1">
        <v>5999997.7379999999</v>
      </c>
      <c r="C277" s="1">
        <v>165.68327835707299</v>
      </c>
      <c r="D277" s="1">
        <f t="shared" si="50"/>
        <v>122.59424658178733</v>
      </c>
      <c r="E277" s="1">
        <v>0.01</v>
      </c>
      <c r="F277" s="1">
        <v>0.05</v>
      </c>
      <c r="G277" s="1">
        <v>0.1</v>
      </c>
      <c r="H277" s="1">
        <v>9.81</v>
      </c>
      <c r="I277" s="1">
        <v>2650</v>
      </c>
      <c r="J277" s="1">
        <v>1000</v>
      </c>
      <c r="K277" s="1">
        <v>1.65</v>
      </c>
      <c r="L277" s="1">
        <v>6.5</v>
      </c>
      <c r="M277" s="1">
        <v>2.5</v>
      </c>
      <c r="N277" s="6">
        <v>9.9999999999999995E-7</v>
      </c>
      <c r="O277" s="1">
        <f t="shared" si="51"/>
        <v>10.212455607463802</v>
      </c>
      <c r="P277" s="1">
        <f t="shared" si="47"/>
        <v>12.917030195420445</v>
      </c>
      <c r="Q277" s="1">
        <f t="shared" si="48"/>
        <v>13.223520754551892</v>
      </c>
      <c r="R277" s="1">
        <v>125.37909999999998</v>
      </c>
      <c r="S277" s="1" t="e">
        <f t="shared" si="49"/>
        <v>#N/A</v>
      </c>
      <c r="T277" s="1" t="e">
        <v>#N/A</v>
      </c>
    </row>
    <row r="278" spans="1:20" x14ac:dyDescent="0.35">
      <c r="A278" s="1">
        <v>500132.6531</v>
      </c>
      <c r="B278" s="1">
        <v>5999997.2350000003</v>
      </c>
      <c r="C278" s="1">
        <v>173.58726489934301</v>
      </c>
      <c r="D278" s="1">
        <f t="shared" si="50"/>
        <v>132.81073647846995</v>
      </c>
      <c r="E278" s="1">
        <v>0.01</v>
      </c>
      <c r="F278" s="1">
        <v>0.05</v>
      </c>
      <c r="G278" s="1">
        <v>0.1</v>
      </c>
      <c r="H278" s="1">
        <v>9.81</v>
      </c>
      <c r="I278" s="1">
        <v>2650</v>
      </c>
      <c r="J278" s="1">
        <v>1000</v>
      </c>
      <c r="K278" s="1">
        <v>1.65</v>
      </c>
      <c r="L278" s="1">
        <v>6.5</v>
      </c>
      <c r="M278" s="1">
        <v>2.5</v>
      </c>
      <c r="N278" s="6">
        <v>9.9999999999999995E-7</v>
      </c>
      <c r="O278" s="1">
        <f t="shared" si="51"/>
        <v>10.225512676353247</v>
      </c>
      <c r="P278" s="1">
        <f t="shared" si="47"/>
        <v>13.492945518552009</v>
      </c>
      <c r="Q278" s="1">
        <f t="shared" si="48"/>
        <v>13.204987856986227</v>
      </c>
      <c r="R278" s="1">
        <v>125.37909999999998</v>
      </c>
      <c r="S278" s="1" t="e">
        <f t="shared" si="49"/>
        <v>#N/A</v>
      </c>
      <c r="T278" s="1" t="e">
        <v>#N/A</v>
      </c>
    </row>
    <row r="279" spans="1:20" x14ac:dyDescent="0.35">
      <c r="A279" s="1">
        <v>500142.85710000002</v>
      </c>
      <c r="B279" s="1">
        <v>5999996.4450000003</v>
      </c>
      <c r="C279" s="1">
        <v>164.79443470844299</v>
      </c>
      <c r="D279" s="1">
        <f t="shared" si="50"/>
        <v>143.04527193449383</v>
      </c>
      <c r="E279" s="1">
        <v>0.01</v>
      </c>
      <c r="F279" s="1">
        <v>0.05</v>
      </c>
      <c r="G279" s="1">
        <v>0.1</v>
      </c>
      <c r="H279" s="1">
        <v>9.81</v>
      </c>
      <c r="I279" s="1">
        <v>2650</v>
      </c>
      <c r="J279" s="1">
        <v>1000</v>
      </c>
      <c r="K279" s="1">
        <v>1.65</v>
      </c>
      <c r="L279" s="1">
        <v>6.5</v>
      </c>
      <c r="M279" s="1">
        <v>2.5</v>
      </c>
      <c r="N279" s="6">
        <v>9.9999999999999995E-7</v>
      </c>
      <c r="O279" s="1">
        <f t="shared" si="51"/>
        <v>10.219577641411078</v>
      </c>
      <c r="P279" s="1">
        <f t="shared" si="47"/>
        <v>10.57052865269438</v>
      </c>
      <c r="Q279" s="1">
        <f t="shared" si="48"/>
        <v>12.031737085623195</v>
      </c>
      <c r="R279" s="1">
        <v>125.37909999999998</v>
      </c>
      <c r="S279" s="1" t="e">
        <f t="shared" si="49"/>
        <v>#N/A</v>
      </c>
      <c r="T279" s="1" t="e">
        <v>#N/A</v>
      </c>
    </row>
    <row r="280" spans="1:20" x14ac:dyDescent="0.35">
      <c r="A280" s="1">
        <v>500153.0612</v>
      </c>
      <c r="B280" s="1">
        <v>5999996.5480000004</v>
      </c>
      <c r="C280" s="1">
        <v>167.55157275140499</v>
      </c>
      <c r="D280" s="1">
        <f t="shared" si="50"/>
        <v>153.2498917612921</v>
      </c>
      <c r="E280" s="1">
        <v>0.01</v>
      </c>
      <c r="F280" s="1">
        <v>0.05</v>
      </c>
      <c r="G280" s="1">
        <v>0.1</v>
      </c>
      <c r="H280" s="1">
        <v>9.81</v>
      </c>
      <c r="I280" s="1">
        <v>2650</v>
      </c>
      <c r="J280" s="1">
        <v>1000</v>
      </c>
      <c r="K280" s="1">
        <v>1.65</v>
      </c>
      <c r="L280" s="1">
        <v>6.5</v>
      </c>
      <c r="M280" s="1">
        <v>2.5</v>
      </c>
      <c r="N280" s="6">
        <v>9.9999999999999995E-7</v>
      </c>
      <c r="O280" s="1">
        <f t="shared" si="51"/>
        <v>10.204940921281036</v>
      </c>
      <c r="P280" s="1">
        <f t="shared" si="47"/>
        <v>10.682627590463349</v>
      </c>
      <c r="Q280" s="1">
        <f t="shared" si="48"/>
        <v>10.626578121578865</v>
      </c>
      <c r="R280" s="1">
        <v>125.37909999999998</v>
      </c>
      <c r="S280" s="1" t="e">
        <f t="shared" si="49"/>
        <v>#N/A</v>
      </c>
      <c r="T280" s="1" t="e">
        <v>#N/A</v>
      </c>
    </row>
    <row r="281" spans="1:20" x14ac:dyDescent="0.35">
      <c r="A281" s="1">
        <v>500163.26530000003</v>
      </c>
      <c r="B281" s="1">
        <v>5999996.7019999996</v>
      </c>
      <c r="C281" s="1">
        <v>164.39385847900201</v>
      </c>
      <c r="D281" s="1">
        <f t="shared" si="50"/>
        <v>163.4551537770559</v>
      </c>
      <c r="E281" s="1">
        <v>0.01</v>
      </c>
      <c r="F281" s="1">
        <v>0.05</v>
      </c>
      <c r="G281" s="1">
        <v>0.1</v>
      </c>
      <c r="H281" s="1">
        <v>9.81</v>
      </c>
      <c r="I281" s="1">
        <v>2650</v>
      </c>
      <c r="J281" s="1">
        <v>1000</v>
      </c>
      <c r="K281" s="1">
        <v>1.65</v>
      </c>
      <c r="L281" s="1">
        <v>6.5</v>
      </c>
      <c r="M281" s="1">
        <v>2.5</v>
      </c>
      <c r="N281" s="6">
        <v>9.9999999999999995E-7</v>
      </c>
      <c r="O281" s="1">
        <f t="shared" si="51"/>
        <v>10.213849082106762</v>
      </c>
      <c r="P281" s="1">
        <f t="shared" si="47"/>
        <v>11.026540308620518</v>
      </c>
      <c r="Q281" s="1">
        <f t="shared" si="48"/>
        <v>10.854583949541933</v>
      </c>
      <c r="R281" s="1">
        <v>125.37909999999998</v>
      </c>
      <c r="S281" s="1" t="e">
        <f t="shared" si="49"/>
        <v>#N/A</v>
      </c>
      <c r="T281" s="1" t="e">
        <v>#N/A</v>
      </c>
    </row>
    <row r="282" spans="1:20" x14ac:dyDescent="0.35">
      <c r="A282" s="1">
        <v>500173.4694</v>
      </c>
      <c r="B282" s="1">
        <v>5999996.0899999999</v>
      </c>
      <c r="C282" s="1">
        <v>168.52742719967199</v>
      </c>
      <c r="D282" s="1">
        <f t="shared" si="50"/>
        <v>173.67758992550563</v>
      </c>
      <c r="E282" s="1">
        <v>0.01</v>
      </c>
      <c r="F282" s="1">
        <v>0.05</v>
      </c>
      <c r="G282" s="1">
        <v>0.1</v>
      </c>
      <c r="H282" s="1">
        <v>9.81</v>
      </c>
      <c r="I282" s="1">
        <v>2650</v>
      </c>
      <c r="J282" s="1">
        <v>1000</v>
      </c>
      <c r="K282" s="1">
        <v>1.65</v>
      </c>
      <c r="L282" s="1">
        <v>6.5</v>
      </c>
      <c r="M282" s="1">
        <v>2.5</v>
      </c>
      <c r="N282" s="6">
        <v>9.9999999999999995E-7</v>
      </c>
      <c r="O282" s="1">
        <f t="shared" si="51"/>
        <v>10.214988293625822</v>
      </c>
      <c r="P282" s="1">
        <f t="shared" si="47"/>
        <v>10.632479456336906</v>
      </c>
      <c r="Q282" s="1">
        <f t="shared" si="48"/>
        <v>10.829509882478712</v>
      </c>
      <c r="R282" s="1">
        <v>125.37909999999998</v>
      </c>
      <c r="S282" s="1" t="e">
        <f t="shared" si="49"/>
        <v>#N/A</v>
      </c>
      <c r="T282" s="1" t="e">
        <v>#N/A</v>
      </c>
    </row>
    <row r="283" spans="1:20" x14ac:dyDescent="0.35">
      <c r="A283" s="1">
        <v>500183.67349999998</v>
      </c>
      <c r="B283" s="1">
        <v>5999996.3550000004</v>
      </c>
      <c r="C283" s="1">
        <v>165.55156806663999</v>
      </c>
      <c r="D283" s="1">
        <f t="shared" si="50"/>
        <v>183.88513036430754</v>
      </c>
      <c r="E283" s="1">
        <v>0.01</v>
      </c>
      <c r="F283" s="1">
        <v>0.05</v>
      </c>
      <c r="G283" s="1">
        <v>0.1</v>
      </c>
      <c r="H283" s="1">
        <v>9.81</v>
      </c>
      <c r="I283" s="1">
        <v>2650</v>
      </c>
      <c r="J283" s="1">
        <v>1000</v>
      </c>
      <c r="K283" s="1">
        <v>1.65</v>
      </c>
      <c r="L283" s="1">
        <v>6.5</v>
      </c>
      <c r="M283" s="1">
        <v>2.5</v>
      </c>
      <c r="N283" s="6">
        <v>9.9999999999999995E-7</v>
      </c>
      <c r="O283" s="1">
        <f t="shared" si="51"/>
        <v>10.210285318026777</v>
      </c>
      <c r="P283" s="1">
        <f t="shared" si="47"/>
        <v>10.217153370786205</v>
      </c>
      <c r="Q283" s="1">
        <f t="shared" si="48"/>
        <v>10.424816413561555</v>
      </c>
      <c r="R283" s="1">
        <v>125.37909999999998</v>
      </c>
      <c r="S283" s="1" t="e">
        <f t="shared" si="49"/>
        <v>#N/A</v>
      </c>
      <c r="T283" s="1" t="e">
        <v>#N/A</v>
      </c>
    </row>
    <row r="284" spans="1:20" x14ac:dyDescent="0.35">
      <c r="A284" s="1">
        <v>500193.87760000001</v>
      </c>
      <c r="B284" s="1">
        <v>5999996.7819999997</v>
      </c>
      <c r="C284" s="1">
        <v>165.84180450851801</v>
      </c>
      <c r="D284" s="1">
        <f t="shared" si="50"/>
        <v>194.09816056155918</v>
      </c>
      <c r="E284" s="1">
        <v>0.01</v>
      </c>
      <c r="F284" s="1">
        <v>0.05</v>
      </c>
      <c r="G284" s="1">
        <v>0.1</v>
      </c>
      <c r="H284" s="1">
        <v>9.81</v>
      </c>
      <c r="I284" s="1">
        <v>2650</v>
      </c>
      <c r="J284" s="1">
        <v>1000</v>
      </c>
      <c r="K284" s="1">
        <v>1.65</v>
      </c>
      <c r="L284" s="1">
        <v>6.5</v>
      </c>
      <c r="M284" s="1">
        <v>2.5</v>
      </c>
      <c r="N284" s="6">
        <v>9.9999999999999995E-7</v>
      </c>
      <c r="O284" s="1">
        <f t="shared" si="51"/>
        <v>10.225732250662787</v>
      </c>
      <c r="P284" s="1">
        <f t="shared" si="47"/>
        <v>11.805317568883225</v>
      </c>
      <c r="Q284" s="1">
        <f t="shared" si="48"/>
        <v>11.011235469834716</v>
      </c>
      <c r="R284" s="1">
        <v>125.37909999999998</v>
      </c>
      <c r="S284" s="1" t="e">
        <f t="shared" si="49"/>
        <v>#N/A</v>
      </c>
      <c r="T284" s="1" t="e">
        <v>#N/A</v>
      </c>
    </row>
    <row r="285" spans="1:20" x14ac:dyDescent="0.35">
      <c r="A285" s="1">
        <v>500204.08159999998</v>
      </c>
      <c r="B285" s="1">
        <v>5999995.943</v>
      </c>
      <c r="C285" s="1">
        <v>159.96473160584401</v>
      </c>
      <c r="D285" s="1">
        <f t="shared" si="50"/>
        <v>204.33659486563312</v>
      </c>
      <c r="E285" s="1">
        <v>0.01</v>
      </c>
      <c r="F285" s="1">
        <v>0.05</v>
      </c>
      <c r="G285" s="1">
        <v>0.1</v>
      </c>
      <c r="H285" s="1">
        <v>9.81</v>
      </c>
      <c r="I285" s="1">
        <v>2650</v>
      </c>
      <c r="J285" s="1">
        <v>1000</v>
      </c>
      <c r="K285" s="1">
        <v>1.65</v>
      </c>
      <c r="L285" s="1">
        <v>6.5</v>
      </c>
      <c r="M285" s="1">
        <v>2.5</v>
      </c>
      <c r="N285" s="6">
        <v>9.9999999999999995E-7</v>
      </c>
      <c r="O285" s="1">
        <f t="shared" si="51"/>
        <v>10.222474465035148</v>
      </c>
      <c r="P285" s="1">
        <f t="shared" si="47"/>
        <v>10.510110351296964</v>
      </c>
      <c r="Q285" s="1">
        <f t="shared" si="48"/>
        <v>11.157713960090096</v>
      </c>
      <c r="R285" s="1">
        <v>125.37909999999998</v>
      </c>
      <c r="S285" s="1" t="e">
        <f t="shared" si="49"/>
        <v>#N/A</v>
      </c>
      <c r="T285" s="1" t="e">
        <v>#N/A</v>
      </c>
    </row>
    <row r="286" spans="1:20" x14ac:dyDescent="0.35">
      <c r="A286" s="1">
        <v>500214.28570000001</v>
      </c>
      <c r="B286" s="1">
        <v>5999995.7209999999</v>
      </c>
      <c r="C286" s="1">
        <v>162.47261493362501</v>
      </c>
      <c r="D286" s="1">
        <f t="shared" si="50"/>
        <v>214.54310949162948</v>
      </c>
      <c r="E286" s="1">
        <v>0.01</v>
      </c>
      <c r="F286" s="1">
        <v>0.05</v>
      </c>
      <c r="G286" s="1">
        <v>0.1</v>
      </c>
      <c r="H286" s="1">
        <v>9.81</v>
      </c>
      <c r="I286" s="1">
        <v>2650</v>
      </c>
      <c r="J286" s="1">
        <v>1000</v>
      </c>
      <c r="K286" s="1">
        <v>1.65</v>
      </c>
      <c r="L286" s="1">
        <v>6.5</v>
      </c>
      <c r="M286" s="1">
        <v>2.5</v>
      </c>
      <c r="N286" s="6">
        <v>9.9999999999999995E-7</v>
      </c>
      <c r="O286" s="1">
        <f t="shared" si="51"/>
        <v>10.209668499185454</v>
      </c>
      <c r="P286" s="1">
        <f t="shared" si="47"/>
        <v>13.932835838967597</v>
      </c>
      <c r="Q286" s="1">
        <f t="shared" si="48"/>
        <v>12.22147309513228</v>
      </c>
      <c r="R286" s="1">
        <v>125.37909999999998</v>
      </c>
      <c r="S286" s="1" t="e">
        <f t="shared" si="49"/>
        <v>#N/A</v>
      </c>
      <c r="T286" s="1" t="e">
        <v>#N/A</v>
      </c>
    </row>
    <row r="287" spans="1:20" x14ac:dyDescent="0.35">
      <c r="A287" s="1">
        <v>500224.48979999998</v>
      </c>
      <c r="B287" s="1">
        <v>5999996.1430000002</v>
      </c>
      <c r="C287" s="1">
        <v>152.99515885586101</v>
      </c>
      <c r="D287" s="1">
        <f t="shared" si="50"/>
        <v>224.75593186400403</v>
      </c>
      <c r="E287" s="1">
        <v>0.01</v>
      </c>
      <c r="F287" s="1">
        <v>0.05</v>
      </c>
      <c r="G287" s="1">
        <v>0.1</v>
      </c>
      <c r="H287" s="1">
        <v>9.81</v>
      </c>
      <c r="I287" s="1">
        <v>2650</v>
      </c>
      <c r="J287" s="1">
        <v>1000</v>
      </c>
      <c r="K287" s="1">
        <v>1.65</v>
      </c>
      <c r="L287" s="1">
        <v>6.5</v>
      </c>
      <c r="M287" s="1">
        <v>2.5</v>
      </c>
      <c r="N287" s="6">
        <v>9.9999999999999995E-7</v>
      </c>
      <c r="O287" s="1">
        <f t="shared" si="51"/>
        <v>10.211706300347956</v>
      </c>
      <c r="P287" s="1">
        <f t="shared" si="47"/>
        <v>10.301820481574744</v>
      </c>
      <c r="Q287" s="1">
        <f t="shared" si="48"/>
        <v>12.117328160271171</v>
      </c>
      <c r="R287" s="1">
        <v>125.37909999999998</v>
      </c>
      <c r="S287" s="1" t="e">
        <f t="shared" si="49"/>
        <v>#N/A</v>
      </c>
      <c r="T287" s="1" t="e">
        <v>#N/A</v>
      </c>
    </row>
    <row r="288" spans="1:20" x14ac:dyDescent="0.35">
      <c r="A288" s="1">
        <v>500234.69390000001</v>
      </c>
      <c r="B288" s="1">
        <v>5999996.5070000002</v>
      </c>
      <c r="C288" s="1">
        <v>151.627185016966</v>
      </c>
      <c r="D288" s="1">
        <f t="shared" si="50"/>
        <v>234.96652209232539</v>
      </c>
      <c r="E288" s="1">
        <v>0.01</v>
      </c>
      <c r="F288" s="1">
        <v>0.05</v>
      </c>
      <c r="G288" s="1">
        <v>0.1</v>
      </c>
      <c r="H288" s="1">
        <v>9.81</v>
      </c>
      <c r="I288" s="1">
        <v>2650</v>
      </c>
      <c r="J288" s="1">
        <v>1000</v>
      </c>
      <c r="K288" s="1">
        <v>1.65</v>
      </c>
      <c r="L288" s="1">
        <v>6.5</v>
      </c>
      <c r="M288" s="1">
        <v>2.5</v>
      </c>
      <c r="N288" s="6">
        <v>9.9999999999999995E-7</v>
      </c>
      <c r="O288" s="1">
        <f t="shared" si="51"/>
        <v>10.212172653557417</v>
      </c>
      <c r="P288" s="1">
        <f t="shared" si="47"/>
        <v>11.089044194999135</v>
      </c>
      <c r="Q288" s="1">
        <f t="shared" si="48"/>
        <v>10.695432338286938</v>
      </c>
      <c r="R288" s="1">
        <v>125.37909999999998</v>
      </c>
      <c r="S288" s="1" t="e">
        <f t="shared" si="49"/>
        <v>#N/A</v>
      </c>
      <c r="T288" s="1" t="e">
        <v>#N/A</v>
      </c>
    </row>
    <row r="289" spans="1:20" x14ac:dyDescent="0.35">
      <c r="A289" s="1">
        <v>500244.89799999999</v>
      </c>
      <c r="B289" s="1">
        <v>5999996.9510000004</v>
      </c>
      <c r="C289" s="1">
        <v>155.94529899752101</v>
      </c>
      <c r="D289" s="1">
        <f t="shared" si="50"/>
        <v>245.18027717111886</v>
      </c>
      <c r="E289" s="1">
        <v>0.01</v>
      </c>
      <c r="F289" s="1">
        <v>0.05</v>
      </c>
      <c r="G289" s="1">
        <v>0.1</v>
      </c>
      <c r="H289" s="1">
        <v>9.81</v>
      </c>
      <c r="I289" s="1">
        <v>2650</v>
      </c>
      <c r="J289" s="1">
        <v>1000</v>
      </c>
      <c r="K289" s="1">
        <v>1.65</v>
      </c>
      <c r="L289" s="1">
        <v>6.5</v>
      </c>
      <c r="M289" s="1">
        <v>2.5</v>
      </c>
      <c r="N289" s="6">
        <v>9.9999999999999995E-7</v>
      </c>
      <c r="O289" s="1">
        <f t="shared" si="51"/>
        <v>10.228334363400478</v>
      </c>
      <c r="P289" s="1">
        <f t="shared" si="47"/>
        <v>11.738479864242503</v>
      </c>
      <c r="Q289" s="1">
        <f t="shared" si="48"/>
        <v>11.41376202962082</v>
      </c>
      <c r="R289" s="1">
        <v>125.37909999999998</v>
      </c>
      <c r="S289" s="1" t="e">
        <f t="shared" si="49"/>
        <v>#N/A</v>
      </c>
      <c r="T289" s="1" t="e">
        <v>#N/A</v>
      </c>
    </row>
    <row r="290" spans="1:20" x14ac:dyDescent="0.35">
      <c r="A290" s="1">
        <v>500255.10200000001</v>
      </c>
      <c r="B290" s="1">
        <v>5999997.8430000003</v>
      </c>
      <c r="C290" s="1">
        <v>150.21165883417899</v>
      </c>
      <c r="D290" s="1">
        <f t="shared" si="50"/>
        <v>255.42319081912635</v>
      </c>
      <c r="E290" s="1">
        <v>0.01</v>
      </c>
      <c r="F290" s="1">
        <v>0.05</v>
      </c>
      <c r="G290" s="1">
        <v>0.1</v>
      </c>
      <c r="H290" s="1">
        <v>9.81</v>
      </c>
      <c r="I290" s="1">
        <v>2650</v>
      </c>
      <c r="J290" s="1">
        <v>1000</v>
      </c>
      <c r="K290" s="1">
        <v>1.65</v>
      </c>
      <c r="L290" s="1">
        <v>6.5</v>
      </c>
      <c r="M290" s="1">
        <v>2.5</v>
      </c>
      <c r="N290" s="6">
        <v>9.9999999999999995E-7</v>
      </c>
      <c r="O290" s="1">
        <f t="shared" si="51"/>
        <v>10.228247812702051</v>
      </c>
      <c r="P290" s="1">
        <f t="shared" si="47"/>
        <v>10.415569048554094</v>
      </c>
      <c r="Q290" s="1">
        <f t="shared" si="48"/>
        <v>11.077024456398298</v>
      </c>
      <c r="R290" s="1">
        <v>125.37909999999998</v>
      </c>
      <c r="S290" s="1" t="e">
        <f t="shared" si="49"/>
        <v>#N/A</v>
      </c>
      <c r="T290" s="1" t="e">
        <v>#N/A</v>
      </c>
    </row>
    <row r="291" spans="1:20" x14ac:dyDescent="0.35">
      <c r="A291" s="1">
        <v>500265.30609999999</v>
      </c>
      <c r="B291" s="1">
        <v>5999998.2829999998</v>
      </c>
      <c r="C291" s="1">
        <v>148.17037938339399</v>
      </c>
      <c r="D291" s="1">
        <f t="shared" si="50"/>
        <v>265.63677279652296</v>
      </c>
      <c r="E291" s="1">
        <v>0.01</v>
      </c>
      <c r="F291" s="1">
        <v>0.05</v>
      </c>
      <c r="G291" s="1">
        <v>0.1</v>
      </c>
      <c r="H291" s="1">
        <v>9.81</v>
      </c>
      <c r="I291" s="1">
        <v>2650</v>
      </c>
      <c r="J291" s="1">
        <v>1000</v>
      </c>
      <c r="K291" s="1">
        <v>1.65</v>
      </c>
      <c r="L291" s="1">
        <v>6.5</v>
      </c>
      <c r="M291" s="1">
        <v>2.5</v>
      </c>
      <c r="N291" s="6">
        <v>9.9999999999999995E-7</v>
      </c>
      <c r="O291" s="1">
        <f t="shared" si="51"/>
        <v>10.23198332194535</v>
      </c>
      <c r="P291" s="1">
        <f t="shared" si="47"/>
        <v>10.753746192038282</v>
      </c>
      <c r="Q291" s="1">
        <f t="shared" si="48"/>
        <v>10.584657620296188</v>
      </c>
      <c r="R291" s="1">
        <v>125.37909999999998</v>
      </c>
      <c r="S291" s="1" t="e">
        <f t="shared" si="49"/>
        <v>#N/A</v>
      </c>
      <c r="T291" s="1" t="e">
        <v>#N/A</v>
      </c>
    </row>
    <row r="292" spans="1:20" x14ac:dyDescent="0.35">
      <c r="A292" s="1">
        <v>500275.51020000002</v>
      </c>
      <c r="B292" s="1">
        <v>5999997.3099999996</v>
      </c>
      <c r="C292" s="1">
        <v>144.91881493659599</v>
      </c>
      <c r="D292" s="1">
        <f t="shared" si="50"/>
        <v>275.88715746301705</v>
      </c>
      <c r="E292" s="1">
        <v>0.01</v>
      </c>
      <c r="F292" s="1">
        <v>0.05</v>
      </c>
      <c r="G292" s="1">
        <v>0.1</v>
      </c>
      <c r="H292" s="1">
        <v>9.81</v>
      </c>
      <c r="I292" s="1">
        <v>2650</v>
      </c>
      <c r="J292" s="1">
        <v>1000</v>
      </c>
      <c r="K292" s="1">
        <v>1.65</v>
      </c>
      <c r="L292" s="1">
        <v>6.5</v>
      </c>
      <c r="M292" s="1">
        <v>2.5</v>
      </c>
      <c r="N292" s="6">
        <v>9.9999999999999995E-7</v>
      </c>
      <c r="O292" s="1">
        <f t="shared" si="51"/>
        <v>10.247668609691146</v>
      </c>
      <c r="P292" s="1">
        <f t="shared" si="47"/>
        <v>10.247801935839309</v>
      </c>
      <c r="Q292" s="1">
        <f t="shared" si="48"/>
        <v>10.500774063938795</v>
      </c>
      <c r="R292" s="1">
        <v>125.37909999999998</v>
      </c>
      <c r="S292" s="1" t="e">
        <f t="shared" si="49"/>
        <v>#N/A</v>
      </c>
      <c r="T292" s="1" t="e">
        <v>#N/A</v>
      </c>
    </row>
    <row r="293" spans="1:20" x14ac:dyDescent="0.35">
      <c r="A293" s="1">
        <v>500285.71429999999</v>
      </c>
      <c r="B293" s="1">
        <v>5999998.2240000004</v>
      </c>
      <c r="C293" s="1">
        <v>144.67717117967001</v>
      </c>
      <c r="D293" s="1">
        <f t="shared" si="50"/>
        <v>286.13211001590525</v>
      </c>
      <c r="E293" s="1">
        <v>0.01</v>
      </c>
      <c r="F293" s="1">
        <v>0.05</v>
      </c>
      <c r="G293" s="1">
        <v>0.1</v>
      </c>
      <c r="H293" s="1">
        <v>9.81</v>
      </c>
      <c r="I293" s="1">
        <v>2650</v>
      </c>
      <c r="J293" s="1">
        <v>1000</v>
      </c>
      <c r="K293" s="1">
        <v>1.65</v>
      </c>
      <c r="L293" s="1">
        <v>6.5</v>
      </c>
      <c r="M293" s="1">
        <v>2.5</v>
      </c>
      <c r="N293" s="6">
        <v>9.9999999999999995E-7</v>
      </c>
      <c r="O293" s="1">
        <f t="shared" si="51"/>
        <v>10.245310960713113</v>
      </c>
      <c r="P293" s="1">
        <f t="shared" si="47"/>
        <v>10.773986209295044</v>
      </c>
      <c r="Q293" s="1">
        <f t="shared" si="48"/>
        <v>10.510894072567176</v>
      </c>
      <c r="R293" s="1">
        <v>125.37909999999998</v>
      </c>
      <c r="S293" s="1" t="e">
        <f t="shared" si="49"/>
        <v>#N/A</v>
      </c>
      <c r="T293" s="1" t="e">
        <v>#N/A</v>
      </c>
    </row>
    <row r="294" spans="1:20" x14ac:dyDescent="0.35">
      <c r="A294" s="1">
        <v>500295.91840000002</v>
      </c>
      <c r="B294" s="1">
        <v>5999999.1459999997</v>
      </c>
      <c r="C294" s="1">
        <v>141.344748933213</v>
      </c>
      <c r="D294" s="1">
        <f t="shared" si="50"/>
        <v>296.37777938444327</v>
      </c>
      <c r="E294" s="1">
        <v>0.01</v>
      </c>
      <c r="F294" s="1">
        <v>0.05</v>
      </c>
      <c r="G294" s="1">
        <v>0.1</v>
      </c>
      <c r="H294" s="1">
        <v>9.81</v>
      </c>
      <c r="I294" s="1">
        <v>2650</v>
      </c>
      <c r="J294" s="1">
        <v>1000</v>
      </c>
      <c r="K294" s="1">
        <v>1.65</v>
      </c>
      <c r="L294" s="1">
        <v>6.5</v>
      </c>
      <c r="M294" s="1">
        <v>2.5</v>
      </c>
      <c r="N294" s="6">
        <v>9.9999999999999995E-7</v>
      </c>
      <c r="O294" s="1">
        <f t="shared" si="51"/>
        <v>10.233098302678485</v>
      </c>
      <c r="P294" s="1">
        <f t="shared" si="47"/>
        <v>10.320041754295742</v>
      </c>
      <c r="Q294" s="1">
        <f t="shared" si="48"/>
        <v>10.547013981795393</v>
      </c>
      <c r="R294" s="1">
        <v>125.37909999999998</v>
      </c>
      <c r="S294" s="1" t="e">
        <f t="shared" si="49"/>
        <v>#N/A</v>
      </c>
      <c r="T294" s="1" t="e">
        <v>#N/A</v>
      </c>
    </row>
    <row r="295" spans="1:20" x14ac:dyDescent="0.35">
      <c r="A295" s="1">
        <v>500306.12239999999</v>
      </c>
      <c r="B295" s="1">
        <v>5999998.5650000004</v>
      </c>
      <c r="C295" s="1">
        <v>139.91503399244701</v>
      </c>
      <c r="D295" s="1">
        <f t="shared" si="50"/>
        <v>306.59830662126222</v>
      </c>
      <c r="E295" s="1">
        <v>0.01</v>
      </c>
      <c r="F295" s="1">
        <v>0.05</v>
      </c>
      <c r="G295" s="1">
        <v>0.1</v>
      </c>
      <c r="H295" s="1">
        <v>9.81</v>
      </c>
      <c r="I295" s="1">
        <v>2650</v>
      </c>
      <c r="J295" s="1">
        <v>1000</v>
      </c>
      <c r="K295" s="1">
        <v>1.65</v>
      </c>
      <c r="L295" s="1">
        <v>6.5</v>
      </c>
      <c r="M295" s="1">
        <v>2.5</v>
      </c>
      <c r="N295" s="6">
        <v>9.9999999999999995E-7</v>
      </c>
      <c r="O295" s="1">
        <f t="shared" si="51"/>
        <v>10.221874954638196</v>
      </c>
      <c r="P295" s="1">
        <f t="shared" si="47"/>
        <v>13.893706980070347</v>
      </c>
      <c r="Q295" s="1">
        <f t="shared" si="48"/>
        <v>12.106874367183044</v>
      </c>
      <c r="R295" s="1">
        <v>125.37909999999998</v>
      </c>
      <c r="S295" s="1" t="e">
        <f t="shared" si="49"/>
        <v>#N/A</v>
      </c>
      <c r="T295" s="1" t="e">
        <v>#N/A</v>
      </c>
    </row>
    <row r="296" spans="1:20" x14ac:dyDescent="0.35">
      <c r="A296" s="1">
        <v>500316.32650000002</v>
      </c>
      <c r="B296" s="1">
        <v>5999999.1900000004</v>
      </c>
      <c r="C296" s="1">
        <v>130.506484059678</v>
      </c>
      <c r="D296" s="1">
        <f t="shared" si="50"/>
        <v>316.82152929371966</v>
      </c>
      <c r="E296" s="1">
        <v>0.01</v>
      </c>
      <c r="F296" s="1">
        <v>0.05</v>
      </c>
      <c r="G296" s="1">
        <v>0.1</v>
      </c>
      <c r="H296" s="1">
        <v>9.81</v>
      </c>
      <c r="I296" s="1">
        <v>2650</v>
      </c>
      <c r="J296" s="1">
        <v>1000</v>
      </c>
      <c r="K296" s="1">
        <v>1.65</v>
      </c>
      <c r="L296" s="1">
        <v>6.5</v>
      </c>
      <c r="M296" s="1">
        <v>2.5</v>
      </c>
      <c r="N296" s="6">
        <v>9.9999999999999995E-7</v>
      </c>
      <c r="O296" s="1">
        <f t="shared" si="51"/>
        <v>10.235493697492075</v>
      </c>
      <c r="P296" s="1">
        <f t="shared" si="47"/>
        <v>10.418299398725649</v>
      </c>
      <c r="Q296" s="1">
        <f t="shared" si="48"/>
        <v>12.156003189397998</v>
      </c>
      <c r="R296" s="1">
        <v>125.37909999999998</v>
      </c>
      <c r="S296" s="1" t="e">
        <f t="shared" si="49"/>
        <v>#N/A</v>
      </c>
      <c r="T296" s="1" t="e">
        <v>#N/A</v>
      </c>
    </row>
    <row r="297" spans="1:20" x14ac:dyDescent="0.35">
      <c r="A297" s="1">
        <v>500326.5306</v>
      </c>
      <c r="B297" s="1">
        <v>6000000.1349999998</v>
      </c>
      <c r="C297" s="1">
        <v>128.62917733108401</v>
      </c>
      <c r="D297" s="1">
        <f t="shared" si="50"/>
        <v>327.06929401624637</v>
      </c>
      <c r="E297" s="1">
        <v>0.01</v>
      </c>
      <c r="F297" s="1">
        <v>0.05</v>
      </c>
      <c r="G297" s="1">
        <v>0.1</v>
      </c>
      <c r="H297" s="1">
        <v>9.81</v>
      </c>
      <c r="I297" s="1">
        <v>2650</v>
      </c>
      <c r="J297" s="1">
        <v>1000</v>
      </c>
      <c r="K297" s="1">
        <v>1.65</v>
      </c>
      <c r="L297" s="1">
        <v>6.5</v>
      </c>
      <c r="M297" s="1">
        <v>2.5</v>
      </c>
      <c r="N297" s="6">
        <v>9.9999999999999995E-7</v>
      </c>
      <c r="O297" s="1">
        <f t="shared" si="51"/>
        <v>10.241238558797846</v>
      </c>
      <c r="P297" s="1">
        <f t="shared" ref="P297:P313" si="52">SQRT((D298 - D297)^2 + (C298 - C297)^2)</f>
        <v>10.787841757464356</v>
      </c>
      <c r="Q297" s="1">
        <f t="shared" ref="Q297:Q313" si="53">IF(ROW()=265, P297/2, (P297 + P296)/2)</f>
        <v>10.603070578095004</v>
      </c>
      <c r="R297" s="1">
        <v>125.37909999999998</v>
      </c>
      <c r="S297" s="1" t="e">
        <f t="shared" ref="S297:S313" si="54">IF(R297 - C297 &lt; 0, NA(), R297 - C297)</f>
        <v>#N/A</v>
      </c>
      <c r="T297" s="1" t="e">
        <v>#N/A</v>
      </c>
    </row>
    <row r="298" spans="1:20" x14ac:dyDescent="0.35">
      <c r="A298" s="1">
        <v>500336.73469999997</v>
      </c>
      <c r="B298" s="1">
        <v>5999999.3439999996</v>
      </c>
      <c r="C298" s="1">
        <v>132.03919081702699</v>
      </c>
      <c r="D298" s="1">
        <f t="shared" ref="D298:D314" si="55">D297 + SQRT((A298 - A297)^2 + (B298 - B297)^2)</f>
        <v>337.30400641131536</v>
      </c>
      <c r="E298" s="1">
        <v>0.01</v>
      </c>
      <c r="F298" s="1">
        <v>0.05</v>
      </c>
      <c r="G298" s="1">
        <v>0.1</v>
      </c>
      <c r="H298" s="1">
        <v>9.81</v>
      </c>
      <c r="I298" s="1">
        <v>2650</v>
      </c>
      <c r="J298" s="1">
        <v>1000</v>
      </c>
      <c r="K298" s="1">
        <v>1.65</v>
      </c>
      <c r="L298" s="1">
        <v>6.5</v>
      </c>
      <c r="M298" s="1">
        <v>2.5</v>
      </c>
      <c r="N298" s="6">
        <v>9.9999999999999995E-7</v>
      </c>
      <c r="O298" s="1">
        <f t="shared" si="51"/>
        <v>10.233949248828765</v>
      </c>
      <c r="P298" s="1">
        <f t="shared" si="52"/>
        <v>11.755266476054745</v>
      </c>
      <c r="Q298" s="1">
        <f t="shared" si="53"/>
        <v>11.27155411675955</v>
      </c>
      <c r="R298" s="1">
        <v>125.37909999999998</v>
      </c>
      <c r="S298" s="1" t="e">
        <f t="shared" si="54"/>
        <v>#N/A</v>
      </c>
      <c r="T298" s="1" t="e">
        <v>#N/A</v>
      </c>
    </row>
    <row r="299" spans="1:20" x14ac:dyDescent="0.35">
      <c r="A299" s="1">
        <v>500346.9388</v>
      </c>
      <c r="B299" s="1">
        <v>5999998.5729999999</v>
      </c>
      <c r="C299" s="1">
        <v>126.254020801129</v>
      </c>
      <c r="D299" s="1">
        <f t="shared" si="55"/>
        <v>347.5371925139039</v>
      </c>
      <c r="E299" s="1">
        <v>0.01</v>
      </c>
      <c r="F299" s="1">
        <v>0.05</v>
      </c>
      <c r="G299" s="1">
        <v>0.1</v>
      </c>
      <c r="H299" s="1">
        <v>9.81</v>
      </c>
      <c r="I299" s="1">
        <v>2650</v>
      </c>
      <c r="J299" s="1">
        <v>1000</v>
      </c>
      <c r="K299" s="1">
        <v>1.65</v>
      </c>
      <c r="L299" s="1">
        <v>6.5</v>
      </c>
      <c r="M299" s="1">
        <v>2.5</v>
      </c>
      <c r="N299" s="6">
        <v>9.9999999999999995E-7</v>
      </c>
      <c r="O299" s="1">
        <f t="shared" si="51"/>
        <v>10.232552707337419</v>
      </c>
      <c r="P299" s="1">
        <f t="shared" si="52"/>
        <v>11.350607222214496</v>
      </c>
      <c r="Q299" s="1">
        <f t="shared" si="53"/>
        <v>11.552936849134621</v>
      </c>
      <c r="R299" s="1">
        <v>125.37909999999998</v>
      </c>
      <c r="S299" s="1" t="e">
        <f t="shared" si="54"/>
        <v>#N/A</v>
      </c>
      <c r="T299" s="1" t="e">
        <v>#N/A</v>
      </c>
    </row>
    <row r="300" spans="1:20" x14ac:dyDescent="0.35">
      <c r="A300" s="1">
        <v>500357.14289999998</v>
      </c>
      <c r="B300" s="1">
        <v>5999999.3269999996</v>
      </c>
      <c r="C300" s="1">
        <v>131.167686591956</v>
      </c>
      <c r="D300" s="1">
        <f t="shared" si="55"/>
        <v>357.76911182599019</v>
      </c>
      <c r="E300" s="1">
        <v>0.01</v>
      </c>
      <c r="F300" s="1">
        <v>0.05</v>
      </c>
      <c r="G300" s="1">
        <v>0.1</v>
      </c>
      <c r="H300" s="1">
        <v>9.81</v>
      </c>
      <c r="I300" s="1">
        <v>2650</v>
      </c>
      <c r="J300" s="1">
        <v>1000</v>
      </c>
      <c r="K300" s="1">
        <v>1.65</v>
      </c>
      <c r="L300" s="1">
        <v>6.5</v>
      </c>
      <c r="M300" s="1">
        <v>2.5</v>
      </c>
      <c r="N300" s="6">
        <v>9.9999999999999995E-7</v>
      </c>
      <c r="O300" s="1">
        <f t="shared" si="51"/>
        <v>10.223838765829584</v>
      </c>
      <c r="P300" s="1">
        <f t="shared" si="52"/>
        <v>10.479732415606993</v>
      </c>
      <c r="Q300" s="1">
        <f t="shared" si="53"/>
        <v>10.915169818910744</v>
      </c>
      <c r="R300" s="1">
        <v>125.37909999999998</v>
      </c>
      <c r="S300" s="1" t="e">
        <f t="shared" si="54"/>
        <v>#N/A</v>
      </c>
      <c r="T300" s="1" t="e">
        <v>#N/A</v>
      </c>
    </row>
    <row r="301" spans="1:20" x14ac:dyDescent="0.35">
      <c r="A301" s="1">
        <v>500367.3469</v>
      </c>
      <c r="B301" s="1">
        <v>5999999.8169999998</v>
      </c>
      <c r="C301" s="1">
        <v>128.83036429882799</v>
      </c>
      <c r="D301" s="1">
        <f t="shared" si="55"/>
        <v>367.98487004556307</v>
      </c>
      <c r="E301" s="1">
        <v>0.01</v>
      </c>
      <c r="F301" s="1">
        <v>0.05</v>
      </c>
      <c r="G301" s="1">
        <v>0.1</v>
      </c>
      <c r="H301" s="1">
        <v>9.81</v>
      </c>
      <c r="I301" s="1">
        <v>2650</v>
      </c>
      <c r="J301" s="1">
        <v>1000</v>
      </c>
      <c r="K301" s="1">
        <v>1.65</v>
      </c>
      <c r="L301" s="1">
        <v>6.5</v>
      </c>
      <c r="M301" s="1">
        <v>2.5</v>
      </c>
      <c r="N301" s="6">
        <v>9.9999999999999995E-7</v>
      </c>
      <c r="O301" s="1">
        <f t="shared" si="51"/>
        <v>10.224509856901079</v>
      </c>
      <c r="P301" s="1">
        <f t="shared" si="52"/>
        <v>10.91645406051112</v>
      </c>
      <c r="Q301" s="1">
        <f t="shared" si="53"/>
        <v>10.698093238059055</v>
      </c>
      <c r="R301" s="1">
        <v>125.37909999999998</v>
      </c>
      <c r="S301" s="1" t="e">
        <f t="shared" si="54"/>
        <v>#N/A</v>
      </c>
      <c r="T301" s="1" t="e">
        <v>#N/A</v>
      </c>
    </row>
    <row r="302" spans="1:20" x14ac:dyDescent="0.35">
      <c r="A302" s="1">
        <v>500377.55099999998</v>
      </c>
      <c r="B302" s="1">
        <v>5999999.0449999999</v>
      </c>
      <c r="C302" s="1">
        <v>125.029137069896</v>
      </c>
      <c r="D302" s="1">
        <f t="shared" si="55"/>
        <v>378.21813153979235</v>
      </c>
      <c r="E302" s="1">
        <v>0.01</v>
      </c>
      <c r="F302" s="1">
        <v>0.05</v>
      </c>
      <c r="G302" s="1">
        <v>0.1</v>
      </c>
      <c r="H302" s="1">
        <v>9.81</v>
      </c>
      <c r="I302" s="1">
        <v>2650</v>
      </c>
      <c r="J302" s="1">
        <v>1000</v>
      </c>
      <c r="K302" s="1">
        <v>1.65</v>
      </c>
      <c r="L302" s="1">
        <v>6.5</v>
      </c>
      <c r="M302" s="1">
        <v>2.5</v>
      </c>
      <c r="N302" s="6">
        <v>9.9999999999999995E-7</v>
      </c>
      <c r="O302" s="1">
        <f t="shared" si="51"/>
        <v>10.221049857319429</v>
      </c>
      <c r="P302" s="1">
        <f t="shared" si="52"/>
        <v>10.237547645163266</v>
      </c>
      <c r="Q302" s="1">
        <f t="shared" si="53"/>
        <v>10.577000852837193</v>
      </c>
      <c r="R302" s="1">
        <v>125.37909999999998</v>
      </c>
      <c r="S302" s="1">
        <f t="shared" si="54"/>
        <v>0.3499629301039846</v>
      </c>
      <c r="T302" s="1">
        <v>0.3499629301039846</v>
      </c>
    </row>
    <row r="303" spans="1:20" x14ac:dyDescent="0.35">
      <c r="A303" s="1">
        <v>500387.75510000001</v>
      </c>
      <c r="B303" s="1">
        <v>5999999.3559999997</v>
      </c>
      <c r="C303" s="1">
        <v>125.795298917349</v>
      </c>
      <c r="D303" s="1">
        <f t="shared" si="55"/>
        <v>388.42696976020193</v>
      </c>
      <c r="E303" s="1">
        <v>0.01</v>
      </c>
      <c r="F303" s="1">
        <v>0.05</v>
      </c>
      <c r="G303" s="1">
        <v>0.1</v>
      </c>
      <c r="H303" s="1">
        <v>9.81</v>
      </c>
      <c r="I303" s="1">
        <v>2650</v>
      </c>
      <c r="J303" s="1">
        <v>1000</v>
      </c>
      <c r="K303" s="1">
        <v>1.65</v>
      </c>
      <c r="L303" s="1">
        <v>6.5</v>
      </c>
      <c r="M303" s="1">
        <v>2.5</v>
      </c>
      <c r="N303" s="6">
        <v>9.9999999999999995E-7</v>
      </c>
      <c r="O303" s="1">
        <f t="shared" si="51"/>
        <v>10.226672955179509</v>
      </c>
      <c r="P303" s="1">
        <f t="shared" si="52"/>
        <v>14.006911426674414</v>
      </c>
      <c r="Q303" s="1">
        <f t="shared" si="53"/>
        <v>12.122229535918841</v>
      </c>
      <c r="R303" s="1">
        <v>125.37909999999998</v>
      </c>
      <c r="S303" s="1" t="e">
        <f t="shared" si="54"/>
        <v>#N/A</v>
      </c>
      <c r="T303" s="1" t="e">
        <v>#N/A</v>
      </c>
    </row>
    <row r="304" spans="1:20" x14ac:dyDescent="0.35">
      <c r="A304" s="1">
        <v>500397.95919999998</v>
      </c>
      <c r="B304" s="1">
        <v>5999998.4469999997</v>
      </c>
      <c r="C304" s="1">
        <v>135.347452072804</v>
      </c>
      <c r="D304" s="1">
        <f t="shared" si="55"/>
        <v>398.67147745015137</v>
      </c>
      <c r="E304" s="1">
        <v>0.01</v>
      </c>
      <c r="F304" s="1">
        <v>0.05</v>
      </c>
      <c r="G304" s="1">
        <v>0.1</v>
      </c>
      <c r="H304" s="1">
        <v>9.81</v>
      </c>
      <c r="I304" s="1">
        <v>2650</v>
      </c>
      <c r="J304" s="1">
        <v>1000</v>
      </c>
      <c r="K304" s="1">
        <v>1.65</v>
      </c>
      <c r="L304" s="1">
        <v>6.5</v>
      </c>
      <c r="M304" s="1">
        <v>2.5</v>
      </c>
      <c r="N304" s="6">
        <v>9.9999999999999995E-7</v>
      </c>
      <c r="O304" s="1">
        <f t="shared" si="51"/>
        <v>10.22650836474881</v>
      </c>
      <c r="P304" s="1">
        <f t="shared" si="52"/>
        <v>12.538849639326756</v>
      </c>
      <c r="Q304" s="1">
        <f t="shared" si="53"/>
        <v>13.272880533000585</v>
      </c>
      <c r="R304" s="1">
        <v>125.37909999999998</v>
      </c>
      <c r="S304" s="1" t="e">
        <f t="shared" si="54"/>
        <v>#N/A</v>
      </c>
      <c r="T304" s="1" t="e">
        <v>#N/A</v>
      </c>
    </row>
    <row r="305" spans="1:57" x14ac:dyDescent="0.35">
      <c r="A305" s="1">
        <v>500408.16330000001</v>
      </c>
      <c r="B305" s="1">
        <v>5999998.1469999999</v>
      </c>
      <c r="C305" s="1">
        <v>128.06671766842501</v>
      </c>
      <c r="D305" s="1">
        <f t="shared" si="55"/>
        <v>408.87998648969955</v>
      </c>
      <c r="E305" s="1">
        <v>0.01</v>
      </c>
      <c r="F305" s="1">
        <v>0.05</v>
      </c>
      <c r="G305" s="1">
        <v>0.1</v>
      </c>
      <c r="H305" s="1">
        <v>9.81</v>
      </c>
      <c r="I305" s="1">
        <v>2650</v>
      </c>
      <c r="J305" s="1">
        <v>1000</v>
      </c>
      <c r="K305" s="1">
        <v>1.65</v>
      </c>
      <c r="L305" s="1">
        <v>6.5</v>
      </c>
      <c r="M305" s="1">
        <v>2.5</v>
      </c>
      <c r="N305" s="6">
        <v>9.9999999999999995E-7</v>
      </c>
      <c r="O305" s="1">
        <f t="shared" si="51"/>
        <v>10.217670819070179</v>
      </c>
      <c r="P305" s="1">
        <f t="shared" si="52"/>
        <v>11.126667604014996</v>
      </c>
      <c r="Q305" s="1">
        <f t="shared" si="53"/>
        <v>11.832758621670877</v>
      </c>
      <c r="R305" s="1">
        <v>125.37909999999998</v>
      </c>
      <c r="S305" s="1" t="e">
        <f t="shared" si="54"/>
        <v>#N/A</v>
      </c>
      <c r="T305" s="1" t="e">
        <v>#N/A</v>
      </c>
    </row>
    <row r="306" spans="1:57" x14ac:dyDescent="0.35">
      <c r="A306" s="1">
        <v>500418.36729999998</v>
      </c>
      <c r="B306" s="1">
        <v>5999997.4639999997</v>
      </c>
      <c r="C306" s="1">
        <v>132.450166877736</v>
      </c>
      <c r="D306" s="1">
        <f t="shared" si="55"/>
        <v>419.10681908829173</v>
      </c>
      <c r="E306" s="1">
        <v>0.01</v>
      </c>
      <c r="F306" s="1">
        <v>0.05</v>
      </c>
      <c r="G306" s="1">
        <v>0.1</v>
      </c>
      <c r="H306" s="1">
        <v>9.81</v>
      </c>
      <c r="I306" s="1">
        <v>2650</v>
      </c>
      <c r="J306" s="1">
        <v>1000</v>
      </c>
      <c r="K306" s="1">
        <v>1.65</v>
      </c>
      <c r="L306" s="1">
        <v>6.5</v>
      </c>
      <c r="M306" s="1">
        <v>2.5</v>
      </c>
      <c r="N306" s="6">
        <v>9.9999999999999995E-7</v>
      </c>
      <c r="O306" s="1">
        <f t="shared" si="51"/>
        <v>10.219153288461655</v>
      </c>
      <c r="P306" s="1">
        <f t="shared" si="52"/>
        <v>12.259823035582844</v>
      </c>
      <c r="Q306" s="1">
        <f t="shared" si="53"/>
        <v>11.693245319798919</v>
      </c>
      <c r="R306" s="1">
        <v>125.37909999999998</v>
      </c>
      <c r="S306" s="1" t="e">
        <f t="shared" si="54"/>
        <v>#N/A</v>
      </c>
      <c r="T306" s="1" t="e">
        <v>#N/A</v>
      </c>
    </row>
    <row r="307" spans="1:57" x14ac:dyDescent="0.35">
      <c r="A307" s="1">
        <v>500428.57140000002</v>
      </c>
      <c r="B307" s="1">
        <v>5999997.0760000004</v>
      </c>
      <c r="C307" s="1">
        <v>139.234638858198</v>
      </c>
      <c r="D307" s="1">
        <f t="shared" si="55"/>
        <v>429.31829306662286</v>
      </c>
      <c r="E307" s="1">
        <v>0.01</v>
      </c>
      <c r="F307" s="1">
        <v>0.05</v>
      </c>
      <c r="G307" s="1">
        <v>0.1</v>
      </c>
      <c r="H307" s="1">
        <v>9.81</v>
      </c>
      <c r="I307" s="1">
        <v>2650</v>
      </c>
      <c r="J307" s="1">
        <v>1000</v>
      </c>
      <c r="K307" s="1">
        <v>1.65</v>
      </c>
      <c r="L307" s="1">
        <v>6.5</v>
      </c>
      <c r="M307" s="1">
        <v>2.5</v>
      </c>
      <c r="N307" s="6">
        <v>9.9999999999999995E-7</v>
      </c>
      <c r="O307" s="1">
        <f t="shared" si="51"/>
        <v>10.213570502749036</v>
      </c>
      <c r="P307" s="1">
        <f t="shared" si="52"/>
        <v>10.221862151517284</v>
      </c>
      <c r="Q307" s="1">
        <f t="shared" si="53"/>
        <v>11.240842593550063</v>
      </c>
      <c r="R307" s="1">
        <v>125.37909999999998</v>
      </c>
      <c r="S307" s="1" t="e">
        <f t="shared" si="54"/>
        <v>#N/A</v>
      </c>
      <c r="T307" s="1" t="e">
        <v>#N/A</v>
      </c>
    </row>
    <row r="308" spans="1:57" x14ac:dyDescent="0.35">
      <c r="A308" s="1">
        <v>500438.77549999999</v>
      </c>
      <c r="B308" s="1">
        <v>5999996.5899999999</v>
      </c>
      <c r="C308" s="1">
        <v>139.590466112179</v>
      </c>
      <c r="D308" s="1">
        <f t="shared" si="55"/>
        <v>439.5339600937898</v>
      </c>
      <c r="E308" s="1">
        <v>0.01</v>
      </c>
      <c r="F308" s="1">
        <v>0.05</v>
      </c>
      <c r="G308" s="1">
        <v>0.1</v>
      </c>
      <c r="H308" s="1">
        <v>9.81</v>
      </c>
      <c r="I308" s="1">
        <v>2650</v>
      </c>
      <c r="J308" s="1">
        <v>1000</v>
      </c>
      <c r="K308" s="1">
        <v>1.65</v>
      </c>
      <c r="L308" s="1">
        <v>6.5</v>
      </c>
      <c r="M308" s="1">
        <v>2.5</v>
      </c>
      <c r="N308" s="6">
        <v>9.9999999999999995E-7</v>
      </c>
      <c r="O308" s="1">
        <f t="shared" si="51"/>
        <v>10.227678867958247</v>
      </c>
      <c r="P308" s="1">
        <f t="shared" si="52"/>
        <v>10.247073843648518</v>
      </c>
      <c r="Q308" s="1">
        <f t="shared" si="53"/>
        <v>10.2344679975829</v>
      </c>
      <c r="R308" s="1">
        <v>125.37909999999998</v>
      </c>
      <c r="S308" s="1" t="e">
        <f t="shared" si="54"/>
        <v>#N/A</v>
      </c>
      <c r="T308" s="1" t="e">
        <v>#N/A</v>
      </c>
    </row>
    <row r="309" spans="1:57" x14ac:dyDescent="0.35">
      <c r="A309" s="1">
        <v>500448.97960000002</v>
      </c>
      <c r="B309" s="1">
        <v>5999995.7369999997</v>
      </c>
      <c r="C309" s="1">
        <v>139.20154896633201</v>
      </c>
      <c r="D309" s="1">
        <f t="shared" si="55"/>
        <v>449.77365080253935</v>
      </c>
      <c r="E309" s="1">
        <v>0.01</v>
      </c>
      <c r="F309" s="1">
        <v>0.05</v>
      </c>
      <c r="G309" s="1">
        <v>0.1</v>
      </c>
      <c r="H309" s="1">
        <v>9.81</v>
      </c>
      <c r="I309" s="1">
        <v>2650</v>
      </c>
      <c r="J309" s="1">
        <v>1000</v>
      </c>
      <c r="K309" s="1">
        <v>1.65</v>
      </c>
      <c r="L309" s="1">
        <v>6.5</v>
      </c>
      <c r="M309" s="1">
        <v>2.5</v>
      </c>
      <c r="N309" s="6">
        <v>9.9999999999999995E-7</v>
      </c>
      <c r="O309" s="1">
        <f t="shared" si="51"/>
        <v>10.226507982984828</v>
      </c>
      <c r="P309" s="1">
        <f t="shared" si="52"/>
        <v>10.216402783069102</v>
      </c>
      <c r="Q309" s="1">
        <f t="shared" si="53"/>
        <v>10.231738313358811</v>
      </c>
      <c r="R309" s="1">
        <v>125.37909999999998</v>
      </c>
      <c r="S309" s="1" t="e">
        <f t="shared" si="54"/>
        <v>#N/A</v>
      </c>
      <c r="T309" s="1" t="e">
        <v>#N/A</v>
      </c>
    </row>
    <row r="310" spans="1:57" x14ac:dyDescent="0.35">
      <c r="A310" s="1">
        <v>500459.18369999999</v>
      </c>
      <c r="B310" s="1">
        <v>5999996.1710000001</v>
      </c>
      <c r="C310" s="1">
        <v>138.95080404388699</v>
      </c>
      <c r="D310" s="1">
        <f t="shared" si="55"/>
        <v>459.98697605975946</v>
      </c>
      <c r="E310" s="1">
        <v>0.01</v>
      </c>
      <c r="F310" s="1">
        <v>0.05</v>
      </c>
      <c r="G310" s="1">
        <v>0.1</v>
      </c>
      <c r="H310" s="1">
        <v>9.81</v>
      </c>
      <c r="I310" s="1">
        <v>2650</v>
      </c>
      <c r="J310" s="1">
        <v>1000</v>
      </c>
      <c r="K310" s="1">
        <v>1.65</v>
      </c>
      <c r="L310" s="1">
        <v>6.5</v>
      </c>
      <c r="M310" s="1">
        <v>2.5</v>
      </c>
      <c r="N310" s="6">
        <v>9.9999999999999995E-7</v>
      </c>
      <c r="O310" s="1">
        <f t="shared" si="51"/>
        <v>10.228563101333435</v>
      </c>
      <c r="P310" s="1">
        <f t="shared" si="52"/>
        <v>10.24381622597874</v>
      </c>
      <c r="Q310" s="1">
        <f t="shared" si="53"/>
        <v>10.23010950452392</v>
      </c>
      <c r="R310" s="1">
        <v>125.37909999999998</v>
      </c>
      <c r="S310" s="1" t="e">
        <f t="shared" si="54"/>
        <v>#N/A</v>
      </c>
      <c r="T310" s="1" t="e">
        <v>#N/A</v>
      </c>
    </row>
    <row r="311" spans="1:57" x14ac:dyDescent="0.35">
      <c r="A311" s="1">
        <v>500469.38780000003</v>
      </c>
      <c r="B311" s="1">
        <v>5999997.0719999997</v>
      </c>
      <c r="C311" s="1">
        <v>138.933110494517</v>
      </c>
      <c r="D311" s="1">
        <f t="shared" si="55"/>
        <v>470.23077700520622</v>
      </c>
      <c r="E311" s="1">
        <v>0.01</v>
      </c>
      <c r="F311" s="1">
        <v>0.05</v>
      </c>
      <c r="G311" s="1">
        <v>0.1</v>
      </c>
      <c r="H311" s="1">
        <v>9.81</v>
      </c>
      <c r="I311" s="1">
        <v>2650</v>
      </c>
      <c r="J311" s="1">
        <v>1000</v>
      </c>
      <c r="K311" s="1">
        <v>1.65</v>
      </c>
      <c r="L311" s="1">
        <v>6.5</v>
      </c>
      <c r="M311" s="1">
        <v>2.5</v>
      </c>
      <c r="N311" s="6">
        <v>9.9999999999999995E-7</v>
      </c>
      <c r="O311" s="1">
        <f t="shared" si="51"/>
        <v>10.235585469869676</v>
      </c>
      <c r="P311" s="1">
        <f t="shared" si="52"/>
        <v>14.038699271405504</v>
      </c>
      <c r="Q311" s="1">
        <f t="shared" si="53"/>
        <v>12.141257748692123</v>
      </c>
      <c r="R311" s="1">
        <v>125.37909999999998</v>
      </c>
      <c r="S311" s="1" t="e">
        <f t="shared" si="54"/>
        <v>#N/A</v>
      </c>
      <c r="T311" s="1" t="e">
        <v>#N/A</v>
      </c>
    </row>
    <row r="312" spans="1:57" x14ac:dyDescent="0.35">
      <c r="A312" s="1">
        <v>500479.59179999999</v>
      </c>
      <c r="B312" s="1">
        <v>5999997.7630000003</v>
      </c>
      <c r="C312" s="1">
        <v>148.55007364474301</v>
      </c>
      <c r="D312" s="1">
        <f t="shared" si="55"/>
        <v>480.45814699949881</v>
      </c>
      <c r="E312" s="1">
        <v>0.01</v>
      </c>
      <c r="F312" s="1">
        <v>0.05</v>
      </c>
      <c r="G312" s="1">
        <v>0.1</v>
      </c>
      <c r="H312" s="1">
        <v>9.81</v>
      </c>
      <c r="I312" s="1">
        <v>2650</v>
      </c>
      <c r="J312" s="1">
        <v>1000</v>
      </c>
      <c r="K312" s="1">
        <v>1.65</v>
      </c>
      <c r="L312" s="1">
        <v>6.5</v>
      </c>
      <c r="M312" s="1">
        <v>2.5</v>
      </c>
      <c r="N312" s="6">
        <v>9.9999999999999995E-7</v>
      </c>
      <c r="O312" s="1">
        <f t="shared" si="51"/>
        <v>10.217030880251457</v>
      </c>
      <c r="P312" s="1">
        <f t="shared" si="52"/>
        <v>10.496604105828091</v>
      </c>
      <c r="Q312" s="1">
        <f t="shared" si="53"/>
        <v>12.267651688616798</v>
      </c>
      <c r="R312" s="1">
        <v>125.37909999999998</v>
      </c>
      <c r="S312" s="1" t="e">
        <f t="shared" si="54"/>
        <v>#N/A</v>
      </c>
      <c r="T312" s="1" t="e">
        <v>#N/A</v>
      </c>
    </row>
    <row r="313" spans="1:57" x14ac:dyDescent="0.35">
      <c r="A313" s="1">
        <v>500489.79590000003</v>
      </c>
      <c r="B313" s="1">
        <v>5999997.9929999998</v>
      </c>
      <c r="C313" s="1">
        <v>146.10014692256101</v>
      </c>
      <c r="D313" s="1">
        <f t="shared" si="55"/>
        <v>490.66483876570913</v>
      </c>
      <c r="E313" s="1">
        <v>0.01</v>
      </c>
      <c r="F313" s="1">
        <v>0.05</v>
      </c>
      <c r="G313" s="1">
        <v>0.1</v>
      </c>
      <c r="H313" s="1">
        <v>9.81</v>
      </c>
      <c r="I313" s="1">
        <v>2650</v>
      </c>
      <c r="J313" s="1">
        <v>1000</v>
      </c>
      <c r="K313" s="1">
        <v>1.65</v>
      </c>
      <c r="L313" s="1">
        <v>6.5</v>
      </c>
      <c r="M313" s="1">
        <v>2.5</v>
      </c>
      <c r="N313" s="6">
        <v>9.9999999999999995E-7</v>
      </c>
      <c r="O313" s="1">
        <f t="shared" si="51"/>
        <v>10.209902888805345</v>
      </c>
      <c r="P313" s="1">
        <f t="shared" si="52"/>
        <v>10.652346301971106</v>
      </c>
      <c r="Q313" s="1">
        <f t="shared" si="53"/>
        <v>10.574475203899599</v>
      </c>
      <c r="R313" s="1">
        <v>125.37909999999998</v>
      </c>
      <c r="S313" s="1" t="e">
        <f t="shared" si="54"/>
        <v>#N/A</v>
      </c>
      <c r="T313" s="1" t="e">
        <v>#N/A</v>
      </c>
    </row>
    <row r="314" spans="1:57" x14ac:dyDescent="0.35">
      <c r="A314" s="1">
        <v>500500</v>
      </c>
      <c r="B314" s="1">
        <v>5999998.4220000003</v>
      </c>
      <c r="C314" s="1">
        <v>149.127486336511</v>
      </c>
      <c r="D314" s="1">
        <f t="shared" si="55"/>
        <v>500.8779527771095</v>
      </c>
      <c r="E314" s="1">
        <v>0.01</v>
      </c>
      <c r="F314" s="1">
        <v>0.05</v>
      </c>
      <c r="G314" s="1">
        <v>0.1</v>
      </c>
      <c r="H314" s="1">
        <v>9.81</v>
      </c>
      <c r="I314" s="1">
        <v>2650</v>
      </c>
      <c r="J314" s="1">
        <v>1000</v>
      </c>
      <c r="K314" s="1">
        <v>1.65</v>
      </c>
      <c r="L314" s="1">
        <v>6.5</v>
      </c>
      <c r="M314" s="1">
        <v>2.5</v>
      </c>
      <c r="N314" s="6">
        <v>9.9999999999999995E-7</v>
      </c>
      <c r="O314" s="1">
        <f xml:space="preserve"> (D314 - D313) / 2</f>
        <v>5.1065570057001821</v>
      </c>
    </row>
    <row r="316" spans="1:57" x14ac:dyDescent="0.35">
      <c r="A316" s="1" t="s">
        <v>0</v>
      </c>
      <c r="B316" s="1" t="s">
        <v>1</v>
      </c>
      <c r="C316" s="1" t="s">
        <v>2</v>
      </c>
      <c r="D316" s="1" t="s">
        <v>18</v>
      </c>
      <c r="E316" s="1" t="s">
        <v>67</v>
      </c>
      <c r="F316" s="1" t="s">
        <v>66</v>
      </c>
      <c r="G316" s="1" t="s">
        <v>65</v>
      </c>
      <c r="H316" s="1" t="s">
        <v>64</v>
      </c>
      <c r="I316" s="1" t="s">
        <v>63</v>
      </c>
      <c r="J316" s="1" t="s">
        <v>62</v>
      </c>
      <c r="K316" s="1" t="s">
        <v>61</v>
      </c>
      <c r="L316" s="1" t="s">
        <v>60</v>
      </c>
      <c r="M316" s="1" t="s">
        <v>59</v>
      </c>
      <c r="N316" s="1" t="s">
        <v>58</v>
      </c>
      <c r="O316" s="1" t="s">
        <v>57</v>
      </c>
      <c r="P316" s="1" t="s">
        <v>56</v>
      </c>
      <c r="Q316" s="1" t="s">
        <v>55</v>
      </c>
      <c r="R316" s="1" t="s">
        <v>54</v>
      </c>
      <c r="S316" s="1" t="s">
        <v>16</v>
      </c>
      <c r="T316" s="1" t="s">
        <v>53</v>
      </c>
      <c r="U316" s="10" t="s">
        <v>52</v>
      </c>
      <c r="V316" s="10" t="s">
        <v>51</v>
      </c>
      <c r="W316" s="10" t="s">
        <v>50</v>
      </c>
      <c r="X316" s="10" t="s">
        <v>49</v>
      </c>
      <c r="Y316" s="1" t="s">
        <v>48</v>
      </c>
      <c r="Z316" s="1" t="s">
        <v>47</v>
      </c>
      <c r="AA316" s="1" t="s">
        <v>46</v>
      </c>
      <c r="AB316" s="1" t="s">
        <v>45</v>
      </c>
      <c r="AC316" s="1" t="s">
        <v>44</v>
      </c>
      <c r="AD316" s="1" t="s">
        <v>43</v>
      </c>
      <c r="AE316" s="1" t="s">
        <v>42</v>
      </c>
      <c r="AF316" s="1" t="s">
        <v>41</v>
      </c>
      <c r="AG316" s="1" t="s">
        <v>40</v>
      </c>
      <c r="AH316" s="1" t="s">
        <v>39</v>
      </c>
      <c r="AI316" s="1" t="s">
        <v>38</v>
      </c>
      <c r="AJ316" s="1" t="s">
        <v>37</v>
      </c>
      <c r="AK316" s="1" t="s">
        <v>36</v>
      </c>
      <c r="AL316" s="1" t="s">
        <v>35</v>
      </c>
      <c r="AM316" s="1" t="s">
        <v>34</v>
      </c>
      <c r="AN316" s="1" t="s">
        <v>34</v>
      </c>
      <c r="AO316" s="7" t="s">
        <v>33</v>
      </c>
      <c r="AP316" s="7" t="s">
        <v>32</v>
      </c>
      <c r="AQ316" s="7" t="s">
        <v>31</v>
      </c>
      <c r="AR316" s="7" t="s">
        <v>30</v>
      </c>
      <c r="AS316" s="7" t="s">
        <v>29</v>
      </c>
      <c r="AT316" s="7" t="s">
        <v>28</v>
      </c>
      <c r="AU316" s="7" t="s">
        <v>27</v>
      </c>
      <c r="AV316" s="7" t="s">
        <v>27</v>
      </c>
      <c r="AW316" s="1" t="s">
        <v>26</v>
      </c>
      <c r="AX316" s="1" t="s">
        <v>25</v>
      </c>
      <c r="AY316" s="1" t="s">
        <v>24</v>
      </c>
      <c r="AZ316" s="1" t="s">
        <v>23</v>
      </c>
      <c r="BA316" s="1" t="s">
        <v>22</v>
      </c>
      <c r="BB316" s="1" t="s">
        <v>21</v>
      </c>
      <c r="BC316" s="1" t="s">
        <v>20</v>
      </c>
      <c r="BD316" s="1" t="s">
        <v>20</v>
      </c>
      <c r="BE316" s="1" t="s">
        <v>19</v>
      </c>
    </row>
    <row r="317" spans="1:57" x14ac:dyDescent="0.35">
      <c r="A317" s="1">
        <v>500000</v>
      </c>
      <c r="B317" s="1">
        <v>5999999.0959999999</v>
      </c>
      <c r="C317" s="1">
        <v>146.95665459614199</v>
      </c>
      <c r="D317" s="1">
        <v>0</v>
      </c>
      <c r="E317" s="1">
        <v>0.01</v>
      </c>
      <c r="F317" s="1">
        <v>0.05</v>
      </c>
      <c r="G317" s="1">
        <v>0.1</v>
      </c>
      <c r="H317" s="1">
        <v>9.81</v>
      </c>
      <c r="I317" s="1">
        <v>2650</v>
      </c>
      <c r="J317" s="1">
        <v>1000</v>
      </c>
      <c r="K317" s="1">
        <v>1.65</v>
      </c>
      <c r="L317" s="1">
        <v>6.5</v>
      </c>
      <c r="M317" s="1">
        <v>2.5</v>
      </c>
      <c r="N317" s="6">
        <v>9.9999999999999995E-7</v>
      </c>
      <c r="O317" s="1">
        <f xml:space="preserve"> (D318 - D317) / 2</f>
        <v>5.1061868798967165</v>
      </c>
      <c r="P317" s="1">
        <f t="shared" ref="P317:P348" si="56">SQRT((D318 - D317)^2 + (C318 - C317)^2)</f>
        <v>12.612081347143071</v>
      </c>
      <c r="Q317" s="1">
        <f t="shared" ref="Q317:Q348" si="57">IF(ROW()=317, P317/2, (P317 + P316)/2)</f>
        <v>6.3060406735715357</v>
      </c>
      <c r="R317" s="1">
        <v>125.42909999999998</v>
      </c>
      <c r="S317" s="1" t="e">
        <f t="shared" ref="S317:S348" si="58">IF(R317 - C317 &lt; 0, NA(), R317 - C317)</f>
        <v>#N/A</v>
      </c>
      <c r="T317" s="1" t="e">
        <v>#N/A</v>
      </c>
      <c r="U317" s="10" cm="1">
        <f t="array" ref="U317">SUMPRODUCT(IF(ISNA(T317:T366), 0, T317:T366), IF(ISNA(O317:O366), 0, O317:O366))</f>
        <v>4.0880410496723636</v>
      </c>
      <c r="V317" s="10">
        <f>SUMIF(S317:S366, "&gt;0", O317:O366)</f>
        <v>10.221049857319429</v>
      </c>
      <c r="W317" s="10">
        <f>SUMIF(S317:S366, "&gt;0", Q317:Q366)</f>
        <v>10.577000852837193</v>
      </c>
      <c r="X317" s="10">
        <f>U317/W317</f>
        <v>0.38650285714742855</v>
      </c>
      <c r="Y317" s="1">
        <f xml:space="preserve"> (6.5 * 2.5 * (X317 / G317)) / SQRT(6.5^2 + 2.5^2 * (X317 / G317)^(5/3))</f>
        <v>6.226632310518835</v>
      </c>
      <c r="Z317" s="1">
        <f>Y317*SQRT(X317*H317*E317)</f>
        <v>1.2124506730952991</v>
      </c>
      <c r="AA317" s="1">
        <f>J317*H317*X317*E317</f>
        <v>37.915930286162741</v>
      </c>
      <c r="AB317" s="1">
        <f>(AA317 / (9.81 * 1000 *1.65 * F317))</f>
        <v>4.6848831169385277E-2</v>
      </c>
      <c r="AC317" s="9">
        <f xml:space="preserve"> F317 * (K317 * H317 / (N317)^2)^(1/3)</f>
        <v>1264.7974700106745</v>
      </c>
      <c r="AD317" s="1">
        <f xml:space="preserve"> 0.3 / (1 + 1.2 * AC317) + 0.055 * (1 - EXP(-0.02 * AC317))</f>
        <v>5.5197529957883754E-2</v>
      </c>
      <c r="AE317" s="1">
        <f>IF(AC317 &lt;= 4, 0.24 * AC317^-1, IF(AC317 &gt; 4, IF(AC317 &lt;= 10, 0.14 * AC317^-0.64, IF(AC317 &lt;= 20, 0.04 * AC317^-0.1, IF(AC317 &lt;= 150, 0.013 * AC317^0.29, 0.056)))))</f>
        <v>5.6000000000000001E-2</v>
      </c>
      <c r="AF317" s="1">
        <f>AB317/AD317-1</f>
        <v>-0.15125131133347114</v>
      </c>
      <c r="AG317" s="1">
        <f xml:space="preserve"> 2.45 * SQRT(AD317) / (K317 + 1)^0.4</f>
        <v>0.38978718496890047</v>
      </c>
      <c r="AH317" s="1">
        <f>SQRT(2/3 + 36 / AC317^3) - SQRT(36 / AC317^3)</f>
        <v>0.81636320289979147</v>
      </c>
      <c r="AI317" s="1">
        <f>AA317* Z317 / (J317 * (H317* K317 * F317)^(3/2))</f>
        <v>6.3139532382805702E-2</v>
      </c>
      <c r="AJ317" s="1">
        <f>AD317* K317 * F317 / E317</f>
        <v>0.45537962215254096</v>
      </c>
      <c r="AK317" s="1">
        <f>Y317 * AD317^(3/2)</f>
        <v>8.0748169632557071E-2</v>
      </c>
      <c r="AL317" s="1">
        <f>(0.92 - 0.25 * SQRT(AK317 / AI317))^9</f>
        <v>1.7337083392059222E-2</v>
      </c>
      <c r="AM317" s="1">
        <v>5.2759527000000001E-2</v>
      </c>
      <c r="AN317" s="1">
        <v>4.7434165E-2</v>
      </c>
      <c r="AO317" s="7">
        <f>IF(AB317 &gt; 0.047, 8 * (AB317 - 0.047)^(3/2), 0)</f>
        <v>0</v>
      </c>
      <c r="AP317" s="7">
        <f>IF(AB317&gt; 0.047, 4 * (AB317 - 0.047)^(3/2), 0)</f>
        <v>0</v>
      </c>
      <c r="AQ317" s="7" t="e">
        <f xml:space="preserve"> (0.053 / AC317^(0.3)) * ((AB317 / AE317) - 1)^2.1</f>
        <v>#NUM!</v>
      </c>
      <c r="AR317" s="7">
        <f xml:space="preserve"> IF(AB317 &gt; AD317, 0.635 * AF317 * SQRT(AB317) * (1 - (1 / (AG317*AF317)) * LOG(1 + AF317*AG317)), 0)</f>
        <v>0</v>
      </c>
      <c r="AS317" s="8">
        <f>IF(AB317&gt;= 0.19, 40 * AH317 * AB317^3, (AH317 * EXP(-0.391 / AB317)) / 0.465)</f>
        <v>4.1668888855136499E-4</v>
      </c>
      <c r="AT317" s="7">
        <f>AL317* AI317</f>
        <v>1.0946553382563261E-3</v>
      </c>
      <c r="AU317" s="7">
        <f>14 * AB317^2.5 / (1 + (AM317/AB317)^4)</f>
        <v>2.549716080346869E-3</v>
      </c>
      <c r="AV317" s="7">
        <f>14*AB317^2.5/(1+(AN317/AB317)^4)</f>
        <v>3.2428438771034563E-3</v>
      </c>
      <c r="AW317" s="1">
        <f>AO317*SQRT(1.65*9.81*F317^3)</f>
        <v>0</v>
      </c>
      <c r="AX317" s="1">
        <f>AP317*SQRT(1.65*9.81*F317^3)</f>
        <v>0</v>
      </c>
      <c r="AY317" s="1" t="e">
        <f>AQ317*SQRT(1.65*9.81*F317^3)</f>
        <v>#NUM!</v>
      </c>
      <c r="AZ317" s="1">
        <f>AR317*SQRT(1.65*9.81*F317^3)</f>
        <v>0</v>
      </c>
      <c r="BA317" s="1">
        <f>AS317*SQRT(1.65*9.81*F317^3)</f>
        <v>1.8743185439781559E-5</v>
      </c>
      <c r="BB317" s="1">
        <f>AT317*SQRT(1.65*9.81*F317^3)</f>
        <v>4.9238961156162363E-5</v>
      </c>
      <c r="BC317" s="1">
        <f>AU317*SQRT(1.65*9.81*G317^3)</f>
        <v>3.2439062819527659E-4</v>
      </c>
      <c r="BD317" s="1">
        <f>AV317*SQRT(1.65*9.81*G317^3)</f>
        <v>4.1257462763841815E-4</v>
      </c>
      <c r="BE317" s="1">
        <f>U317*Z317</f>
        <v>4.9565481223164705</v>
      </c>
    </row>
    <row r="318" spans="1:57" x14ac:dyDescent="0.35">
      <c r="A318" s="1">
        <v>500010.20409999997</v>
      </c>
      <c r="B318" s="1">
        <v>5999998.6849999996</v>
      </c>
      <c r="C318" s="1">
        <v>154.35746658519</v>
      </c>
      <c r="D318" s="1">
        <f t="shared" ref="D318:D349" si="59">D317 + SQRT((A318 - A317)^2 + (B318 - B317)^2)</f>
        <v>10.212373759793433</v>
      </c>
      <c r="E318" s="1">
        <v>0.01</v>
      </c>
      <c r="F318" s="1">
        <v>0.05</v>
      </c>
      <c r="G318" s="1">
        <v>0.1</v>
      </c>
      <c r="H318" s="1">
        <v>9.81</v>
      </c>
      <c r="I318" s="1">
        <v>2650</v>
      </c>
      <c r="J318" s="1">
        <v>1000</v>
      </c>
      <c r="K318" s="1">
        <v>1.65</v>
      </c>
      <c r="L318" s="1">
        <v>6.5</v>
      </c>
      <c r="M318" s="1">
        <v>2.5</v>
      </c>
      <c r="N318" s="6">
        <v>9.9999999999999995E-7</v>
      </c>
      <c r="O318" s="1">
        <f t="shared" ref="O318:O365" si="60" xml:space="preserve"> (D319 - D318 + D318 - D317) / 2</f>
        <v>10.212934886473896</v>
      </c>
      <c r="P318" s="1">
        <f t="shared" si="56"/>
        <v>10.748393624242958</v>
      </c>
      <c r="Q318" s="1">
        <f t="shared" si="57"/>
        <v>11.680237485693015</v>
      </c>
      <c r="R318" s="1">
        <v>125.42909999999998</v>
      </c>
      <c r="S318" s="1" t="e">
        <f t="shared" si="58"/>
        <v>#N/A</v>
      </c>
      <c r="T318" s="1" t="e">
        <v>#N/A</v>
      </c>
      <c r="AO318" s="7"/>
      <c r="AP318" s="7"/>
      <c r="AQ318" s="7"/>
      <c r="AR318" s="7"/>
      <c r="AS318" s="7"/>
      <c r="AT318" s="7"/>
      <c r="AU318" s="7"/>
      <c r="AV318" s="7"/>
    </row>
    <row r="319" spans="1:57" x14ac:dyDescent="0.35">
      <c r="A319" s="1">
        <v>500020.40820000001</v>
      </c>
      <c r="B319" s="1">
        <v>5999999.1229999997</v>
      </c>
      <c r="C319" s="1">
        <v>151.008964727501</v>
      </c>
      <c r="D319" s="1">
        <f t="shared" si="59"/>
        <v>20.425869772947792</v>
      </c>
      <c r="E319" s="1">
        <v>0.01</v>
      </c>
      <c r="F319" s="1">
        <v>0.05</v>
      </c>
      <c r="G319" s="1">
        <v>0.1</v>
      </c>
      <c r="H319" s="1">
        <v>9.81</v>
      </c>
      <c r="I319" s="1">
        <v>2650</v>
      </c>
      <c r="J319" s="1">
        <v>1000</v>
      </c>
      <c r="K319" s="1">
        <v>1.65</v>
      </c>
      <c r="L319" s="1">
        <v>6.5</v>
      </c>
      <c r="M319" s="1">
        <v>2.5</v>
      </c>
      <c r="N319" s="6">
        <v>9.9999999999999995E-7</v>
      </c>
      <c r="O319" s="1">
        <f t="shared" si="60"/>
        <v>10.21125621009096</v>
      </c>
      <c r="P319" s="1">
        <f t="shared" si="56"/>
        <v>13.985433799960637</v>
      </c>
      <c r="Q319" s="1">
        <f t="shared" si="57"/>
        <v>12.366913712101798</v>
      </c>
      <c r="R319" s="1">
        <v>125.42909999999998</v>
      </c>
      <c r="S319" s="1" t="e">
        <f t="shared" si="58"/>
        <v>#N/A</v>
      </c>
      <c r="T319" s="1" t="e">
        <v>#N/A</v>
      </c>
    </row>
    <row r="320" spans="1:57" x14ac:dyDescent="0.35">
      <c r="A320" s="1">
        <v>500030.61219999997</v>
      </c>
      <c r="B320" s="1">
        <v>5999998.8030000003</v>
      </c>
      <c r="C320" s="1">
        <v>160.567643641144</v>
      </c>
      <c r="D320" s="1">
        <f t="shared" si="59"/>
        <v>30.634886179975354</v>
      </c>
      <c r="E320" s="1">
        <v>0.01</v>
      </c>
      <c r="F320" s="1">
        <v>0.05</v>
      </c>
      <c r="G320" s="1">
        <v>0.1</v>
      </c>
      <c r="H320" s="1">
        <v>9.81</v>
      </c>
      <c r="I320" s="1">
        <v>2650</v>
      </c>
      <c r="J320" s="1">
        <v>1000</v>
      </c>
      <c r="K320" s="1">
        <v>1.65</v>
      </c>
      <c r="L320" s="1">
        <v>6.5</v>
      </c>
      <c r="M320" s="1">
        <v>2.5</v>
      </c>
      <c r="N320" s="6">
        <v>9.9999999999999995E-7</v>
      </c>
      <c r="O320" s="1">
        <f t="shared" si="60"/>
        <v>10.214935822867286</v>
      </c>
      <c r="P320" s="1">
        <f t="shared" si="56"/>
        <v>10.224042445454263</v>
      </c>
      <c r="Q320" s="1">
        <f t="shared" si="57"/>
        <v>12.104738122707449</v>
      </c>
      <c r="R320" s="1">
        <v>125.42909999999998</v>
      </c>
      <c r="S320" s="1" t="e">
        <f t="shared" si="58"/>
        <v>#N/A</v>
      </c>
      <c r="T320" s="1" t="e">
        <v>#N/A</v>
      </c>
    </row>
    <row r="321" spans="1:20" x14ac:dyDescent="0.35">
      <c r="A321" s="1">
        <v>500040.81630000001</v>
      </c>
      <c r="B321" s="1">
        <v>5999998.2180000003</v>
      </c>
      <c r="C321" s="1">
        <v>160.82291235416201</v>
      </c>
      <c r="D321" s="1">
        <f t="shared" si="59"/>
        <v>40.855741418682364</v>
      </c>
      <c r="E321" s="1">
        <v>0.01</v>
      </c>
      <c r="F321" s="1">
        <v>0.05</v>
      </c>
      <c r="G321" s="1">
        <v>0.1</v>
      </c>
      <c r="H321" s="1">
        <v>9.81</v>
      </c>
      <c r="I321" s="1">
        <v>2650</v>
      </c>
      <c r="J321" s="1">
        <v>1000</v>
      </c>
      <c r="K321" s="1">
        <v>1.65</v>
      </c>
      <c r="L321" s="1">
        <v>6.5</v>
      </c>
      <c r="M321" s="1">
        <v>2.5</v>
      </c>
      <c r="N321" s="6">
        <v>9.9999999999999995E-7</v>
      </c>
      <c r="O321" s="1">
        <f t="shared" si="60"/>
        <v>10.231243785008825</v>
      </c>
      <c r="P321" s="1">
        <f t="shared" si="56"/>
        <v>10.333484931908488</v>
      </c>
      <c r="Q321" s="1">
        <f t="shared" si="57"/>
        <v>10.278763688681376</v>
      </c>
      <c r="R321" s="1">
        <v>125.42909999999998</v>
      </c>
      <c r="S321" s="1" t="e">
        <f t="shared" si="58"/>
        <v>#N/A</v>
      </c>
      <c r="T321" s="1" t="e">
        <v>#N/A</v>
      </c>
    </row>
    <row r="322" spans="1:20" x14ac:dyDescent="0.35">
      <c r="A322" s="1">
        <v>500051.02039999998</v>
      </c>
      <c r="B322" s="1">
        <v>5999997.3420000002</v>
      </c>
      <c r="C322" s="1">
        <v>159.448184007094</v>
      </c>
      <c r="D322" s="1">
        <f t="shared" si="59"/>
        <v>51.097373749993004</v>
      </c>
      <c r="E322" s="1">
        <v>0.01</v>
      </c>
      <c r="F322" s="1">
        <v>0.05</v>
      </c>
      <c r="G322" s="1">
        <v>0.1</v>
      </c>
      <c r="H322" s="1">
        <v>9.81</v>
      </c>
      <c r="I322" s="1">
        <v>2650</v>
      </c>
      <c r="J322" s="1">
        <v>1000</v>
      </c>
      <c r="K322" s="1">
        <v>1.65</v>
      </c>
      <c r="L322" s="1">
        <v>6.5</v>
      </c>
      <c r="M322" s="1">
        <v>2.5</v>
      </c>
      <c r="N322" s="6">
        <v>9.9999999999999995E-7</v>
      </c>
      <c r="O322" s="1">
        <f t="shared" si="60"/>
        <v>10.22297614478725</v>
      </c>
      <c r="P322" s="1">
        <f t="shared" si="56"/>
        <v>11.164078602095582</v>
      </c>
      <c r="Q322" s="1">
        <f t="shared" si="57"/>
        <v>10.748781767002036</v>
      </c>
      <c r="R322" s="1">
        <v>125.42909999999998</v>
      </c>
      <c r="S322" s="1" t="e">
        <f t="shared" si="58"/>
        <v>#N/A</v>
      </c>
      <c r="T322" s="1" t="e">
        <v>#N/A</v>
      </c>
    </row>
    <row r="323" spans="1:20" x14ac:dyDescent="0.35">
      <c r="A323" s="1">
        <v>500061.22450000001</v>
      </c>
      <c r="B323" s="1">
        <v>5999997.2750000004</v>
      </c>
      <c r="C323" s="1">
        <v>163.976815723534</v>
      </c>
      <c r="D323" s="1">
        <f t="shared" si="59"/>
        <v>61.301693708256863</v>
      </c>
      <c r="E323" s="1">
        <v>0.01</v>
      </c>
      <c r="F323" s="1">
        <v>0.05</v>
      </c>
      <c r="G323" s="1">
        <v>0.1</v>
      </c>
      <c r="H323" s="1">
        <v>9.81</v>
      </c>
      <c r="I323" s="1">
        <v>2650</v>
      </c>
      <c r="J323" s="1">
        <v>1000</v>
      </c>
      <c r="K323" s="1">
        <v>1.65</v>
      </c>
      <c r="L323" s="1">
        <v>6.5</v>
      </c>
      <c r="M323" s="1">
        <v>2.5</v>
      </c>
      <c r="N323" s="6">
        <v>9.9999999999999995E-7</v>
      </c>
      <c r="O323" s="1">
        <f t="shared" si="60"/>
        <v>10.209391538632293</v>
      </c>
      <c r="P323" s="1">
        <f t="shared" si="56"/>
        <v>11.034750060361873</v>
      </c>
      <c r="Q323" s="1">
        <f t="shared" si="57"/>
        <v>11.099414331228727</v>
      </c>
      <c r="R323" s="1">
        <v>125.42909999999998</v>
      </c>
      <c r="S323" s="1" t="e">
        <f t="shared" si="58"/>
        <v>#N/A</v>
      </c>
      <c r="T323" s="1" t="e">
        <v>#N/A</v>
      </c>
    </row>
    <row r="324" spans="1:20" x14ac:dyDescent="0.35">
      <c r="A324" s="1">
        <v>500071.42859999998</v>
      </c>
      <c r="B324" s="1">
        <v>5999996.8150000004</v>
      </c>
      <c r="C324" s="1">
        <v>168.15179501512699</v>
      </c>
      <c r="D324" s="1">
        <f t="shared" si="59"/>
        <v>71.516156827257589</v>
      </c>
      <c r="E324" s="1">
        <v>0.01</v>
      </c>
      <c r="F324" s="1">
        <v>0.05</v>
      </c>
      <c r="G324" s="1">
        <v>0.1</v>
      </c>
      <c r="H324" s="1">
        <v>9.81</v>
      </c>
      <c r="I324" s="1">
        <v>2650</v>
      </c>
      <c r="J324" s="1">
        <v>1000</v>
      </c>
      <c r="K324" s="1">
        <v>1.65</v>
      </c>
      <c r="L324" s="1">
        <v>6.5</v>
      </c>
      <c r="M324" s="1">
        <v>2.5</v>
      </c>
      <c r="N324" s="6">
        <v>9.9999999999999995E-7</v>
      </c>
      <c r="O324" s="1">
        <f t="shared" si="60"/>
        <v>10.229976351370027</v>
      </c>
      <c r="P324" s="1">
        <f t="shared" si="56"/>
        <v>11.687505241745082</v>
      </c>
      <c r="Q324" s="1">
        <f t="shared" si="57"/>
        <v>11.361127651053478</v>
      </c>
      <c r="R324" s="1">
        <v>125.42909999999998</v>
      </c>
      <c r="S324" s="1" t="e">
        <f t="shared" si="58"/>
        <v>#N/A</v>
      </c>
      <c r="T324" s="1" t="e">
        <v>#N/A</v>
      </c>
    </row>
    <row r="325" spans="1:20" x14ac:dyDescent="0.35">
      <c r="A325" s="1">
        <v>500081.63270000002</v>
      </c>
      <c r="B325" s="1">
        <v>5999997.7350000003</v>
      </c>
      <c r="C325" s="1">
        <v>162.52794206849799</v>
      </c>
      <c r="D325" s="1">
        <f t="shared" si="59"/>
        <v>81.761646410996917</v>
      </c>
      <c r="E325" s="1">
        <v>0.01</v>
      </c>
      <c r="F325" s="1">
        <v>0.05</v>
      </c>
      <c r="G325" s="1">
        <v>0.1</v>
      </c>
      <c r="H325" s="1">
        <v>9.81</v>
      </c>
      <c r="I325" s="1">
        <v>2650</v>
      </c>
      <c r="J325" s="1">
        <v>1000</v>
      </c>
      <c r="K325" s="1">
        <v>1.65</v>
      </c>
      <c r="L325" s="1">
        <v>6.5</v>
      </c>
      <c r="M325" s="1">
        <v>2.5</v>
      </c>
      <c r="N325" s="6">
        <v>9.9999999999999995E-7</v>
      </c>
      <c r="O325" s="1">
        <f t="shared" si="60"/>
        <v>10.224765396477437</v>
      </c>
      <c r="P325" s="1">
        <f t="shared" si="56"/>
        <v>11.652977208096294</v>
      </c>
      <c r="Q325" s="1">
        <f t="shared" si="57"/>
        <v>11.670241224920687</v>
      </c>
      <c r="R325" s="1">
        <v>125.42909999999998</v>
      </c>
      <c r="S325" s="1" t="e">
        <f t="shared" si="58"/>
        <v>#N/A</v>
      </c>
      <c r="T325" s="1" t="e">
        <v>#N/A</v>
      </c>
    </row>
    <row r="326" spans="1:20" x14ac:dyDescent="0.35">
      <c r="A326" s="1">
        <v>500091.83669999999</v>
      </c>
      <c r="B326" s="1">
        <v>5999997.7640000004</v>
      </c>
      <c r="C326" s="1">
        <v>168.15550111421601</v>
      </c>
      <c r="D326" s="1">
        <f t="shared" si="59"/>
        <v>91.965687620212464</v>
      </c>
      <c r="E326" s="1">
        <v>0.01</v>
      </c>
      <c r="F326" s="1">
        <v>0.05</v>
      </c>
      <c r="G326" s="1">
        <v>0.1</v>
      </c>
      <c r="H326" s="1">
        <v>9.81</v>
      </c>
      <c r="I326" s="1">
        <v>2650</v>
      </c>
      <c r="J326" s="1">
        <v>1000</v>
      </c>
      <c r="K326" s="1">
        <v>1.65</v>
      </c>
      <c r="L326" s="1">
        <v>6.5</v>
      </c>
      <c r="M326" s="1">
        <v>2.5</v>
      </c>
      <c r="N326" s="6">
        <v>9.9999999999999995E-7</v>
      </c>
      <c r="O326" s="1">
        <f t="shared" si="60"/>
        <v>10.204607223431253</v>
      </c>
      <c r="P326" s="1">
        <f t="shared" si="56"/>
        <v>10.499401533865951</v>
      </c>
      <c r="Q326" s="1">
        <f t="shared" si="57"/>
        <v>11.076189370981123</v>
      </c>
      <c r="R326" s="1">
        <v>125.42909999999998</v>
      </c>
      <c r="S326" s="1" t="e">
        <f t="shared" si="58"/>
        <v>#N/A</v>
      </c>
      <c r="T326" s="1" t="e">
        <v>#N/A</v>
      </c>
    </row>
    <row r="327" spans="1:20" x14ac:dyDescent="0.35">
      <c r="A327" s="1">
        <v>500102.04080000002</v>
      </c>
      <c r="B327" s="1">
        <v>5999997.9119999995</v>
      </c>
      <c r="C327" s="1">
        <v>170.62367285843499</v>
      </c>
      <c r="D327" s="1">
        <f t="shared" si="59"/>
        <v>102.17086085785942</v>
      </c>
      <c r="E327" s="1">
        <v>0.01</v>
      </c>
      <c r="F327" s="1">
        <v>0.05</v>
      </c>
      <c r="G327" s="1">
        <v>0.1</v>
      </c>
      <c r="H327" s="1">
        <v>9.81</v>
      </c>
      <c r="I327" s="1">
        <v>2650</v>
      </c>
      <c r="J327" s="1">
        <v>1000</v>
      </c>
      <c r="K327" s="1">
        <v>1.65</v>
      </c>
      <c r="L327" s="1">
        <v>6.5</v>
      </c>
      <c r="M327" s="1">
        <v>2.5</v>
      </c>
      <c r="N327" s="6">
        <v>9.9999999999999995E-7</v>
      </c>
      <c r="O327" s="1">
        <f t="shared" si="60"/>
        <v>10.21006882166494</v>
      </c>
      <c r="P327" s="1">
        <f t="shared" si="56"/>
        <v>10.948230205101877</v>
      </c>
      <c r="Q327" s="1">
        <f t="shared" si="57"/>
        <v>10.723815869483914</v>
      </c>
      <c r="R327" s="1">
        <v>125.42909999999998</v>
      </c>
      <c r="S327" s="1" t="e">
        <f t="shared" si="58"/>
        <v>#N/A</v>
      </c>
      <c r="T327" s="1" t="e">
        <v>#N/A</v>
      </c>
    </row>
    <row r="328" spans="1:20" x14ac:dyDescent="0.35">
      <c r="A328" s="1">
        <v>500112.24489999999</v>
      </c>
      <c r="B328" s="1">
        <v>5999997.4409999996</v>
      </c>
      <c r="C328" s="1">
        <v>174.56299346160199</v>
      </c>
      <c r="D328" s="1">
        <f t="shared" si="59"/>
        <v>112.38582526354234</v>
      </c>
      <c r="E328" s="1">
        <v>0.01</v>
      </c>
      <c r="F328" s="1">
        <v>0.05</v>
      </c>
      <c r="G328" s="1">
        <v>0.1</v>
      </c>
      <c r="H328" s="1">
        <v>9.81</v>
      </c>
      <c r="I328" s="1">
        <v>2650</v>
      </c>
      <c r="J328" s="1">
        <v>1000</v>
      </c>
      <c r="K328" s="1">
        <v>1.65</v>
      </c>
      <c r="L328" s="1">
        <v>6.5</v>
      </c>
      <c r="M328" s="1">
        <v>2.5</v>
      </c>
      <c r="N328" s="6">
        <v>9.9999999999999995E-7</v>
      </c>
      <c r="O328" s="1">
        <f t="shared" si="60"/>
        <v>10.211692861963954</v>
      </c>
      <c r="P328" s="1">
        <f t="shared" si="56"/>
        <v>13.530011313683339</v>
      </c>
      <c r="Q328" s="1">
        <f t="shared" si="57"/>
        <v>12.239120759392609</v>
      </c>
      <c r="R328" s="1">
        <v>125.42909999999998</v>
      </c>
      <c r="S328" s="1" t="e">
        <f t="shared" si="58"/>
        <v>#N/A</v>
      </c>
      <c r="T328" s="1" t="e">
        <v>#N/A</v>
      </c>
    </row>
    <row r="329" spans="1:20" x14ac:dyDescent="0.35">
      <c r="A329" s="1">
        <v>500122.44900000002</v>
      </c>
      <c r="B329" s="1">
        <v>5999997.7379999999</v>
      </c>
      <c r="C329" s="1">
        <v>165.68327835707299</v>
      </c>
      <c r="D329" s="1">
        <f t="shared" si="59"/>
        <v>122.59424658178733</v>
      </c>
      <c r="E329" s="1">
        <v>0.01</v>
      </c>
      <c r="F329" s="1">
        <v>0.05</v>
      </c>
      <c r="G329" s="1">
        <v>0.1</v>
      </c>
      <c r="H329" s="1">
        <v>9.81</v>
      </c>
      <c r="I329" s="1">
        <v>2650</v>
      </c>
      <c r="J329" s="1">
        <v>1000</v>
      </c>
      <c r="K329" s="1">
        <v>1.65</v>
      </c>
      <c r="L329" s="1">
        <v>6.5</v>
      </c>
      <c r="M329" s="1">
        <v>2.5</v>
      </c>
      <c r="N329" s="6">
        <v>9.9999999999999995E-7</v>
      </c>
      <c r="O329" s="1">
        <f t="shared" si="60"/>
        <v>10.212455607463802</v>
      </c>
      <c r="P329" s="1">
        <f t="shared" si="56"/>
        <v>12.917030195420445</v>
      </c>
      <c r="Q329" s="1">
        <f t="shared" si="57"/>
        <v>13.223520754551892</v>
      </c>
      <c r="R329" s="1">
        <v>125.42909999999998</v>
      </c>
      <c r="S329" s="1" t="e">
        <f t="shared" si="58"/>
        <v>#N/A</v>
      </c>
      <c r="T329" s="1" t="e">
        <v>#N/A</v>
      </c>
    </row>
    <row r="330" spans="1:20" x14ac:dyDescent="0.35">
      <c r="A330" s="1">
        <v>500132.6531</v>
      </c>
      <c r="B330" s="1">
        <v>5999997.2350000003</v>
      </c>
      <c r="C330" s="1">
        <v>173.58726489934301</v>
      </c>
      <c r="D330" s="1">
        <f t="shared" si="59"/>
        <v>132.81073647846995</v>
      </c>
      <c r="E330" s="1">
        <v>0.01</v>
      </c>
      <c r="F330" s="1">
        <v>0.05</v>
      </c>
      <c r="G330" s="1">
        <v>0.1</v>
      </c>
      <c r="H330" s="1">
        <v>9.81</v>
      </c>
      <c r="I330" s="1">
        <v>2650</v>
      </c>
      <c r="J330" s="1">
        <v>1000</v>
      </c>
      <c r="K330" s="1">
        <v>1.65</v>
      </c>
      <c r="L330" s="1">
        <v>6.5</v>
      </c>
      <c r="M330" s="1">
        <v>2.5</v>
      </c>
      <c r="N330" s="6">
        <v>9.9999999999999995E-7</v>
      </c>
      <c r="O330" s="1">
        <f t="shared" si="60"/>
        <v>10.225512676353247</v>
      </c>
      <c r="P330" s="1">
        <f t="shared" si="56"/>
        <v>13.492945518552009</v>
      </c>
      <c r="Q330" s="1">
        <f t="shared" si="57"/>
        <v>13.204987856986227</v>
      </c>
      <c r="R330" s="1">
        <v>125.42909999999998</v>
      </c>
      <c r="S330" s="1" t="e">
        <f t="shared" si="58"/>
        <v>#N/A</v>
      </c>
      <c r="T330" s="1" t="e">
        <v>#N/A</v>
      </c>
    </row>
    <row r="331" spans="1:20" x14ac:dyDescent="0.35">
      <c r="A331" s="1">
        <v>500142.85710000002</v>
      </c>
      <c r="B331" s="1">
        <v>5999996.4450000003</v>
      </c>
      <c r="C331" s="1">
        <v>164.79443470844299</v>
      </c>
      <c r="D331" s="1">
        <f t="shared" si="59"/>
        <v>143.04527193449383</v>
      </c>
      <c r="E331" s="1">
        <v>0.01</v>
      </c>
      <c r="F331" s="1">
        <v>0.05</v>
      </c>
      <c r="G331" s="1">
        <v>0.1</v>
      </c>
      <c r="H331" s="1">
        <v>9.81</v>
      </c>
      <c r="I331" s="1">
        <v>2650</v>
      </c>
      <c r="J331" s="1">
        <v>1000</v>
      </c>
      <c r="K331" s="1">
        <v>1.65</v>
      </c>
      <c r="L331" s="1">
        <v>6.5</v>
      </c>
      <c r="M331" s="1">
        <v>2.5</v>
      </c>
      <c r="N331" s="6">
        <v>9.9999999999999995E-7</v>
      </c>
      <c r="O331" s="1">
        <f t="shared" si="60"/>
        <v>10.219577641411078</v>
      </c>
      <c r="P331" s="1">
        <f t="shared" si="56"/>
        <v>10.57052865269438</v>
      </c>
      <c r="Q331" s="1">
        <f t="shared" si="57"/>
        <v>12.031737085623195</v>
      </c>
      <c r="R331" s="1">
        <v>125.42909999999998</v>
      </c>
      <c r="S331" s="1" t="e">
        <f t="shared" si="58"/>
        <v>#N/A</v>
      </c>
      <c r="T331" s="1" t="e">
        <v>#N/A</v>
      </c>
    </row>
    <row r="332" spans="1:20" x14ac:dyDescent="0.35">
      <c r="A332" s="1">
        <v>500153.0612</v>
      </c>
      <c r="B332" s="1">
        <v>5999996.5480000004</v>
      </c>
      <c r="C332" s="1">
        <v>167.55157275140499</v>
      </c>
      <c r="D332" s="1">
        <f t="shared" si="59"/>
        <v>153.2498917612921</v>
      </c>
      <c r="E332" s="1">
        <v>0.01</v>
      </c>
      <c r="F332" s="1">
        <v>0.05</v>
      </c>
      <c r="G332" s="1">
        <v>0.1</v>
      </c>
      <c r="H332" s="1">
        <v>9.81</v>
      </c>
      <c r="I332" s="1">
        <v>2650</v>
      </c>
      <c r="J332" s="1">
        <v>1000</v>
      </c>
      <c r="K332" s="1">
        <v>1.65</v>
      </c>
      <c r="L332" s="1">
        <v>6.5</v>
      </c>
      <c r="M332" s="1">
        <v>2.5</v>
      </c>
      <c r="N332" s="6">
        <v>9.9999999999999995E-7</v>
      </c>
      <c r="O332" s="1">
        <f t="shared" si="60"/>
        <v>10.204940921281036</v>
      </c>
      <c r="P332" s="1">
        <f t="shared" si="56"/>
        <v>10.682627590463349</v>
      </c>
      <c r="Q332" s="1">
        <f t="shared" si="57"/>
        <v>10.626578121578865</v>
      </c>
      <c r="R332" s="1">
        <v>125.42909999999998</v>
      </c>
      <c r="S332" s="1" t="e">
        <f t="shared" si="58"/>
        <v>#N/A</v>
      </c>
      <c r="T332" s="1" t="e">
        <v>#N/A</v>
      </c>
    </row>
    <row r="333" spans="1:20" x14ac:dyDescent="0.35">
      <c r="A333" s="1">
        <v>500163.26530000003</v>
      </c>
      <c r="B333" s="1">
        <v>5999996.7019999996</v>
      </c>
      <c r="C333" s="1">
        <v>164.39385847900201</v>
      </c>
      <c r="D333" s="1">
        <f t="shared" si="59"/>
        <v>163.4551537770559</v>
      </c>
      <c r="E333" s="1">
        <v>0.01</v>
      </c>
      <c r="F333" s="1">
        <v>0.05</v>
      </c>
      <c r="G333" s="1">
        <v>0.1</v>
      </c>
      <c r="H333" s="1">
        <v>9.81</v>
      </c>
      <c r="I333" s="1">
        <v>2650</v>
      </c>
      <c r="J333" s="1">
        <v>1000</v>
      </c>
      <c r="K333" s="1">
        <v>1.65</v>
      </c>
      <c r="L333" s="1">
        <v>6.5</v>
      </c>
      <c r="M333" s="1">
        <v>2.5</v>
      </c>
      <c r="N333" s="6">
        <v>9.9999999999999995E-7</v>
      </c>
      <c r="O333" s="1">
        <f t="shared" si="60"/>
        <v>10.213849082106762</v>
      </c>
      <c r="P333" s="1">
        <f t="shared" si="56"/>
        <v>11.026540308620518</v>
      </c>
      <c r="Q333" s="1">
        <f t="shared" si="57"/>
        <v>10.854583949541933</v>
      </c>
      <c r="R333" s="1">
        <v>125.42909999999998</v>
      </c>
      <c r="S333" s="1" t="e">
        <f t="shared" si="58"/>
        <v>#N/A</v>
      </c>
      <c r="T333" s="1" t="e">
        <v>#N/A</v>
      </c>
    </row>
    <row r="334" spans="1:20" x14ac:dyDescent="0.35">
      <c r="A334" s="1">
        <v>500173.4694</v>
      </c>
      <c r="B334" s="1">
        <v>5999996.0899999999</v>
      </c>
      <c r="C334" s="1">
        <v>168.52742719967199</v>
      </c>
      <c r="D334" s="1">
        <f t="shared" si="59"/>
        <v>173.67758992550563</v>
      </c>
      <c r="E334" s="1">
        <v>0.01</v>
      </c>
      <c r="F334" s="1">
        <v>0.05</v>
      </c>
      <c r="G334" s="1">
        <v>0.1</v>
      </c>
      <c r="H334" s="1">
        <v>9.81</v>
      </c>
      <c r="I334" s="1">
        <v>2650</v>
      </c>
      <c r="J334" s="1">
        <v>1000</v>
      </c>
      <c r="K334" s="1">
        <v>1.65</v>
      </c>
      <c r="L334" s="1">
        <v>6.5</v>
      </c>
      <c r="M334" s="1">
        <v>2.5</v>
      </c>
      <c r="N334" s="6">
        <v>9.9999999999999995E-7</v>
      </c>
      <c r="O334" s="1">
        <f t="shared" si="60"/>
        <v>10.214988293625822</v>
      </c>
      <c r="P334" s="1">
        <f t="shared" si="56"/>
        <v>10.632479456336906</v>
      </c>
      <c r="Q334" s="1">
        <f t="shared" si="57"/>
        <v>10.829509882478712</v>
      </c>
      <c r="R334" s="1">
        <v>125.42909999999998</v>
      </c>
      <c r="S334" s="1" t="e">
        <f t="shared" si="58"/>
        <v>#N/A</v>
      </c>
      <c r="T334" s="1" t="e">
        <v>#N/A</v>
      </c>
    </row>
    <row r="335" spans="1:20" x14ac:dyDescent="0.35">
      <c r="A335" s="1">
        <v>500183.67349999998</v>
      </c>
      <c r="B335" s="1">
        <v>5999996.3550000004</v>
      </c>
      <c r="C335" s="1">
        <v>165.55156806663999</v>
      </c>
      <c r="D335" s="1">
        <f t="shared" si="59"/>
        <v>183.88513036430754</v>
      </c>
      <c r="E335" s="1">
        <v>0.01</v>
      </c>
      <c r="F335" s="1">
        <v>0.05</v>
      </c>
      <c r="G335" s="1">
        <v>0.1</v>
      </c>
      <c r="H335" s="1">
        <v>9.81</v>
      </c>
      <c r="I335" s="1">
        <v>2650</v>
      </c>
      <c r="J335" s="1">
        <v>1000</v>
      </c>
      <c r="K335" s="1">
        <v>1.65</v>
      </c>
      <c r="L335" s="1">
        <v>6.5</v>
      </c>
      <c r="M335" s="1">
        <v>2.5</v>
      </c>
      <c r="N335" s="6">
        <v>9.9999999999999995E-7</v>
      </c>
      <c r="O335" s="1">
        <f t="shared" si="60"/>
        <v>10.210285318026777</v>
      </c>
      <c r="P335" s="1">
        <f t="shared" si="56"/>
        <v>10.217153370786205</v>
      </c>
      <c r="Q335" s="1">
        <f t="shared" si="57"/>
        <v>10.424816413561555</v>
      </c>
      <c r="R335" s="1">
        <v>125.42909999999998</v>
      </c>
      <c r="S335" s="1" t="e">
        <f t="shared" si="58"/>
        <v>#N/A</v>
      </c>
      <c r="T335" s="1" t="e">
        <v>#N/A</v>
      </c>
    </row>
    <row r="336" spans="1:20" x14ac:dyDescent="0.35">
      <c r="A336" s="1">
        <v>500193.87760000001</v>
      </c>
      <c r="B336" s="1">
        <v>5999996.7819999997</v>
      </c>
      <c r="C336" s="1">
        <v>165.84180450851801</v>
      </c>
      <c r="D336" s="1">
        <f t="shared" si="59"/>
        <v>194.09816056155918</v>
      </c>
      <c r="E336" s="1">
        <v>0.01</v>
      </c>
      <c r="F336" s="1">
        <v>0.05</v>
      </c>
      <c r="G336" s="1">
        <v>0.1</v>
      </c>
      <c r="H336" s="1">
        <v>9.81</v>
      </c>
      <c r="I336" s="1">
        <v>2650</v>
      </c>
      <c r="J336" s="1">
        <v>1000</v>
      </c>
      <c r="K336" s="1">
        <v>1.65</v>
      </c>
      <c r="L336" s="1">
        <v>6.5</v>
      </c>
      <c r="M336" s="1">
        <v>2.5</v>
      </c>
      <c r="N336" s="6">
        <v>9.9999999999999995E-7</v>
      </c>
      <c r="O336" s="1">
        <f t="shared" si="60"/>
        <v>10.225732250662787</v>
      </c>
      <c r="P336" s="1">
        <f t="shared" si="56"/>
        <v>11.805317568883225</v>
      </c>
      <c r="Q336" s="1">
        <f t="shared" si="57"/>
        <v>11.011235469834716</v>
      </c>
      <c r="R336" s="1">
        <v>125.42909999999998</v>
      </c>
      <c r="S336" s="1" t="e">
        <f t="shared" si="58"/>
        <v>#N/A</v>
      </c>
      <c r="T336" s="1" t="e">
        <v>#N/A</v>
      </c>
    </row>
    <row r="337" spans="1:20" x14ac:dyDescent="0.35">
      <c r="A337" s="1">
        <v>500204.08159999998</v>
      </c>
      <c r="B337" s="1">
        <v>5999995.943</v>
      </c>
      <c r="C337" s="1">
        <v>159.96473160584401</v>
      </c>
      <c r="D337" s="1">
        <f t="shared" si="59"/>
        <v>204.33659486563312</v>
      </c>
      <c r="E337" s="1">
        <v>0.01</v>
      </c>
      <c r="F337" s="1">
        <v>0.05</v>
      </c>
      <c r="G337" s="1">
        <v>0.1</v>
      </c>
      <c r="H337" s="1">
        <v>9.81</v>
      </c>
      <c r="I337" s="1">
        <v>2650</v>
      </c>
      <c r="J337" s="1">
        <v>1000</v>
      </c>
      <c r="K337" s="1">
        <v>1.65</v>
      </c>
      <c r="L337" s="1">
        <v>6.5</v>
      </c>
      <c r="M337" s="1">
        <v>2.5</v>
      </c>
      <c r="N337" s="6">
        <v>9.9999999999999995E-7</v>
      </c>
      <c r="O337" s="1">
        <f t="shared" si="60"/>
        <v>10.222474465035148</v>
      </c>
      <c r="P337" s="1">
        <f t="shared" si="56"/>
        <v>10.510110351296964</v>
      </c>
      <c r="Q337" s="1">
        <f t="shared" si="57"/>
        <v>11.157713960090096</v>
      </c>
      <c r="R337" s="1">
        <v>125.42909999999998</v>
      </c>
      <c r="S337" s="1" t="e">
        <f t="shared" si="58"/>
        <v>#N/A</v>
      </c>
      <c r="T337" s="1" t="e">
        <v>#N/A</v>
      </c>
    </row>
    <row r="338" spans="1:20" x14ac:dyDescent="0.35">
      <c r="A338" s="1">
        <v>500214.28570000001</v>
      </c>
      <c r="B338" s="1">
        <v>5999995.7209999999</v>
      </c>
      <c r="C338" s="1">
        <v>162.47261493362501</v>
      </c>
      <c r="D338" s="1">
        <f t="shared" si="59"/>
        <v>214.54310949162948</v>
      </c>
      <c r="E338" s="1">
        <v>0.01</v>
      </c>
      <c r="F338" s="1">
        <v>0.05</v>
      </c>
      <c r="G338" s="1">
        <v>0.1</v>
      </c>
      <c r="H338" s="1">
        <v>9.81</v>
      </c>
      <c r="I338" s="1">
        <v>2650</v>
      </c>
      <c r="J338" s="1">
        <v>1000</v>
      </c>
      <c r="K338" s="1">
        <v>1.65</v>
      </c>
      <c r="L338" s="1">
        <v>6.5</v>
      </c>
      <c r="M338" s="1">
        <v>2.5</v>
      </c>
      <c r="N338" s="6">
        <v>9.9999999999999995E-7</v>
      </c>
      <c r="O338" s="1">
        <f t="shared" si="60"/>
        <v>10.209668499185454</v>
      </c>
      <c r="P338" s="1">
        <f t="shared" si="56"/>
        <v>13.932835838967597</v>
      </c>
      <c r="Q338" s="1">
        <f t="shared" si="57"/>
        <v>12.22147309513228</v>
      </c>
      <c r="R338" s="1">
        <v>125.42909999999998</v>
      </c>
      <c r="S338" s="1" t="e">
        <f t="shared" si="58"/>
        <v>#N/A</v>
      </c>
      <c r="T338" s="1" t="e">
        <v>#N/A</v>
      </c>
    </row>
    <row r="339" spans="1:20" x14ac:dyDescent="0.35">
      <c r="A339" s="1">
        <v>500224.48979999998</v>
      </c>
      <c r="B339" s="1">
        <v>5999996.1430000002</v>
      </c>
      <c r="C339" s="1">
        <v>152.99515885586101</v>
      </c>
      <c r="D339" s="1">
        <f t="shared" si="59"/>
        <v>224.75593186400403</v>
      </c>
      <c r="E339" s="1">
        <v>0.01</v>
      </c>
      <c r="F339" s="1">
        <v>0.05</v>
      </c>
      <c r="G339" s="1">
        <v>0.1</v>
      </c>
      <c r="H339" s="1">
        <v>9.81</v>
      </c>
      <c r="I339" s="1">
        <v>2650</v>
      </c>
      <c r="J339" s="1">
        <v>1000</v>
      </c>
      <c r="K339" s="1">
        <v>1.65</v>
      </c>
      <c r="L339" s="1">
        <v>6.5</v>
      </c>
      <c r="M339" s="1">
        <v>2.5</v>
      </c>
      <c r="N339" s="6">
        <v>9.9999999999999995E-7</v>
      </c>
      <c r="O339" s="1">
        <f t="shared" si="60"/>
        <v>10.211706300347956</v>
      </c>
      <c r="P339" s="1">
        <f t="shared" si="56"/>
        <v>10.301820481574744</v>
      </c>
      <c r="Q339" s="1">
        <f t="shared" si="57"/>
        <v>12.117328160271171</v>
      </c>
      <c r="R339" s="1">
        <v>125.42909999999998</v>
      </c>
      <c r="S339" s="1" t="e">
        <f t="shared" si="58"/>
        <v>#N/A</v>
      </c>
      <c r="T339" s="1" t="e">
        <v>#N/A</v>
      </c>
    </row>
    <row r="340" spans="1:20" x14ac:dyDescent="0.35">
      <c r="A340" s="1">
        <v>500234.69390000001</v>
      </c>
      <c r="B340" s="1">
        <v>5999996.5070000002</v>
      </c>
      <c r="C340" s="1">
        <v>151.627185016966</v>
      </c>
      <c r="D340" s="1">
        <f t="shared" si="59"/>
        <v>234.96652209232539</v>
      </c>
      <c r="E340" s="1">
        <v>0.01</v>
      </c>
      <c r="F340" s="1">
        <v>0.05</v>
      </c>
      <c r="G340" s="1">
        <v>0.1</v>
      </c>
      <c r="H340" s="1">
        <v>9.81</v>
      </c>
      <c r="I340" s="1">
        <v>2650</v>
      </c>
      <c r="J340" s="1">
        <v>1000</v>
      </c>
      <c r="K340" s="1">
        <v>1.65</v>
      </c>
      <c r="L340" s="1">
        <v>6.5</v>
      </c>
      <c r="M340" s="1">
        <v>2.5</v>
      </c>
      <c r="N340" s="6">
        <v>9.9999999999999995E-7</v>
      </c>
      <c r="O340" s="1">
        <f t="shared" si="60"/>
        <v>10.212172653557417</v>
      </c>
      <c r="P340" s="1">
        <f t="shared" si="56"/>
        <v>11.089044194999135</v>
      </c>
      <c r="Q340" s="1">
        <f t="shared" si="57"/>
        <v>10.695432338286938</v>
      </c>
      <c r="R340" s="1">
        <v>125.42909999999998</v>
      </c>
      <c r="S340" s="1" t="e">
        <f t="shared" si="58"/>
        <v>#N/A</v>
      </c>
      <c r="T340" s="1" t="e">
        <v>#N/A</v>
      </c>
    </row>
    <row r="341" spans="1:20" x14ac:dyDescent="0.35">
      <c r="A341" s="1">
        <v>500244.89799999999</v>
      </c>
      <c r="B341" s="1">
        <v>5999996.9510000004</v>
      </c>
      <c r="C341" s="1">
        <v>155.94529899752101</v>
      </c>
      <c r="D341" s="1">
        <f t="shared" si="59"/>
        <v>245.18027717111886</v>
      </c>
      <c r="E341" s="1">
        <v>0.01</v>
      </c>
      <c r="F341" s="1">
        <v>0.05</v>
      </c>
      <c r="G341" s="1">
        <v>0.1</v>
      </c>
      <c r="H341" s="1">
        <v>9.81</v>
      </c>
      <c r="I341" s="1">
        <v>2650</v>
      </c>
      <c r="J341" s="1">
        <v>1000</v>
      </c>
      <c r="K341" s="1">
        <v>1.65</v>
      </c>
      <c r="L341" s="1">
        <v>6.5</v>
      </c>
      <c r="M341" s="1">
        <v>2.5</v>
      </c>
      <c r="N341" s="6">
        <v>9.9999999999999995E-7</v>
      </c>
      <c r="O341" s="1">
        <f t="shared" si="60"/>
        <v>10.228334363400478</v>
      </c>
      <c r="P341" s="1">
        <f t="shared" si="56"/>
        <v>11.738479864242503</v>
      </c>
      <c r="Q341" s="1">
        <f t="shared" si="57"/>
        <v>11.41376202962082</v>
      </c>
      <c r="R341" s="1">
        <v>125.42909999999998</v>
      </c>
      <c r="S341" s="1" t="e">
        <f t="shared" si="58"/>
        <v>#N/A</v>
      </c>
      <c r="T341" s="1" t="e">
        <v>#N/A</v>
      </c>
    </row>
    <row r="342" spans="1:20" x14ac:dyDescent="0.35">
      <c r="A342" s="1">
        <v>500255.10200000001</v>
      </c>
      <c r="B342" s="1">
        <v>5999997.8430000003</v>
      </c>
      <c r="C342" s="1">
        <v>150.21165883417899</v>
      </c>
      <c r="D342" s="1">
        <f t="shared" si="59"/>
        <v>255.42319081912635</v>
      </c>
      <c r="E342" s="1">
        <v>0.01</v>
      </c>
      <c r="F342" s="1">
        <v>0.05</v>
      </c>
      <c r="G342" s="1">
        <v>0.1</v>
      </c>
      <c r="H342" s="1">
        <v>9.81</v>
      </c>
      <c r="I342" s="1">
        <v>2650</v>
      </c>
      <c r="J342" s="1">
        <v>1000</v>
      </c>
      <c r="K342" s="1">
        <v>1.65</v>
      </c>
      <c r="L342" s="1">
        <v>6.5</v>
      </c>
      <c r="M342" s="1">
        <v>2.5</v>
      </c>
      <c r="N342" s="6">
        <v>9.9999999999999995E-7</v>
      </c>
      <c r="O342" s="1">
        <f t="shared" si="60"/>
        <v>10.228247812702051</v>
      </c>
      <c r="P342" s="1">
        <f t="shared" si="56"/>
        <v>10.415569048554094</v>
      </c>
      <c r="Q342" s="1">
        <f t="shared" si="57"/>
        <v>11.077024456398298</v>
      </c>
      <c r="R342" s="1">
        <v>125.42909999999998</v>
      </c>
      <c r="S342" s="1" t="e">
        <f t="shared" si="58"/>
        <v>#N/A</v>
      </c>
      <c r="T342" s="1" t="e">
        <v>#N/A</v>
      </c>
    </row>
    <row r="343" spans="1:20" x14ac:dyDescent="0.35">
      <c r="A343" s="1">
        <v>500265.30609999999</v>
      </c>
      <c r="B343" s="1">
        <v>5999998.2829999998</v>
      </c>
      <c r="C343" s="1">
        <v>148.17037938339399</v>
      </c>
      <c r="D343" s="1">
        <f t="shared" si="59"/>
        <v>265.63677279652296</v>
      </c>
      <c r="E343" s="1">
        <v>0.01</v>
      </c>
      <c r="F343" s="1">
        <v>0.05</v>
      </c>
      <c r="G343" s="1">
        <v>0.1</v>
      </c>
      <c r="H343" s="1">
        <v>9.81</v>
      </c>
      <c r="I343" s="1">
        <v>2650</v>
      </c>
      <c r="J343" s="1">
        <v>1000</v>
      </c>
      <c r="K343" s="1">
        <v>1.65</v>
      </c>
      <c r="L343" s="1">
        <v>6.5</v>
      </c>
      <c r="M343" s="1">
        <v>2.5</v>
      </c>
      <c r="N343" s="6">
        <v>9.9999999999999995E-7</v>
      </c>
      <c r="O343" s="1">
        <f t="shared" si="60"/>
        <v>10.23198332194535</v>
      </c>
      <c r="P343" s="1">
        <f t="shared" si="56"/>
        <v>10.753746192038282</v>
      </c>
      <c r="Q343" s="1">
        <f t="shared" si="57"/>
        <v>10.584657620296188</v>
      </c>
      <c r="R343" s="1">
        <v>125.42909999999998</v>
      </c>
      <c r="S343" s="1" t="e">
        <f t="shared" si="58"/>
        <v>#N/A</v>
      </c>
      <c r="T343" s="1" t="e">
        <v>#N/A</v>
      </c>
    </row>
    <row r="344" spans="1:20" x14ac:dyDescent="0.35">
      <c r="A344" s="1">
        <v>500275.51020000002</v>
      </c>
      <c r="B344" s="1">
        <v>5999997.3099999996</v>
      </c>
      <c r="C344" s="1">
        <v>144.91881493659599</v>
      </c>
      <c r="D344" s="1">
        <f t="shared" si="59"/>
        <v>275.88715746301705</v>
      </c>
      <c r="E344" s="1">
        <v>0.01</v>
      </c>
      <c r="F344" s="1">
        <v>0.05</v>
      </c>
      <c r="G344" s="1">
        <v>0.1</v>
      </c>
      <c r="H344" s="1">
        <v>9.81</v>
      </c>
      <c r="I344" s="1">
        <v>2650</v>
      </c>
      <c r="J344" s="1">
        <v>1000</v>
      </c>
      <c r="K344" s="1">
        <v>1.65</v>
      </c>
      <c r="L344" s="1">
        <v>6.5</v>
      </c>
      <c r="M344" s="1">
        <v>2.5</v>
      </c>
      <c r="N344" s="6">
        <v>9.9999999999999995E-7</v>
      </c>
      <c r="O344" s="1">
        <f t="shared" si="60"/>
        <v>10.247668609691146</v>
      </c>
      <c r="P344" s="1">
        <f t="shared" si="56"/>
        <v>10.247801935839309</v>
      </c>
      <c r="Q344" s="1">
        <f t="shared" si="57"/>
        <v>10.500774063938795</v>
      </c>
      <c r="R344" s="1">
        <v>125.42909999999998</v>
      </c>
      <c r="S344" s="1" t="e">
        <f t="shared" si="58"/>
        <v>#N/A</v>
      </c>
      <c r="T344" s="1" t="e">
        <v>#N/A</v>
      </c>
    </row>
    <row r="345" spans="1:20" x14ac:dyDescent="0.35">
      <c r="A345" s="1">
        <v>500285.71429999999</v>
      </c>
      <c r="B345" s="1">
        <v>5999998.2240000004</v>
      </c>
      <c r="C345" s="1">
        <v>144.67717117967001</v>
      </c>
      <c r="D345" s="1">
        <f t="shared" si="59"/>
        <v>286.13211001590525</v>
      </c>
      <c r="E345" s="1">
        <v>0.01</v>
      </c>
      <c r="F345" s="1">
        <v>0.05</v>
      </c>
      <c r="G345" s="1">
        <v>0.1</v>
      </c>
      <c r="H345" s="1">
        <v>9.81</v>
      </c>
      <c r="I345" s="1">
        <v>2650</v>
      </c>
      <c r="J345" s="1">
        <v>1000</v>
      </c>
      <c r="K345" s="1">
        <v>1.65</v>
      </c>
      <c r="L345" s="1">
        <v>6.5</v>
      </c>
      <c r="M345" s="1">
        <v>2.5</v>
      </c>
      <c r="N345" s="6">
        <v>9.9999999999999995E-7</v>
      </c>
      <c r="O345" s="1">
        <f t="shared" si="60"/>
        <v>10.245310960713113</v>
      </c>
      <c r="P345" s="1">
        <f t="shared" si="56"/>
        <v>10.773986209295044</v>
      </c>
      <c r="Q345" s="1">
        <f t="shared" si="57"/>
        <v>10.510894072567176</v>
      </c>
      <c r="R345" s="1">
        <v>125.42909999999998</v>
      </c>
      <c r="S345" s="1" t="e">
        <f t="shared" si="58"/>
        <v>#N/A</v>
      </c>
      <c r="T345" s="1" t="e">
        <v>#N/A</v>
      </c>
    </row>
    <row r="346" spans="1:20" x14ac:dyDescent="0.35">
      <c r="A346" s="1">
        <v>500295.91840000002</v>
      </c>
      <c r="B346" s="1">
        <v>5999999.1459999997</v>
      </c>
      <c r="C346" s="1">
        <v>141.344748933213</v>
      </c>
      <c r="D346" s="1">
        <f t="shared" si="59"/>
        <v>296.37777938444327</v>
      </c>
      <c r="E346" s="1">
        <v>0.01</v>
      </c>
      <c r="F346" s="1">
        <v>0.05</v>
      </c>
      <c r="G346" s="1">
        <v>0.1</v>
      </c>
      <c r="H346" s="1">
        <v>9.81</v>
      </c>
      <c r="I346" s="1">
        <v>2650</v>
      </c>
      <c r="J346" s="1">
        <v>1000</v>
      </c>
      <c r="K346" s="1">
        <v>1.65</v>
      </c>
      <c r="L346" s="1">
        <v>6.5</v>
      </c>
      <c r="M346" s="1">
        <v>2.5</v>
      </c>
      <c r="N346" s="6">
        <v>9.9999999999999995E-7</v>
      </c>
      <c r="O346" s="1">
        <f t="shared" si="60"/>
        <v>10.233098302678485</v>
      </c>
      <c r="P346" s="1">
        <f t="shared" si="56"/>
        <v>10.320041754295742</v>
      </c>
      <c r="Q346" s="1">
        <f t="shared" si="57"/>
        <v>10.547013981795393</v>
      </c>
      <c r="R346" s="1">
        <v>125.42909999999998</v>
      </c>
      <c r="S346" s="1" t="e">
        <f t="shared" si="58"/>
        <v>#N/A</v>
      </c>
      <c r="T346" s="1" t="e">
        <v>#N/A</v>
      </c>
    </row>
    <row r="347" spans="1:20" x14ac:dyDescent="0.35">
      <c r="A347" s="1">
        <v>500306.12239999999</v>
      </c>
      <c r="B347" s="1">
        <v>5999998.5650000004</v>
      </c>
      <c r="C347" s="1">
        <v>139.91503399244701</v>
      </c>
      <c r="D347" s="1">
        <f t="shared" si="59"/>
        <v>306.59830662126222</v>
      </c>
      <c r="E347" s="1">
        <v>0.01</v>
      </c>
      <c r="F347" s="1">
        <v>0.05</v>
      </c>
      <c r="G347" s="1">
        <v>0.1</v>
      </c>
      <c r="H347" s="1">
        <v>9.81</v>
      </c>
      <c r="I347" s="1">
        <v>2650</v>
      </c>
      <c r="J347" s="1">
        <v>1000</v>
      </c>
      <c r="K347" s="1">
        <v>1.65</v>
      </c>
      <c r="L347" s="1">
        <v>6.5</v>
      </c>
      <c r="M347" s="1">
        <v>2.5</v>
      </c>
      <c r="N347" s="6">
        <v>9.9999999999999995E-7</v>
      </c>
      <c r="O347" s="1">
        <f t="shared" si="60"/>
        <v>10.221874954638196</v>
      </c>
      <c r="P347" s="1">
        <f t="shared" si="56"/>
        <v>13.893706980070347</v>
      </c>
      <c r="Q347" s="1">
        <f t="shared" si="57"/>
        <v>12.106874367183044</v>
      </c>
      <c r="R347" s="1">
        <v>125.42909999999998</v>
      </c>
      <c r="S347" s="1" t="e">
        <f t="shared" si="58"/>
        <v>#N/A</v>
      </c>
      <c r="T347" s="1" t="e">
        <v>#N/A</v>
      </c>
    </row>
    <row r="348" spans="1:20" x14ac:dyDescent="0.35">
      <c r="A348" s="1">
        <v>500316.32650000002</v>
      </c>
      <c r="B348" s="1">
        <v>5999999.1900000004</v>
      </c>
      <c r="C348" s="1">
        <v>130.506484059678</v>
      </c>
      <c r="D348" s="1">
        <f t="shared" si="59"/>
        <v>316.82152929371966</v>
      </c>
      <c r="E348" s="1">
        <v>0.01</v>
      </c>
      <c r="F348" s="1">
        <v>0.05</v>
      </c>
      <c r="G348" s="1">
        <v>0.1</v>
      </c>
      <c r="H348" s="1">
        <v>9.81</v>
      </c>
      <c r="I348" s="1">
        <v>2650</v>
      </c>
      <c r="J348" s="1">
        <v>1000</v>
      </c>
      <c r="K348" s="1">
        <v>1.65</v>
      </c>
      <c r="L348" s="1">
        <v>6.5</v>
      </c>
      <c r="M348" s="1">
        <v>2.5</v>
      </c>
      <c r="N348" s="6">
        <v>9.9999999999999995E-7</v>
      </c>
      <c r="O348" s="1">
        <f t="shared" si="60"/>
        <v>10.235493697492075</v>
      </c>
      <c r="P348" s="1">
        <f t="shared" si="56"/>
        <v>10.418299398725649</v>
      </c>
      <c r="Q348" s="1">
        <f t="shared" si="57"/>
        <v>12.156003189397998</v>
      </c>
      <c r="R348" s="1">
        <v>125.42909999999998</v>
      </c>
      <c r="S348" s="1" t="e">
        <f t="shared" si="58"/>
        <v>#N/A</v>
      </c>
      <c r="T348" s="1" t="e">
        <v>#N/A</v>
      </c>
    </row>
    <row r="349" spans="1:20" x14ac:dyDescent="0.35">
      <c r="A349" s="1">
        <v>500326.5306</v>
      </c>
      <c r="B349" s="1">
        <v>6000000.1349999998</v>
      </c>
      <c r="C349" s="1">
        <v>128.62917733108401</v>
      </c>
      <c r="D349" s="1">
        <f t="shared" si="59"/>
        <v>327.06929401624637</v>
      </c>
      <c r="E349" s="1">
        <v>0.01</v>
      </c>
      <c r="F349" s="1">
        <v>0.05</v>
      </c>
      <c r="G349" s="1">
        <v>0.1</v>
      </c>
      <c r="H349" s="1">
        <v>9.81</v>
      </c>
      <c r="I349" s="1">
        <v>2650</v>
      </c>
      <c r="J349" s="1">
        <v>1000</v>
      </c>
      <c r="K349" s="1">
        <v>1.65</v>
      </c>
      <c r="L349" s="1">
        <v>6.5</v>
      </c>
      <c r="M349" s="1">
        <v>2.5</v>
      </c>
      <c r="N349" s="6">
        <v>9.9999999999999995E-7</v>
      </c>
      <c r="O349" s="1">
        <f t="shared" si="60"/>
        <v>10.241238558797846</v>
      </c>
      <c r="P349" s="1">
        <f t="shared" ref="P349:P365" si="61">SQRT((D350 - D349)^2 + (C350 - C349)^2)</f>
        <v>10.787841757464356</v>
      </c>
      <c r="Q349" s="1">
        <f t="shared" ref="Q349:Q365" si="62">IF(ROW()=317, P349/2, (P349 + P348)/2)</f>
        <v>10.603070578095004</v>
      </c>
      <c r="R349" s="1">
        <v>125.42909999999998</v>
      </c>
      <c r="S349" s="1" t="e">
        <f t="shared" ref="S349:S365" si="63">IF(R349 - C349 &lt; 0, NA(), R349 - C349)</f>
        <v>#N/A</v>
      </c>
      <c r="T349" s="1" t="e">
        <v>#N/A</v>
      </c>
    </row>
    <row r="350" spans="1:20" x14ac:dyDescent="0.35">
      <c r="A350" s="1">
        <v>500336.73469999997</v>
      </c>
      <c r="B350" s="1">
        <v>5999999.3439999996</v>
      </c>
      <c r="C350" s="1">
        <v>132.03919081702699</v>
      </c>
      <c r="D350" s="1">
        <f t="shared" ref="D350:D366" si="64">D349 + SQRT((A350 - A349)^2 + (B350 - B349)^2)</f>
        <v>337.30400641131536</v>
      </c>
      <c r="E350" s="1">
        <v>0.01</v>
      </c>
      <c r="F350" s="1">
        <v>0.05</v>
      </c>
      <c r="G350" s="1">
        <v>0.1</v>
      </c>
      <c r="H350" s="1">
        <v>9.81</v>
      </c>
      <c r="I350" s="1">
        <v>2650</v>
      </c>
      <c r="J350" s="1">
        <v>1000</v>
      </c>
      <c r="K350" s="1">
        <v>1.65</v>
      </c>
      <c r="L350" s="1">
        <v>6.5</v>
      </c>
      <c r="M350" s="1">
        <v>2.5</v>
      </c>
      <c r="N350" s="6">
        <v>9.9999999999999995E-7</v>
      </c>
      <c r="O350" s="1">
        <f t="shared" si="60"/>
        <v>10.233949248828765</v>
      </c>
      <c r="P350" s="1">
        <f t="shared" si="61"/>
        <v>11.755266476054745</v>
      </c>
      <c r="Q350" s="1">
        <f t="shared" si="62"/>
        <v>11.27155411675955</v>
      </c>
      <c r="R350" s="1">
        <v>125.42909999999998</v>
      </c>
      <c r="S350" s="1" t="e">
        <f t="shared" si="63"/>
        <v>#N/A</v>
      </c>
      <c r="T350" s="1" t="e">
        <v>#N/A</v>
      </c>
    </row>
    <row r="351" spans="1:20" x14ac:dyDescent="0.35">
      <c r="A351" s="1">
        <v>500346.9388</v>
      </c>
      <c r="B351" s="1">
        <v>5999998.5729999999</v>
      </c>
      <c r="C351" s="1">
        <v>126.254020801129</v>
      </c>
      <c r="D351" s="1">
        <f t="shared" si="64"/>
        <v>347.5371925139039</v>
      </c>
      <c r="E351" s="1">
        <v>0.01</v>
      </c>
      <c r="F351" s="1">
        <v>0.05</v>
      </c>
      <c r="G351" s="1">
        <v>0.1</v>
      </c>
      <c r="H351" s="1">
        <v>9.81</v>
      </c>
      <c r="I351" s="1">
        <v>2650</v>
      </c>
      <c r="J351" s="1">
        <v>1000</v>
      </c>
      <c r="K351" s="1">
        <v>1.65</v>
      </c>
      <c r="L351" s="1">
        <v>6.5</v>
      </c>
      <c r="M351" s="1">
        <v>2.5</v>
      </c>
      <c r="N351" s="6">
        <v>9.9999999999999995E-7</v>
      </c>
      <c r="O351" s="1">
        <f t="shared" si="60"/>
        <v>10.232552707337419</v>
      </c>
      <c r="P351" s="1">
        <f t="shared" si="61"/>
        <v>11.350607222214496</v>
      </c>
      <c r="Q351" s="1">
        <f t="shared" si="62"/>
        <v>11.552936849134621</v>
      </c>
      <c r="R351" s="1">
        <v>125.42909999999998</v>
      </c>
      <c r="S351" s="1" t="e">
        <f t="shared" si="63"/>
        <v>#N/A</v>
      </c>
      <c r="T351" s="1" t="e">
        <v>#N/A</v>
      </c>
    </row>
    <row r="352" spans="1:20" x14ac:dyDescent="0.35">
      <c r="A352" s="1">
        <v>500357.14289999998</v>
      </c>
      <c r="B352" s="1">
        <v>5999999.3269999996</v>
      </c>
      <c r="C352" s="1">
        <v>131.167686591956</v>
      </c>
      <c r="D352" s="1">
        <f t="shared" si="64"/>
        <v>357.76911182599019</v>
      </c>
      <c r="E352" s="1">
        <v>0.01</v>
      </c>
      <c r="F352" s="1">
        <v>0.05</v>
      </c>
      <c r="G352" s="1">
        <v>0.1</v>
      </c>
      <c r="H352" s="1">
        <v>9.81</v>
      </c>
      <c r="I352" s="1">
        <v>2650</v>
      </c>
      <c r="J352" s="1">
        <v>1000</v>
      </c>
      <c r="K352" s="1">
        <v>1.65</v>
      </c>
      <c r="L352" s="1">
        <v>6.5</v>
      </c>
      <c r="M352" s="1">
        <v>2.5</v>
      </c>
      <c r="N352" s="6">
        <v>9.9999999999999995E-7</v>
      </c>
      <c r="O352" s="1">
        <f t="shared" si="60"/>
        <v>10.223838765829584</v>
      </c>
      <c r="P352" s="1">
        <f t="shared" si="61"/>
        <v>10.479732415606993</v>
      </c>
      <c r="Q352" s="1">
        <f t="shared" si="62"/>
        <v>10.915169818910744</v>
      </c>
      <c r="R352" s="1">
        <v>125.42909999999998</v>
      </c>
      <c r="S352" s="1" t="e">
        <f t="shared" si="63"/>
        <v>#N/A</v>
      </c>
      <c r="T352" s="1" t="e">
        <v>#N/A</v>
      </c>
    </row>
    <row r="353" spans="1:57" x14ac:dyDescent="0.35">
      <c r="A353" s="1">
        <v>500367.3469</v>
      </c>
      <c r="B353" s="1">
        <v>5999999.8169999998</v>
      </c>
      <c r="C353" s="1">
        <v>128.83036429882799</v>
      </c>
      <c r="D353" s="1">
        <f t="shared" si="64"/>
        <v>367.98487004556307</v>
      </c>
      <c r="E353" s="1">
        <v>0.01</v>
      </c>
      <c r="F353" s="1">
        <v>0.05</v>
      </c>
      <c r="G353" s="1">
        <v>0.1</v>
      </c>
      <c r="H353" s="1">
        <v>9.81</v>
      </c>
      <c r="I353" s="1">
        <v>2650</v>
      </c>
      <c r="J353" s="1">
        <v>1000</v>
      </c>
      <c r="K353" s="1">
        <v>1.65</v>
      </c>
      <c r="L353" s="1">
        <v>6.5</v>
      </c>
      <c r="M353" s="1">
        <v>2.5</v>
      </c>
      <c r="N353" s="6">
        <v>9.9999999999999995E-7</v>
      </c>
      <c r="O353" s="1">
        <f t="shared" si="60"/>
        <v>10.224509856901079</v>
      </c>
      <c r="P353" s="1">
        <f t="shared" si="61"/>
        <v>10.91645406051112</v>
      </c>
      <c r="Q353" s="1">
        <f t="shared" si="62"/>
        <v>10.698093238059055</v>
      </c>
      <c r="R353" s="1">
        <v>125.42909999999998</v>
      </c>
      <c r="S353" s="1" t="e">
        <f t="shared" si="63"/>
        <v>#N/A</v>
      </c>
      <c r="T353" s="1" t="e">
        <v>#N/A</v>
      </c>
    </row>
    <row r="354" spans="1:57" x14ac:dyDescent="0.35">
      <c r="A354" s="1">
        <v>500377.55099999998</v>
      </c>
      <c r="B354" s="1">
        <v>5999999.0449999999</v>
      </c>
      <c r="C354" s="1">
        <v>125.029137069896</v>
      </c>
      <c r="D354" s="1">
        <f t="shared" si="64"/>
        <v>378.21813153979235</v>
      </c>
      <c r="E354" s="1">
        <v>0.01</v>
      </c>
      <c r="F354" s="1">
        <v>0.05</v>
      </c>
      <c r="G354" s="1">
        <v>0.1</v>
      </c>
      <c r="H354" s="1">
        <v>9.81</v>
      </c>
      <c r="I354" s="1">
        <v>2650</v>
      </c>
      <c r="J354" s="1">
        <v>1000</v>
      </c>
      <c r="K354" s="1">
        <v>1.65</v>
      </c>
      <c r="L354" s="1">
        <v>6.5</v>
      </c>
      <c r="M354" s="1">
        <v>2.5</v>
      </c>
      <c r="N354" s="6">
        <v>9.9999999999999995E-7</v>
      </c>
      <c r="O354" s="1">
        <f t="shared" si="60"/>
        <v>10.221049857319429</v>
      </c>
      <c r="P354" s="1">
        <f t="shared" si="61"/>
        <v>10.237547645163266</v>
      </c>
      <c r="Q354" s="1">
        <f t="shared" si="62"/>
        <v>10.577000852837193</v>
      </c>
      <c r="R354" s="1">
        <v>125.42909999999998</v>
      </c>
      <c r="S354" s="1">
        <f t="shared" si="63"/>
        <v>0.39996293010398176</v>
      </c>
      <c r="T354" s="1">
        <v>0.39996293010398176</v>
      </c>
    </row>
    <row r="355" spans="1:57" x14ac:dyDescent="0.35">
      <c r="A355" s="1">
        <v>500387.75510000001</v>
      </c>
      <c r="B355" s="1">
        <v>5999999.3559999997</v>
      </c>
      <c r="C355" s="1">
        <v>125.795298917349</v>
      </c>
      <c r="D355" s="1">
        <f t="shared" si="64"/>
        <v>388.42696976020193</v>
      </c>
      <c r="E355" s="1">
        <v>0.01</v>
      </c>
      <c r="F355" s="1">
        <v>0.05</v>
      </c>
      <c r="G355" s="1">
        <v>0.1</v>
      </c>
      <c r="H355" s="1">
        <v>9.81</v>
      </c>
      <c r="I355" s="1">
        <v>2650</v>
      </c>
      <c r="J355" s="1">
        <v>1000</v>
      </c>
      <c r="K355" s="1">
        <v>1.65</v>
      </c>
      <c r="L355" s="1">
        <v>6.5</v>
      </c>
      <c r="M355" s="1">
        <v>2.5</v>
      </c>
      <c r="N355" s="6">
        <v>9.9999999999999995E-7</v>
      </c>
      <c r="O355" s="1">
        <f t="shared" si="60"/>
        <v>10.226672955179509</v>
      </c>
      <c r="P355" s="1">
        <f t="shared" si="61"/>
        <v>14.006911426674414</v>
      </c>
      <c r="Q355" s="1">
        <f t="shared" si="62"/>
        <v>12.122229535918841</v>
      </c>
      <c r="R355" s="1">
        <v>125.42909999999998</v>
      </c>
      <c r="S355" s="1" t="e">
        <f t="shared" si="63"/>
        <v>#N/A</v>
      </c>
      <c r="T355" s="1" t="e">
        <v>#N/A</v>
      </c>
    </row>
    <row r="356" spans="1:57" x14ac:dyDescent="0.35">
      <c r="A356" s="1">
        <v>500397.95919999998</v>
      </c>
      <c r="B356" s="1">
        <v>5999998.4469999997</v>
      </c>
      <c r="C356" s="1">
        <v>135.347452072804</v>
      </c>
      <c r="D356" s="1">
        <f t="shared" si="64"/>
        <v>398.67147745015137</v>
      </c>
      <c r="E356" s="1">
        <v>0.01</v>
      </c>
      <c r="F356" s="1">
        <v>0.05</v>
      </c>
      <c r="G356" s="1">
        <v>0.1</v>
      </c>
      <c r="H356" s="1">
        <v>9.81</v>
      </c>
      <c r="I356" s="1">
        <v>2650</v>
      </c>
      <c r="J356" s="1">
        <v>1000</v>
      </c>
      <c r="K356" s="1">
        <v>1.65</v>
      </c>
      <c r="L356" s="1">
        <v>6.5</v>
      </c>
      <c r="M356" s="1">
        <v>2.5</v>
      </c>
      <c r="N356" s="6">
        <v>9.9999999999999995E-7</v>
      </c>
      <c r="O356" s="1">
        <f t="shared" si="60"/>
        <v>10.22650836474881</v>
      </c>
      <c r="P356" s="1">
        <f t="shared" si="61"/>
        <v>12.538849639326756</v>
      </c>
      <c r="Q356" s="1">
        <f t="shared" si="62"/>
        <v>13.272880533000585</v>
      </c>
      <c r="R356" s="1">
        <v>125.42909999999998</v>
      </c>
      <c r="S356" s="1" t="e">
        <f t="shared" si="63"/>
        <v>#N/A</v>
      </c>
      <c r="T356" s="1" t="e">
        <v>#N/A</v>
      </c>
    </row>
    <row r="357" spans="1:57" x14ac:dyDescent="0.35">
      <c r="A357" s="1">
        <v>500408.16330000001</v>
      </c>
      <c r="B357" s="1">
        <v>5999998.1469999999</v>
      </c>
      <c r="C357" s="1">
        <v>128.06671766842501</v>
      </c>
      <c r="D357" s="1">
        <f t="shared" si="64"/>
        <v>408.87998648969955</v>
      </c>
      <c r="E357" s="1">
        <v>0.01</v>
      </c>
      <c r="F357" s="1">
        <v>0.05</v>
      </c>
      <c r="G357" s="1">
        <v>0.1</v>
      </c>
      <c r="H357" s="1">
        <v>9.81</v>
      </c>
      <c r="I357" s="1">
        <v>2650</v>
      </c>
      <c r="J357" s="1">
        <v>1000</v>
      </c>
      <c r="K357" s="1">
        <v>1.65</v>
      </c>
      <c r="L357" s="1">
        <v>6.5</v>
      </c>
      <c r="M357" s="1">
        <v>2.5</v>
      </c>
      <c r="N357" s="6">
        <v>9.9999999999999995E-7</v>
      </c>
      <c r="O357" s="1">
        <f t="shared" si="60"/>
        <v>10.217670819070179</v>
      </c>
      <c r="P357" s="1">
        <f t="shared" si="61"/>
        <v>11.126667604014996</v>
      </c>
      <c r="Q357" s="1">
        <f t="shared" si="62"/>
        <v>11.832758621670877</v>
      </c>
      <c r="R357" s="1">
        <v>125.42909999999998</v>
      </c>
      <c r="S357" s="1" t="e">
        <f t="shared" si="63"/>
        <v>#N/A</v>
      </c>
      <c r="T357" s="1" t="e">
        <v>#N/A</v>
      </c>
    </row>
    <row r="358" spans="1:57" x14ac:dyDescent="0.35">
      <c r="A358" s="1">
        <v>500418.36729999998</v>
      </c>
      <c r="B358" s="1">
        <v>5999997.4639999997</v>
      </c>
      <c r="C358" s="1">
        <v>132.450166877736</v>
      </c>
      <c r="D358" s="1">
        <f t="shared" si="64"/>
        <v>419.10681908829173</v>
      </c>
      <c r="E358" s="1">
        <v>0.01</v>
      </c>
      <c r="F358" s="1">
        <v>0.05</v>
      </c>
      <c r="G358" s="1">
        <v>0.1</v>
      </c>
      <c r="H358" s="1">
        <v>9.81</v>
      </c>
      <c r="I358" s="1">
        <v>2650</v>
      </c>
      <c r="J358" s="1">
        <v>1000</v>
      </c>
      <c r="K358" s="1">
        <v>1.65</v>
      </c>
      <c r="L358" s="1">
        <v>6.5</v>
      </c>
      <c r="M358" s="1">
        <v>2.5</v>
      </c>
      <c r="N358" s="6">
        <v>9.9999999999999995E-7</v>
      </c>
      <c r="O358" s="1">
        <f t="shared" si="60"/>
        <v>10.219153288461655</v>
      </c>
      <c r="P358" s="1">
        <f t="shared" si="61"/>
        <v>12.259823035582844</v>
      </c>
      <c r="Q358" s="1">
        <f t="shared" si="62"/>
        <v>11.693245319798919</v>
      </c>
      <c r="R358" s="1">
        <v>125.42909999999998</v>
      </c>
      <c r="S358" s="1" t="e">
        <f t="shared" si="63"/>
        <v>#N/A</v>
      </c>
      <c r="T358" s="1" t="e">
        <v>#N/A</v>
      </c>
    </row>
    <row r="359" spans="1:57" x14ac:dyDescent="0.35">
      <c r="A359" s="1">
        <v>500428.57140000002</v>
      </c>
      <c r="B359" s="1">
        <v>5999997.0760000004</v>
      </c>
      <c r="C359" s="1">
        <v>139.234638858198</v>
      </c>
      <c r="D359" s="1">
        <f t="shared" si="64"/>
        <v>429.31829306662286</v>
      </c>
      <c r="E359" s="1">
        <v>0.01</v>
      </c>
      <c r="F359" s="1">
        <v>0.05</v>
      </c>
      <c r="G359" s="1">
        <v>0.1</v>
      </c>
      <c r="H359" s="1">
        <v>9.81</v>
      </c>
      <c r="I359" s="1">
        <v>2650</v>
      </c>
      <c r="J359" s="1">
        <v>1000</v>
      </c>
      <c r="K359" s="1">
        <v>1.65</v>
      </c>
      <c r="L359" s="1">
        <v>6.5</v>
      </c>
      <c r="M359" s="1">
        <v>2.5</v>
      </c>
      <c r="N359" s="6">
        <v>9.9999999999999995E-7</v>
      </c>
      <c r="O359" s="1">
        <f t="shared" si="60"/>
        <v>10.213570502749036</v>
      </c>
      <c r="P359" s="1">
        <f t="shared" si="61"/>
        <v>10.221862151517284</v>
      </c>
      <c r="Q359" s="1">
        <f t="shared" si="62"/>
        <v>11.240842593550063</v>
      </c>
      <c r="R359" s="1">
        <v>125.42909999999998</v>
      </c>
      <c r="S359" s="1" t="e">
        <f t="shared" si="63"/>
        <v>#N/A</v>
      </c>
      <c r="T359" s="1" t="e">
        <v>#N/A</v>
      </c>
    </row>
    <row r="360" spans="1:57" x14ac:dyDescent="0.35">
      <c r="A360" s="1">
        <v>500438.77549999999</v>
      </c>
      <c r="B360" s="1">
        <v>5999996.5899999999</v>
      </c>
      <c r="C360" s="1">
        <v>139.590466112179</v>
      </c>
      <c r="D360" s="1">
        <f t="shared" si="64"/>
        <v>439.5339600937898</v>
      </c>
      <c r="E360" s="1">
        <v>0.01</v>
      </c>
      <c r="F360" s="1">
        <v>0.05</v>
      </c>
      <c r="G360" s="1">
        <v>0.1</v>
      </c>
      <c r="H360" s="1">
        <v>9.81</v>
      </c>
      <c r="I360" s="1">
        <v>2650</v>
      </c>
      <c r="J360" s="1">
        <v>1000</v>
      </c>
      <c r="K360" s="1">
        <v>1.65</v>
      </c>
      <c r="L360" s="1">
        <v>6.5</v>
      </c>
      <c r="M360" s="1">
        <v>2.5</v>
      </c>
      <c r="N360" s="6">
        <v>9.9999999999999995E-7</v>
      </c>
      <c r="O360" s="1">
        <f t="shared" si="60"/>
        <v>10.227678867958247</v>
      </c>
      <c r="P360" s="1">
        <f t="shared" si="61"/>
        <v>10.247073843648518</v>
      </c>
      <c r="Q360" s="1">
        <f t="shared" si="62"/>
        <v>10.2344679975829</v>
      </c>
      <c r="R360" s="1">
        <v>125.42909999999998</v>
      </c>
      <c r="S360" s="1" t="e">
        <f t="shared" si="63"/>
        <v>#N/A</v>
      </c>
      <c r="T360" s="1" t="e">
        <v>#N/A</v>
      </c>
    </row>
    <row r="361" spans="1:57" x14ac:dyDescent="0.35">
      <c r="A361" s="1">
        <v>500448.97960000002</v>
      </c>
      <c r="B361" s="1">
        <v>5999995.7369999997</v>
      </c>
      <c r="C361" s="1">
        <v>139.20154896633201</v>
      </c>
      <c r="D361" s="1">
        <f t="shared" si="64"/>
        <v>449.77365080253935</v>
      </c>
      <c r="E361" s="1">
        <v>0.01</v>
      </c>
      <c r="F361" s="1">
        <v>0.05</v>
      </c>
      <c r="G361" s="1">
        <v>0.1</v>
      </c>
      <c r="H361" s="1">
        <v>9.81</v>
      </c>
      <c r="I361" s="1">
        <v>2650</v>
      </c>
      <c r="J361" s="1">
        <v>1000</v>
      </c>
      <c r="K361" s="1">
        <v>1.65</v>
      </c>
      <c r="L361" s="1">
        <v>6.5</v>
      </c>
      <c r="M361" s="1">
        <v>2.5</v>
      </c>
      <c r="N361" s="6">
        <v>9.9999999999999995E-7</v>
      </c>
      <c r="O361" s="1">
        <f t="shared" si="60"/>
        <v>10.226507982984828</v>
      </c>
      <c r="P361" s="1">
        <f t="shared" si="61"/>
        <v>10.216402783069102</v>
      </c>
      <c r="Q361" s="1">
        <f t="shared" si="62"/>
        <v>10.231738313358811</v>
      </c>
      <c r="R361" s="1">
        <v>125.42909999999998</v>
      </c>
      <c r="S361" s="1" t="e">
        <f t="shared" si="63"/>
        <v>#N/A</v>
      </c>
      <c r="T361" s="1" t="e">
        <v>#N/A</v>
      </c>
    </row>
    <row r="362" spans="1:57" x14ac:dyDescent="0.35">
      <c r="A362" s="1">
        <v>500459.18369999999</v>
      </c>
      <c r="B362" s="1">
        <v>5999996.1710000001</v>
      </c>
      <c r="C362" s="1">
        <v>138.95080404388699</v>
      </c>
      <c r="D362" s="1">
        <f t="shared" si="64"/>
        <v>459.98697605975946</v>
      </c>
      <c r="E362" s="1">
        <v>0.01</v>
      </c>
      <c r="F362" s="1">
        <v>0.05</v>
      </c>
      <c r="G362" s="1">
        <v>0.1</v>
      </c>
      <c r="H362" s="1">
        <v>9.81</v>
      </c>
      <c r="I362" s="1">
        <v>2650</v>
      </c>
      <c r="J362" s="1">
        <v>1000</v>
      </c>
      <c r="K362" s="1">
        <v>1.65</v>
      </c>
      <c r="L362" s="1">
        <v>6.5</v>
      </c>
      <c r="M362" s="1">
        <v>2.5</v>
      </c>
      <c r="N362" s="6">
        <v>9.9999999999999995E-7</v>
      </c>
      <c r="O362" s="1">
        <f t="shared" si="60"/>
        <v>10.228563101333435</v>
      </c>
      <c r="P362" s="1">
        <f t="shared" si="61"/>
        <v>10.24381622597874</v>
      </c>
      <c r="Q362" s="1">
        <f t="shared" si="62"/>
        <v>10.23010950452392</v>
      </c>
      <c r="R362" s="1">
        <v>125.42909999999998</v>
      </c>
      <c r="S362" s="1" t="e">
        <f t="shared" si="63"/>
        <v>#N/A</v>
      </c>
      <c r="T362" s="1" t="e">
        <v>#N/A</v>
      </c>
    </row>
    <row r="363" spans="1:57" x14ac:dyDescent="0.35">
      <c r="A363" s="1">
        <v>500469.38780000003</v>
      </c>
      <c r="B363" s="1">
        <v>5999997.0719999997</v>
      </c>
      <c r="C363" s="1">
        <v>138.933110494517</v>
      </c>
      <c r="D363" s="1">
        <f t="shared" si="64"/>
        <v>470.23077700520622</v>
      </c>
      <c r="E363" s="1">
        <v>0.01</v>
      </c>
      <c r="F363" s="1">
        <v>0.05</v>
      </c>
      <c r="G363" s="1">
        <v>0.1</v>
      </c>
      <c r="H363" s="1">
        <v>9.81</v>
      </c>
      <c r="I363" s="1">
        <v>2650</v>
      </c>
      <c r="J363" s="1">
        <v>1000</v>
      </c>
      <c r="K363" s="1">
        <v>1.65</v>
      </c>
      <c r="L363" s="1">
        <v>6.5</v>
      </c>
      <c r="M363" s="1">
        <v>2.5</v>
      </c>
      <c r="N363" s="6">
        <v>9.9999999999999995E-7</v>
      </c>
      <c r="O363" s="1">
        <f t="shared" si="60"/>
        <v>10.235585469869676</v>
      </c>
      <c r="P363" s="1">
        <f t="shared" si="61"/>
        <v>14.038699271405504</v>
      </c>
      <c r="Q363" s="1">
        <f t="shared" si="62"/>
        <v>12.141257748692123</v>
      </c>
      <c r="R363" s="1">
        <v>125.42909999999998</v>
      </c>
      <c r="S363" s="1" t="e">
        <f t="shared" si="63"/>
        <v>#N/A</v>
      </c>
      <c r="T363" s="1" t="e">
        <v>#N/A</v>
      </c>
    </row>
    <row r="364" spans="1:57" x14ac:dyDescent="0.35">
      <c r="A364" s="1">
        <v>500479.59179999999</v>
      </c>
      <c r="B364" s="1">
        <v>5999997.7630000003</v>
      </c>
      <c r="C364" s="1">
        <v>148.55007364474301</v>
      </c>
      <c r="D364" s="1">
        <f t="shared" si="64"/>
        <v>480.45814699949881</v>
      </c>
      <c r="E364" s="1">
        <v>0.01</v>
      </c>
      <c r="F364" s="1">
        <v>0.05</v>
      </c>
      <c r="G364" s="1">
        <v>0.1</v>
      </c>
      <c r="H364" s="1">
        <v>9.81</v>
      </c>
      <c r="I364" s="1">
        <v>2650</v>
      </c>
      <c r="J364" s="1">
        <v>1000</v>
      </c>
      <c r="K364" s="1">
        <v>1.65</v>
      </c>
      <c r="L364" s="1">
        <v>6.5</v>
      </c>
      <c r="M364" s="1">
        <v>2.5</v>
      </c>
      <c r="N364" s="6">
        <v>9.9999999999999995E-7</v>
      </c>
      <c r="O364" s="1">
        <f t="shared" si="60"/>
        <v>10.217030880251457</v>
      </c>
      <c r="P364" s="1">
        <f t="shared" si="61"/>
        <v>10.496604105828091</v>
      </c>
      <c r="Q364" s="1">
        <f t="shared" si="62"/>
        <v>12.267651688616798</v>
      </c>
      <c r="R364" s="1">
        <v>125.42909999999998</v>
      </c>
      <c r="S364" s="1" t="e">
        <f t="shared" si="63"/>
        <v>#N/A</v>
      </c>
      <c r="T364" s="1" t="e">
        <v>#N/A</v>
      </c>
    </row>
    <row r="365" spans="1:57" x14ac:dyDescent="0.35">
      <c r="A365" s="1">
        <v>500489.79590000003</v>
      </c>
      <c r="B365" s="1">
        <v>5999997.9929999998</v>
      </c>
      <c r="C365" s="1">
        <v>146.10014692256101</v>
      </c>
      <c r="D365" s="1">
        <f t="shared" si="64"/>
        <v>490.66483876570913</v>
      </c>
      <c r="E365" s="1">
        <v>0.01</v>
      </c>
      <c r="F365" s="1">
        <v>0.05</v>
      </c>
      <c r="G365" s="1">
        <v>0.1</v>
      </c>
      <c r="H365" s="1">
        <v>9.81</v>
      </c>
      <c r="I365" s="1">
        <v>2650</v>
      </c>
      <c r="J365" s="1">
        <v>1000</v>
      </c>
      <c r="K365" s="1">
        <v>1.65</v>
      </c>
      <c r="L365" s="1">
        <v>6.5</v>
      </c>
      <c r="M365" s="1">
        <v>2.5</v>
      </c>
      <c r="N365" s="6">
        <v>9.9999999999999995E-7</v>
      </c>
      <c r="O365" s="1">
        <f t="shared" si="60"/>
        <v>10.209902888805345</v>
      </c>
      <c r="P365" s="1">
        <f t="shared" si="61"/>
        <v>10.652346301971106</v>
      </c>
      <c r="Q365" s="1">
        <f t="shared" si="62"/>
        <v>10.574475203899599</v>
      </c>
      <c r="R365" s="1">
        <v>125.42909999999998</v>
      </c>
      <c r="S365" s="1" t="e">
        <f t="shared" si="63"/>
        <v>#N/A</v>
      </c>
      <c r="T365" s="1" t="e">
        <v>#N/A</v>
      </c>
    </row>
    <row r="366" spans="1:57" x14ac:dyDescent="0.35">
      <c r="A366" s="1">
        <v>500500</v>
      </c>
      <c r="B366" s="1">
        <v>5999998.4220000003</v>
      </c>
      <c r="C366" s="1">
        <v>149.127486336511</v>
      </c>
      <c r="D366" s="1">
        <f t="shared" si="64"/>
        <v>500.8779527771095</v>
      </c>
      <c r="E366" s="1">
        <v>0.01</v>
      </c>
      <c r="F366" s="1">
        <v>0.05</v>
      </c>
      <c r="G366" s="1">
        <v>0.1</v>
      </c>
      <c r="H366" s="1">
        <v>9.81</v>
      </c>
      <c r="I366" s="1">
        <v>2650</v>
      </c>
      <c r="J366" s="1">
        <v>1000</v>
      </c>
      <c r="K366" s="1">
        <v>1.65</v>
      </c>
      <c r="L366" s="1">
        <v>6.5</v>
      </c>
      <c r="M366" s="1">
        <v>2.5</v>
      </c>
      <c r="N366" s="6">
        <v>9.9999999999999995E-7</v>
      </c>
      <c r="O366" s="1">
        <f xml:space="preserve"> (D366 - D365) / 2</f>
        <v>5.1065570057001821</v>
      </c>
    </row>
    <row r="368" spans="1:57" x14ac:dyDescent="0.35">
      <c r="A368" s="1" t="s">
        <v>0</v>
      </c>
      <c r="B368" s="1" t="s">
        <v>1</v>
      </c>
      <c r="C368" s="1" t="s">
        <v>2</v>
      </c>
      <c r="D368" s="1" t="s">
        <v>18</v>
      </c>
      <c r="E368" s="1" t="s">
        <v>67</v>
      </c>
      <c r="F368" s="1" t="s">
        <v>66</v>
      </c>
      <c r="G368" s="1" t="s">
        <v>65</v>
      </c>
      <c r="H368" s="1" t="s">
        <v>64</v>
      </c>
      <c r="I368" s="1" t="s">
        <v>63</v>
      </c>
      <c r="J368" s="1" t="s">
        <v>62</v>
      </c>
      <c r="K368" s="1" t="s">
        <v>61</v>
      </c>
      <c r="L368" s="1" t="s">
        <v>60</v>
      </c>
      <c r="M368" s="1" t="s">
        <v>59</v>
      </c>
      <c r="N368" s="1" t="s">
        <v>58</v>
      </c>
      <c r="O368" s="1" t="s">
        <v>57</v>
      </c>
      <c r="P368" s="1" t="s">
        <v>56</v>
      </c>
      <c r="Q368" s="1" t="s">
        <v>55</v>
      </c>
      <c r="R368" s="1" t="s">
        <v>54</v>
      </c>
      <c r="S368" s="1" t="s">
        <v>16</v>
      </c>
      <c r="T368" s="1" t="s">
        <v>53</v>
      </c>
      <c r="U368" s="10" t="s">
        <v>52</v>
      </c>
      <c r="V368" s="10" t="s">
        <v>51</v>
      </c>
      <c r="W368" s="10" t="s">
        <v>50</v>
      </c>
      <c r="X368" s="10" t="s">
        <v>49</v>
      </c>
      <c r="Y368" s="1" t="s">
        <v>48</v>
      </c>
      <c r="Z368" s="1" t="s">
        <v>47</v>
      </c>
      <c r="AA368" s="1" t="s">
        <v>46</v>
      </c>
      <c r="AB368" s="1" t="s">
        <v>45</v>
      </c>
      <c r="AC368" s="1" t="s">
        <v>44</v>
      </c>
      <c r="AD368" s="1" t="s">
        <v>43</v>
      </c>
      <c r="AE368" s="1" t="s">
        <v>42</v>
      </c>
      <c r="AF368" s="1" t="s">
        <v>41</v>
      </c>
      <c r="AG368" s="1" t="s">
        <v>40</v>
      </c>
      <c r="AH368" s="1" t="s">
        <v>39</v>
      </c>
      <c r="AI368" s="1" t="s">
        <v>38</v>
      </c>
      <c r="AJ368" s="1" t="s">
        <v>37</v>
      </c>
      <c r="AK368" s="1" t="s">
        <v>36</v>
      </c>
      <c r="AL368" s="1" t="s">
        <v>35</v>
      </c>
      <c r="AM368" s="1" t="s">
        <v>34</v>
      </c>
      <c r="AN368" s="1" t="s">
        <v>34</v>
      </c>
      <c r="AO368" s="7" t="s">
        <v>33</v>
      </c>
      <c r="AP368" s="7" t="s">
        <v>32</v>
      </c>
      <c r="AQ368" s="7" t="s">
        <v>31</v>
      </c>
      <c r="AR368" s="7" t="s">
        <v>30</v>
      </c>
      <c r="AS368" s="7" t="s">
        <v>29</v>
      </c>
      <c r="AT368" s="7" t="s">
        <v>28</v>
      </c>
      <c r="AU368" s="7" t="s">
        <v>27</v>
      </c>
      <c r="AV368" s="7" t="s">
        <v>27</v>
      </c>
      <c r="AW368" s="1" t="s">
        <v>26</v>
      </c>
      <c r="AX368" s="1" t="s">
        <v>25</v>
      </c>
      <c r="AY368" s="1" t="s">
        <v>24</v>
      </c>
      <c r="AZ368" s="1" t="s">
        <v>23</v>
      </c>
      <c r="BA368" s="1" t="s">
        <v>22</v>
      </c>
      <c r="BB368" s="1" t="s">
        <v>21</v>
      </c>
      <c r="BC368" s="1" t="s">
        <v>20</v>
      </c>
      <c r="BD368" s="1" t="s">
        <v>20</v>
      </c>
      <c r="BE368" s="1" t="s">
        <v>19</v>
      </c>
    </row>
    <row r="369" spans="1:57" x14ac:dyDescent="0.35">
      <c r="A369" s="1">
        <v>500000</v>
      </c>
      <c r="B369" s="1">
        <v>5999999.0959999999</v>
      </c>
      <c r="C369" s="1">
        <v>146.95665459614199</v>
      </c>
      <c r="D369" s="1">
        <v>0</v>
      </c>
      <c r="E369" s="1">
        <v>0.01</v>
      </c>
      <c r="F369" s="1">
        <v>0.05</v>
      </c>
      <c r="G369" s="1">
        <v>0.1</v>
      </c>
      <c r="H369" s="1">
        <v>9.81</v>
      </c>
      <c r="I369" s="1">
        <v>2650</v>
      </c>
      <c r="J369" s="1">
        <v>1000</v>
      </c>
      <c r="K369" s="1">
        <v>1.65</v>
      </c>
      <c r="L369" s="1">
        <v>6.5</v>
      </c>
      <c r="M369" s="1">
        <v>2.5</v>
      </c>
      <c r="N369" s="6">
        <v>9.9999999999999995E-7</v>
      </c>
      <c r="O369" s="1">
        <f xml:space="preserve"> (D370 - D369) / 2</f>
        <v>5.1061868798967165</v>
      </c>
      <c r="P369" s="1">
        <f t="shared" ref="P369:P400" si="65">SQRT((D370 - D369)^2 + (C370 - C369)^2)</f>
        <v>12.612081347143071</v>
      </c>
      <c r="Q369" s="1">
        <f t="shared" ref="Q369:Q400" si="66">IF(ROW()=369, P369/2, (P369 + P368)/2)</f>
        <v>6.3060406735715357</v>
      </c>
      <c r="R369" s="1">
        <v>125.47909999999997</v>
      </c>
      <c r="S369" s="1" t="e">
        <f t="shared" ref="S369:S400" si="67">IF(R369 - C369 &lt; 0, NA(), R369 - C369)</f>
        <v>#N/A</v>
      </c>
      <c r="T369" s="1" t="e">
        <v>#N/A</v>
      </c>
      <c r="U369" s="10" cm="1">
        <f t="array" ref="U369">SUMPRODUCT(IF(ISNA(T369:T418), 0, T369:T418), IF(ISNA(O369:O418), 0, O369:O418))</f>
        <v>4.5990935425383057</v>
      </c>
      <c r="V369" s="10">
        <f>SUMIF(S369:S418, "&gt;0", O369:O418)</f>
        <v>10.221049857319429</v>
      </c>
      <c r="W369" s="10">
        <f>SUMIF(S369:S418, "&gt;0", Q369:Q418)</f>
        <v>10.577000852837193</v>
      </c>
      <c r="X369" s="10">
        <f>U369/W369</f>
        <v>0.4348201920873096</v>
      </c>
      <c r="Y369" s="1">
        <f xml:space="preserve"> (6.5 * 2.5 * (X369 / G369)) / SQRT(6.5^2 + 2.5^2 * (X369 / G369)^(5/3))</f>
        <v>6.5990116424043661</v>
      </c>
      <c r="Z369" s="1">
        <f>Y369*SQRT(X369*H369*E369)</f>
        <v>1.3629133640848861</v>
      </c>
      <c r="AA369" s="1">
        <f>J369*H369*X369*E369</f>
        <v>42.655860843765069</v>
      </c>
      <c r="AB369" s="1">
        <f>(AA369 / (9.81 * 1000 *1.65 * F369))</f>
        <v>5.2705477828764793E-2</v>
      </c>
      <c r="AC369" s="9">
        <f xml:space="preserve"> F369 * (K369 * H369 / (N369)^2)^(1/3)</f>
        <v>1264.7974700106745</v>
      </c>
      <c r="AD369" s="1">
        <f xml:space="preserve"> 0.3 / (1 + 1.2 * AC369) + 0.055 * (1 - EXP(-0.02 * AC369))</f>
        <v>5.5197529957883754E-2</v>
      </c>
      <c r="AE369" s="1">
        <f>IF(AC369 &lt;= 4, 0.24 * AC369^-1, IF(AC369 &gt; 4, IF(AC369 &lt;= 10, 0.14 * AC369^-0.64, IF(AC369 &lt;= 20, 0.04 * AC369^-0.1, IF(AC369 &lt;= 150, 0.013 * AC369^0.29, 0.056)))))</f>
        <v>5.6000000000000001E-2</v>
      </c>
      <c r="AF369" s="1">
        <f>AB369/AD369-1</f>
        <v>-4.5147892143369783E-2</v>
      </c>
      <c r="AG369" s="1">
        <f xml:space="preserve"> 2.45 * SQRT(AD369) / (K369 + 1)^0.4</f>
        <v>0.38978718496890047</v>
      </c>
      <c r="AH369" s="1">
        <f>SQRT(2/3 + 36 / AC369^3) - SQRT(36 / AC369^3)</f>
        <v>0.81636320289979147</v>
      </c>
      <c r="AI369" s="1">
        <f>AA369* Z369 / (J369 * (H369* K369 * F369)^(3/2))</f>
        <v>7.9847721366132565E-2</v>
      </c>
      <c r="AJ369" s="1">
        <f>AD369* K369 * F369 / E369</f>
        <v>0.45537962215254096</v>
      </c>
      <c r="AK369" s="1">
        <f>Y369 * AD369^(3/2)</f>
        <v>8.5577256683024905E-2</v>
      </c>
      <c r="AL369" s="1">
        <f>(0.92 - 0.25 * SQRT(AK369 / AI369))^9</f>
        <v>2.4149729896843199E-2</v>
      </c>
      <c r="AM369" s="1">
        <v>5.2759527000000001E-2</v>
      </c>
      <c r="AN369" s="1">
        <v>4.7434165E-2</v>
      </c>
      <c r="AO369" s="7">
        <f>IF(AB369 &gt; 0.047, 8 * (AB369 - 0.047)^(3/2), 0)</f>
        <v>3.4476884986629243E-3</v>
      </c>
      <c r="AP369" s="7">
        <f>IF(AB369&gt; 0.047, 4 * (AB369 - 0.047)^(3/2), 0)</f>
        <v>1.7238442493314621E-3</v>
      </c>
      <c r="AQ369" s="7" t="e">
        <f xml:space="preserve"> (0.053 / AC369^(0.3)) * ((AB369 / AE369) - 1)^2.1</f>
        <v>#NUM!</v>
      </c>
      <c r="AR369" s="7">
        <f xml:space="preserve"> IF(AB369 &gt; AD369, 0.635 * AF369 * SQRT(AB369) * (1 - (1 / (AG369*AF369)) * LOG(1 + AF369*AG369)), 0)</f>
        <v>0</v>
      </c>
      <c r="AS369" s="8">
        <f>IF(AB369&gt;= 0.19, 40 * AH369 * AB369^3, (AH369 * EXP(-0.391 / AB369)) / 0.465)</f>
        <v>1.053368902608769E-3</v>
      </c>
      <c r="AT369" s="7">
        <f>AL369* AI369</f>
        <v>1.9283009038704971E-3</v>
      </c>
      <c r="AU369" s="7">
        <f>14 * AB369^2.5 / (1 + (AM369/AB369)^4)</f>
        <v>4.4549849203618539E-3</v>
      </c>
      <c r="AV369" s="7">
        <f>14*AB369^2.5/(1+(AN369/AB369)^4)</f>
        <v>5.3912809675016587E-3</v>
      </c>
      <c r="AW369" s="1">
        <f>AO369*SQRT(1.65*9.81*F369^3)</f>
        <v>1.5508132480733408E-4</v>
      </c>
      <c r="AX369" s="1">
        <f>AP369*SQRT(1.65*9.81*F369^3)</f>
        <v>7.754066240366704E-5</v>
      </c>
      <c r="AY369" s="1" t="e">
        <f>AQ369*SQRT(1.65*9.81*F369^3)</f>
        <v>#NUM!</v>
      </c>
      <c r="AZ369" s="1">
        <f>AR369*SQRT(1.65*9.81*F369^3)</f>
        <v>0</v>
      </c>
      <c r="BA369" s="1">
        <f>AS369*SQRT(1.65*9.81*F369^3)</f>
        <v>4.7381845834033056E-5</v>
      </c>
      <c r="BB369" s="1">
        <f>AT369*SQRT(1.65*9.81*F369^3)</f>
        <v>8.673737749665925E-5</v>
      </c>
      <c r="BC369" s="1">
        <f>AU369*SQRT(1.65*9.81*G369^3)</f>
        <v>5.6679069801374279E-4</v>
      </c>
      <c r="BD369" s="1">
        <f>AV369*SQRT(1.65*9.81*G369^3)</f>
        <v>6.8591206421194165E-4</v>
      </c>
      <c r="BE369" s="1">
        <f>U369*Z369</f>
        <v>6.2681660518019582</v>
      </c>
    </row>
    <row r="370" spans="1:57" x14ac:dyDescent="0.35">
      <c r="A370" s="1">
        <v>500010.20409999997</v>
      </c>
      <c r="B370" s="1">
        <v>5999998.6849999996</v>
      </c>
      <c r="C370" s="1">
        <v>154.35746658519</v>
      </c>
      <c r="D370" s="1">
        <f t="shared" ref="D370:D401" si="68">D369 + SQRT((A370 - A369)^2 + (B370 - B369)^2)</f>
        <v>10.212373759793433</v>
      </c>
      <c r="E370" s="1">
        <v>0.01</v>
      </c>
      <c r="F370" s="1">
        <v>0.05</v>
      </c>
      <c r="G370" s="1">
        <v>0.1</v>
      </c>
      <c r="H370" s="1">
        <v>9.81</v>
      </c>
      <c r="I370" s="1">
        <v>2650</v>
      </c>
      <c r="J370" s="1">
        <v>1000</v>
      </c>
      <c r="K370" s="1">
        <v>1.65</v>
      </c>
      <c r="L370" s="1">
        <v>6.5</v>
      </c>
      <c r="M370" s="1">
        <v>2.5</v>
      </c>
      <c r="N370" s="6">
        <v>9.9999999999999995E-7</v>
      </c>
      <c r="O370" s="1">
        <f t="shared" ref="O370:O417" si="69" xml:space="preserve"> (D371 - D370 + D370 - D369) / 2</f>
        <v>10.212934886473896</v>
      </c>
      <c r="P370" s="1">
        <f t="shared" si="65"/>
        <v>10.748393624242958</v>
      </c>
      <c r="Q370" s="1">
        <f t="shared" si="66"/>
        <v>11.680237485693015</v>
      </c>
      <c r="R370" s="1">
        <v>125.47909999999997</v>
      </c>
      <c r="S370" s="1" t="e">
        <f t="shared" si="67"/>
        <v>#N/A</v>
      </c>
      <c r="T370" s="1" t="e">
        <v>#N/A</v>
      </c>
      <c r="AO370" s="7"/>
      <c r="AP370" s="7"/>
      <c r="AQ370" s="7"/>
      <c r="AR370" s="7"/>
      <c r="AS370" s="7"/>
      <c r="AT370" s="7"/>
      <c r="AU370" s="7"/>
      <c r="AV370" s="7"/>
    </row>
    <row r="371" spans="1:57" x14ac:dyDescent="0.35">
      <c r="A371" s="1">
        <v>500020.40820000001</v>
      </c>
      <c r="B371" s="1">
        <v>5999999.1229999997</v>
      </c>
      <c r="C371" s="1">
        <v>151.008964727501</v>
      </c>
      <c r="D371" s="1">
        <f t="shared" si="68"/>
        <v>20.425869772947792</v>
      </c>
      <c r="E371" s="1">
        <v>0.01</v>
      </c>
      <c r="F371" s="1">
        <v>0.05</v>
      </c>
      <c r="G371" s="1">
        <v>0.1</v>
      </c>
      <c r="H371" s="1">
        <v>9.81</v>
      </c>
      <c r="I371" s="1">
        <v>2650</v>
      </c>
      <c r="J371" s="1">
        <v>1000</v>
      </c>
      <c r="K371" s="1">
        <v>1.65</v>
      </c>
      <c r="L371" s="1">
        <v>6.5</v>
      </c>
      <c r="M371" s="1">
        <v>2.5</v>
      </c>
      <c r="N371" s="6">
        <v>9.9999999999999995E-7</v>
      </c>
      <c r="O371" s="1">
        <f t="shared" si="69"/>
        <v>10.21125621009096</v>
      </c>
      <c r="P371" s="1">
        <f t="shared" si="65"/>
        <v>13.985433799960637</v>
      </c>
      <c r="Q371" s="1">
        <f t="shared" si="66"/>
        <v>12.366913712101798</v>
      </c>
      <c r="R371" s="1">
        <v>125.47909999999997</v>
      </c>
      <c r="S371" s="1" t="e">
        <f t="shared" si="67"/>
        <v>#N/A</v>
      </c>
      <c r="T371" s="1" t="e">
        <v>#N/A</v>
      </c>
    </row>
    <row r="372" spans="1:57" x14ac:dyDescent="0.35">
      <c r="A372" s="1">
        <v>500030.61219999997</v>
      </c>
      <c r="B372" s="1">
        <v>5999998.8030000003</v>
      </c>
      <c r="C372" s="1">
        <v>160.567643641144</v>
      </c>
      <c r="D372" s="1">
        <f t="shared" si="68"/>
        <v>30.634886179975354</v>
      </c>
      <c r="E372" s="1">
        <v>0.01</v>
      </c>
      <c r="F372" s="1">
        <v>0.05</v>
      </c>
      <c r="G372" s="1">
        <v>0.1</v>
      </c>
      <c r="H372" s="1">
        <v>9.81</v>
      </c>
      <c r="I372" s="1">
        <v>2650</v>
      </c>
      <c r="J372" s="1">
        <v>1000</v>
      </c>
      <c r="K372" s="1">
        <v>1.65</v>
      </c>
      <c r="L372" s="1">
        <v>6.5</v>
      </c>
      <c r="M372" s="1">
        <v>2.5</v>
      </c>
      <c r="N372" s="6">
        <v>9.9999999999999995E-7</v>
      </c>
      <c r="O372" s="1">
        <f t="shared" si="69"/>
        <v>10.214935822867286</v>
      </c>
      <c r="P372" s="1">
        <f t="shared" si="65"/>
        <v>10.224042445454263</v>
      </c>
      <c r="Q372" s="1">
        <f t="shared" si="66"/>
        <v>12.104738122707449</v>
      </c>
      <c r="R372" s="1">
        <v>125.47909999999997</v>
      </c>
      <c r="S372" s="1" t="e">
        <f t="shared" si="67"/>
        <v>#N/A</v>
      </c>
      <c r="T372" s="1" t="e">
        <v>#N/A</v>
      </c>
    </row>
    <row r="373" spans="1:57" x14ac:dyDescent="0.35">
      <c r="A373" s="1">
        <v>500040.81630000001</v>
      </c>
      <c r="B373" s="1">
        <v>5999998.2180000003</v>
      </c>
      <c r="C373" s="1">
        <v>160.82291235416201</v>
      </c>
      <c r="D373" s="1">
        <f t="shared" si="68"/>
        <v>40.855741418682364</v>
      </c>
      <c r="E373" s="1">
        <v>0.01</v>
      </c>
      <c r="F373" s="1">
        <v>0.05</v>
      </c>
      <c r="G373" s="1">
        <v>0.1</v>
      </c>
      <c r="H373" s="1">
        <v>9.81</v>
      </c>
      <c r="I373" s="1">
        <v>2650</v>
      </c>
      <c r="J373" s="1">
        <v>1000</v>
      </c>
      <c r="K373" s="1">
        <v>1.65</v>
      </c>
      <c r="L373" s="1">
        <v>6.5</v>
      </c>
      <c r="M373" s="1">
        <v>2.5</v>
      </c>
      <c r="N373" s="6">
        <v>9.9999999999999995E-7</v>
      </c>
      <c r="O373" s="1">
        <f t="shared" si="69"/>
        <v>10.231243785008825</v>
      </c>
      <c r="P373" s="1">
        <f t="shared" si="65"/>
        <v>10.333484931908488</v>
      </c>
      <c r="Q373" s="1">
        <f t="shared" si="66"/>
        <v>10.278763688681376</v>
      </c>
      <c r="R373" s="1">
        <v>125.47909999999997</v>
      </c>
      <c r="S373" s="1" t="e">
        <f t="shared" si="67"/>
        <v>#N/A</v>
      </c>
      <c r="T373" s="1" t="e">
        <v>#N/A</v>
      </c>
    </row>
    <row r="374" spans="1:57" x14ac:dyDescent="0.35">
      <c r="A374" s="1">
        <v>500051.02039999998</v>
      </c>
      <c r="B374" s="1">
        <v>5999997.3420000002</v>
      </c>
      <c r="C374" s="1">
        <v>159.448184007094</v>
      </c>
      <c r="D374" s="1">
        <f t="shared" si="68"/>
        <v>51.097373749993004</v>
      </c>
      <c r="E374" s="1">
        <v>0.01</v>
      </c>
      <c r="F374" s="1">
        <v>0.05</v>
      </c>
      <c r="G374" s="1">
        <v>0.1</v>
      </c>
      <c r="H374" s="1">
        <v>9.81</v>
      </c>
      <c r="I374" s="1">
        <v>2650</v>
      </c>
      <c r="J374" s="1">
        <v>1000</v>
      </c>
      <c r="K374" s="1">
        <v>1.65</v>
      </c>
      <c r="L374" s="1">
        <v>6.5</v>
      </c>
      <c r="M374" s="1">
        <v>2.5</v>
      </c>
      <c r="N374" s="6">
        <v>9.9999999999999995E-7</v>
      </c>
      <c r="O374" s="1">
        <f t="shared" si="69"/>
        <v>10.22297614478725</v>
      </c>
      <c r="P374" s="1">
        <f t="shared" si="65"/>
        <v>11.164078602095582</v>
      </c>
      <c r="Q374" s="1">
        <f t="shared" si="66"/>
        <v>10.748781767002036</v>
      </c>
      <c r="R374" s="1">
        <v>125.47909999999997</v>
      </c>
      <c r="S374" s="1" t="e">
        <f t="shared" si="67"/>
        <v>#N/A</v>
      </c>
      <c r="T374" s="1" t="e">
        <v>#N/A</v>
      </c>
    </row>
    <row r="375" spans="1:57" x14ac:dyDescent="0.35">
      <c r="A375" s="1">
        <v>500061.22450000001</v>
      </c>
      <c r="B375" s="1">
        <v>5999997.2750000004</v>
      </c>
      <c r="C375" s="1">
        <v>163.976815723534</v>
      </c>
      <c r="D375" s="1">
        <f t="shared" si="68"/>
        <v>61.301693708256863</v>
      </c>
      <c r="E375" s="1">
        <v>0.01</v>
      </c>
      <c r="F375" s="1">
        <v>0.05</v>
      </c>
      <c r="G375" s="1">
        <v>0.1</v>
      </c>
      <c r="H375" s="1">
        <v>9.81</v>
      </c>
      <c r="I375" s="1">
        <v>2650</v>
      </c>
      <c r="J375" s="1">
        <v>1000</v>
      </c>
      <c r="K375" s="1">
        <v>1.65</v>
      </c>
      <c r="L375" s="1">
        <v>6.5</v>
      </c>
      <c r="M375" s="1">
        <v>2.5</v>
      </c>
      <c r="N375" s="6">
        <v>9.9999999999999995E-7</v>
      </c>
      <c r="O375" s="1">
        <f t="shared" si="69"/>
        <v>10.209391538632293</v>
      </c>
      <c r="P375" s="1">
        <f t="shared" si="65"/>
        <v>11.034750060361873</v>
      </c>
      <c r="Q375" s="1">
        <f t="shared" si="66"/>
        <v>11.099414331228727</v>
      </c>
      <c r="R375" s="1">
        <v>125.47909999999997</v>
      </c>
      <c r="S375" s="1" t="e">
        <f t="shared" si="67"/>
        <v>#N/A</v>
      </c>
      <c r="T375" s="1" t="e">
        <v>#N/A</v>
      </c>
    </row>
    <row r="376" spans="1:57" x14ac:dyDescent="0.35">
      <c r="A376" s="1">
        <v>500071.42859999998</v>
      </c>
      <c r="B376" s="1">
        <v>5999996.8150000004</v>
      </c>
      <c r="C376" s="1">
        <v>168.15179501512699</v>
      </c>
      <c r="D376" s="1">
        <f t="shared" si="68"/>
        <v>71.516156827257589</v>
      </c>
      <c r="E376" s="1">
        <v>0.01</v>
      </c>
      <c r="F376" s="1">
        <v>0.05</v>
      </c>
      <c r="G376" s="1">
        <v>0.1</v>
      </c>
      <c r="H376" s="1">
        <v>9.81</v>
      </c>
      <c r="I376" s="1">
        <v>2650</v>
      </c>
      <c r="J376" s="1">
        <v>1000</v>
      </c>
      <c r="K376" s="1">
        <v>1.65</v>
      </c>
      <c r="L376" s="1">
        <v>6.5</v>
      </c>
      <c r="M376" s="1">
        <v>2.5</v>
      </c>
      <c r="N376" s="6">
        <v>9.9999999999999995E-7</v>
      </c>
      <c r="O376" s="1">
        <f t="shared" si="69"/>
        <v>10.229976351370027</v>
      </c>
      <c r="P376" s="1">
        <f t="shared" si="65"/>
        <v>11.687505241745082</v>
      </c>
      <c r="Q376" s="1">
        <f t="shared" si="66"/>
        <v>11.361127651053478</v>
      </c>
      <c r="R376" s="1">
        <v>125.47909999999997</v>
      </c>
      <c r="S376" s="1" t="e">
        <f t="shared" si="67"/>
        <v>#N/A</v>
      </c>
      <c r="T376" s="1" t="e">
        <v>#N/A</v>
      </c>
    </row>
    <row r="377" spans="1:57" x14ac:dyDescent="0.35">
      <c r="A377" s="1">
        <v>500081.63270000002</v>
      </c>
      <c r="B377" s="1">
        <v>5999997.7350000003</v>
      </c>
      <c r="C377" s="1">
        <v>162.52794206849799</v>
      </c>
      <c r="D377" s="1">
        <f t="shared" si="68"/>
        <v>81.761646410996917</v>
      </c>
      <c r="E377" s="1">
        <v>0.01</v>
      </c>
      <c r="F377" s="1">
        <v>0.05</v>
      </c>
      <c r="G377" s="1">
        <v>0.1</v>
      </c>
      <c r="H377" s="1">
        <v>9.81</v>
      </c>
      <c r="I377" s="1">
        <v>2650</v>
      </c>
      <c r="J377" s="1">
        <v>1000</v>
      </c>
      <c r="K377" s="1">
        <v>1.65</v>
      </c>
      <c r="L377" s="1">
        <v>6.5</v>
      </c>
      <c r="M377" s="1">
        <v>2.5</v>
      </c>
      <c r="N377" s="6">
        <v>9.9999999999999995E-7</v>
      </c>
      <c r="O377" s="1">
        <f t="shared" si="69"/>
        <v>10.224765396477437</v>
      </c>
      <c r="P377" s="1">
        <f t="shared" si="65"/>
        <v>11.652977208096294</v>
      </c>
      <c r="Q377" s="1">
        <f t="shared" si="66"/>
        <v>11.670241224920687</v>
      </c>
      <c r="R377" s="1">
        <v>125.47909999999997</v>
      </c>
      <c r="S377" s="1" t="e">
        <f t="shared" si="67"/>
        <v>#N/A</v>
      </c>
      <c r="T377" s="1" t="e">
        <v>#N/A</v>
      </c>
    </row>
    <row r="378" spans="1:57" x14ac:dyDescent="0.35">
      <c r="A378" s="1">
        <v>500091.83669999999</v>
      </c>
      <c r="B378" s="1">
        <v>5999997.7640000004</v>
      </c>
      <c r="C378" s="1">
        <v>168.15550111421601</v>
      </c>
      <c r="D378" s="1">
        <f t="shared" si="68"/>
        <v>91.965687620212464</v>
      </c>
      <c r="E378" s="1">
        <v>0.01</v>
      </c>
      <c r="F378" s="1">
        <v>0.05</v>
      </c>
      <c r="G378" s="1">
        <v>0.1</v>
      </c>
      <c r="H378" s="1">
        <v>9.81</v>
      </c>
      <c r="I378" s="1">
        <v>2650</v>
      </c>
      <c r="J378" s="1">
        <v>1000</v>
      </c>
      <c r="K378" s="1">
        <v>1.65</v>
      </c>
      <c r="L378" s="1">
        <v>6.5</v>
      </c>
      <c r="M378" s="1">
        <v>2.5</v>
      </c>
      <c r="N378" s="6">
        <v>9.9999999999999995E-7</v>
      </c>
      <c r="O378" s="1">
        <f t="shared" si="69"/>
        <v>10.204607223431253</v>
      </c>
      <c r="P378" s="1">
        <f t="shared" si="65"/>
        <v>10.499401533865951</v>
      </c>
      <c r="Q378" s="1">
        <f t="shared" si="66"/>
        <v>11.076189370981123</v>
      </c>
      <c r="R378" s="1">
        <v>125.47909999999997</v>
      </c>
      <c r="S378" s="1" t="e">
        <f t="shared" si="67"/>
        <v>#N/A</v>
      </c>
      <c r="T378" s="1" t="e">
        <v>#N/A</v>
      </c>
    </row>
    <row r="379" spans="1:57" x14ac:dyDescent="0.35">
      <c r="A379" s="1">
        <v>500102.04080000002</v>
      </c>
      <c r="B379" s="1">
        <v>5999997.9119999995</v>
      </c>
      <c r="C379" s="1">
        <v>170.62367285843499</v>
      </c>
      <c r="D379" s="1">
        <f t="shared" si="68"/>
        <v>102.17086085785942</v>
      </c>
      <c r="E379" s="1">
        <v>0.01</v>
      </c>
      <c r="F379" s="1">
        <v>0.05</v>
      </c>
      <c r="G379" s="1">
        <v>0.1</v>
      </c>
      <c r="H379" s="1">
        <v>9.81</v>
      </c>
      <c r="I379" s="1">
        <v>2650</v>
      </c>
      <c r="J379" s="1">
        <v>1000</v>
      </c>
      <c r="K379" s="1">
        <v>1.65</v>
      </c>
      <c r="L379" s="1">
        <v>6.5</v>
      </c>
      <c r="M379" s="1">
        <v>2.5</v>
      </c>
      <c r="N379" s="6">
        <v>9.9999999999999995E-7</v>
      </c>
      <c r="O379" s="1">
        <f t="shared" si="69"/>
        <v>10.21006882166494</v>
      </c>
      <c r="P379" s="1">
        <f t="shared" si="65"/>
        <v>10.948230205101877</v>
      </c>
      <c r="Q379" s="1">
        <f t="shared" si="66"/>
        <v>10.723815869483914</v>
      </c>
      <c r="R379" s="1">
        <v>125.47909999999997</v>
      </c>
      <c r="S379" s="1" t="e">
        <f t="shared" si="67"/>
        <v>#N/A</v>
      </c>
      <c r="T379" s="1" t="e">
        <v>#N/A</v>
      </c>
    </row>
    <row r="380" spans="1:57" x14ac:dyDescent="0.35">
      <c r="A380" s="1">
        <v>500112.24489999999</v>
      </c>
      <c r="B380" s="1">
        <v>5999997.4409999996</v>
      </c>
      <c r="C380" s="1">
        <v>174.56299346160199</v>
      </c>
      <c r="D380" s="1">
        <f t="shared" si="68"/>
        <v>112.38582526354234</v>
      </c>
      <c r="E380" s="1">
        <v>0.01</v>
      </c>
      <c r="F380" s="1">
        <v>0.05</v>
      </c>
      <c r="G380" s="1">
        <v>0.1</v>
      </c>
      <c r="H380" s="1">
        <v>9.81</v>
      </c>
      <c r="I380" s="1">
        <v>2650</v>
      </c>
      <c r="J380" s="1">
        <v>1000</v>
      </c>
      <c r="K380" s="1">
        <v>1.65</v>
      </c>
      <c r="L380" s="1">
        <v>6.5</v>
      </c>
      <c r="M380" s="1">
        <v>2.5</v>
      </c>
      <c r="N380" s="6">
        <v>9.9999999999999995E-7</v>
      </c>
      <c r="O380" s="1">
        <f t="shared" si="69"/>
        <v>10.211692861963954</v>
      </c>
      <c r="P380" s="1">
        <f t="shared" si="65"/>
        <v>13.530011313683339</v>
      </c>
      <c r="Q380" s="1">
        <f t="shared" si="66"/>
        <v>12.239120759392609</v>
      </c>
      <c r="R380" s="1">
        <v>125.47909999999997</v>
      </c>
      <c r="S380" s="1" t="e">
        <f t="shared" si="67"/>
        <v>#N/A</v>
      </c>
      <c r="T380" s="1" t="e">
        <v>#N/A</v>
      </c>
    </row>
    <row r="381" spans="1:57" x14ac:dyDescent="0.35">
      <c r="A381" s="1">
        <v>500122.44900000002</v>
      </c>
      <c r="B381" s="1">
        <v>5999997.7379999999</v>
      </c>
      <c r="C381" s="1">
        <v>165.68327835707299</v>
      </c>
      <c r="D381" s="1">
        <f t="shared" si="68"/>
        <v>122.59424658178733</v>
      </c>
      <c r="E381" s="1">
        <v>0.01</v>
      </c>
      <c r="F381" s="1">
        <v>0.05</v>
      </c>
      <c r="G381" s="1">
        <v>0.1</v>
      </c>
      <c r="H381" s="1">
        <v>9.81</v>
      </c>
      <c r="I381" s="1">
        <v>2650</v>
      </c>
      <c r="J381" s="1">
        <v>1000</v>
      </c>
      <c r="K381" s="1">
        <v>1.65</v>
      </c>
      <c r="L381" s="1">
        <v>6.5</v>
      </c>
      <c r="M381" s="1">
        <v>2.5</v>
      </c>
      <c r="N381" s="6">
        <v>9.9999999999999995E-7</v>
      </c>
      <c r="O381" s="1">
        <f t="shared" si="69"/>
        <v>10.212455607463802</v>
      </c>
      <c r="P381" s="1">
        <f t="shared" si="65"/>
        <v>12.917030195420445</v>
      </c>
      <c r="Q381" s="1">
        <f t="shared" si="66"/>
        <v>13.223520754551892</v>
      </c>
      <c r="R381" s="1">
        <v>125.47909999999997</v>
      </c>
      <c r="S381" s="1" t="e">
        <f t="shared" si="67"/>
        <v>#N/A</v>
      </c>
      <c r="T381" s="1" t="e">
        <v>#N/A</v>
      </c>
    </row>
    <row r="382" spans="1:57" x14ac:dyDescent="0.35">
      <c r="A382" s="1">
        <v>500132.6531</v>
      </c>
      <c r="B382" s="1">
        <v>5999997.2350000003</v>
      </c>
      <c r="C382" s="1">
        <v>173.58726489934301</v>
      </c>
      <c r="D382" s="1">
        <f t="shared" si="68"/>
        <v>132.81073647846995</v>
      </c>
      <c r="E382" s="1">
        <v>0.01</v>
      </c>
      <c r="F382" s="1">
        <v>0.05</v>
      </c>
      <c r="G382" s="1">
        <v>0.1</v>
      </c>
      <c r="H382" s="1">
        <v>9.81</v>
      </c>
      <c r="I382" s="1">
        <v>2650</v>
      </c>
      <c r="J382" s="1">
        <v>1000</v>
      </c>
      <c r="K382" s="1">
        <v>1.65</v>
      </c>
      <c r="L382" s="1">
        <v>6.5</v>
      </c>
      <c r="M382" s="1">
        <v>2.5</v>
      </c>
      <c r="N382" s="6">
        <v>9.9999999999999995E-7</v>
      </c>
      <c r="O382" s="1">
        <f t="shared" si="69"/>
        <v>10.225512676353247</v>
      </c>
      <c r="P382" s="1">
        <f t="shared" si="65"/>
        <v>13.492945518552009</v>
      </c>
      <c r="Q382" s="1">
        <f t="shared" si="66"/>
        <v>13.204987856986227</v>
      </c>
      <c r="R382" s="1">
        <v>125.47909999999997</v>
      </c>
      <c r="S382" s="1" t="e">
        <f t="shared" si="67"/>
        <v>#N/A</v>
      </c>
      <c r="T382" s="1" t="e">
        <v>#N/A</v>
      </c>
    </row>
    <row r="383" spans="1:57" x14ac:dyDescent="0.35">
      <c r="A383" s="1">
        <v>500142.85710000002</v>
      </c>
      <c r="B383" s="1">
        <v>5999996.4450000003</v>
      </c>
      <c r="C383" s="1">
        <v>164.79443470844299</v>
      </c>
      <c r="D383" s="1">
        <f t="shared" si="68"/>
        <v>143.04527193449383</v>
      </c>
      <c r="E383" s="1">
        <v>0.01</v>
      </c>
      <c r="F383" s="1">
        <v>0.05</v>
      </c>
      <c r="G383" s="1">
        <v>0.1</v>
      </c>
      <c r="H383" s="1">
        <v>9.81</v>
      </c>
      <c r="I383" s="1">
        <v>2650</v>
      </c>
      <c r="J383" s="1">
        <v>1000</v>
      </c>
      <c r="K383" s="1">
        <v>1.65</v>
      </c>
      <c r="L383" s="1">
        <v>6.5</v>
      </c>
      <c r="M383" s="1">
        <v>2.5</v>
      </c>
      <c r="N383" s="6">
        <v>9.9999999999999995E-7</v>
      </c>
      <c r="O383" s="1">
        <f t="shared" si="69"/>
        <v>10.219577641411078</v>
      </c>
      <c r="P383" s="1">
        <f t="shared" si="65"/>
        <v>10.57052865269438</v>
      </c>
      <c r="Q383" s="1">
        <f t="shared" si="66"/>
        <v>12.031737085623195</v>
      </c>
      <c r="R383" s="1">
        <v>125.47909999999997</v>
      </c>
      <c r="S383" s="1" t="e">
        <f t="shared" si="67"/>
        <v>#N/A</v>
      </c>
      <c r="T383" s="1" t="e">
        <v>#N/A</v>
      </c>
    </row>
    <row r="384" spans="1:57" x14ac:dyDescent="0.35">
      <c r="A384" s="1">
        <v>500153.0612</v>
      </c>
      <c r="B384" s="1">
        <v>5999996.5480000004</v>
      </c>
      <c r="C384" s="1">
        <v>167.55157275140499</v>
      </c>
      <c r="D384" s="1">
        <f t="shared" si="68"/>
        <v>153.2498917612921</v>
      </c>
      <c r="E384" s="1">
        <v>0.01</v>
      </c>
      <c r="F384" s="1">
        <v>0.05</v>
      </c>
      <c r="G384" s="1">
        <v>0.1</v>
      </c>
      <c r="H384" s="1">
        <v>9.81</v>
      </c>
      <c r="I384" s="1">
        <v>2650</v>
      </c>
      <c r="J384" s="1">
        <v>1000</v>
      </c>
      <c r="K384" s="1">
        <v>1.65</v>
      </c>
      <c r="L384" s="1">
        <v>6.5</v>
      </c>
      <c r="M384" s="1">
        <v>2.5</v>
      </c>
      <c r="N384" s="6">
        <v>9.9999999999999995E-7</v>
      </c>
      <c r="O384" s="1">
        <f t="shared" si="69"/>
        <v>10.204940921281036</v>
      </c>
      <c r="P384" s="1">
        <f t="shared" si="65"/>
        <v>10.682627590463349</v>
      </c>
      <c r="Q384" s="1">
        <f t="shared" si="66"/>
        <v>10.626578121578865</v>
      </c>
      <c r="R384" s="1">
        <v>125.47909999999997</v>
      </c>
      <c r="S384" s="1" t="e">
        <f t="shared" si="67"/>
        <v>#N/A</v>
      </c>
      <c r="T384" s="1" t="e">
        <v>#N/A</v>
      </c>
    </row>
    <row r="385" spans="1:20" x14ac:dyDescent="0.35">
      <c r="A385" s="1">
        <v>500163.26530000003</v>
      </c>
      <c r="B385" s="1">
        <v>5999996.7019999996</v>
      </c>
      <c r="C385" s="1">
        <v>164.39385847900201</v>
      </c>
      <c r="D385" s="1">
        <f t="shared" si="68"/>
        <v>163.4551537770559</v>
      </c>
      <c r="E385" s="1">
        <v>0.01</v>
      </c>
      <c r="F385" s="1">
        <v>0.05</v>
      </c>
      <c r="G385" s="1">
        <v>0.1</v>
      </c>
      <c r="H385" s="1">
        <v>9.81</v>
      </c>
      <c r="I385" s="1">
        <v>2650</v>
      </c>
      <c r="J385" s="1">
        <v>1000</v>
      </c>
      <c r="K385" s="1">
        <v>1.65</v>
      </c>
      <c r="L385" s="1">
        <v>6.5</v>
      </c>
      <c r="M385" s="1">
        <v>2.5</v>
      </c>
      <c r="N385" s="6">
        <v>9.9999999999999995E-7</v>
      </c>
      <c r="O385" s="1">
        <f t="shared" si="69"/>
        <v>10.213849082106762</v>
      </c>
      <c r="P385" s="1">
        <f t="shared" si="65"/>
        <v>11.026540308620518</v>
      </c>
      <c r="Q385" s="1">
        <f t="shared" si="66"/>
        <v>10.854583949541933</v>
      </c>
      <c r="R385" s="1">
        <v>125.47909999999997</v>
      </c>
      <c r="S385" s="1" t="e">
        <f t="shared" si="67"/>
        <v>#N/A</v>
      </c>
      <c r="T385" s="1" t="e">
        <v>#N/A</v>
      </c>
    </row>
    <row r="386" spans="1:20" x14ac:dyDescent="0.35">
      <c r="A386" s="1">
        <v>500173.4694</v>
      </c>
      <c r="B386" s="1">
        <v>5999996.0899999999</v>
      </c>
      <c r="C386" s="1">
        <v>168.52742719967199</v>
      </c>
      <c r="D386" s="1">
        <f t="shared" si="68"/>
        <v>173.67758992550563</v>
      </c>
      <c r="E386" s="1">
        <v>0.01</v>
      </c>
      <c r="F386" s="1">
        <v>0.05</v>
      </c>
      <c r="G386" s="1">
        <v>0.1</v>
      </c>
      <c r="H386" s="1">
        <v>9.81</v>
      </c>
      <c r="I386" s="1">
        <v>2650</v>
      </c>
      <c r="J386" s="1">
        <v>1000</v>
      </c>
      <c r="K386" s="1">
        <v>1.65</v>
      </c>
      <c r="L386" s="1">
        <v>6.5</v>
      </c>
      <c r="M386" s="1">
        <v>2.5</v>
      </c>
      <c r="N386" s="6">
        <v>9.9999999999999995E-7</v>
      </c>
      <c r="O386" s="1">
        <f t="shared" si="69"/>
        <v>10.214988293625822</v>
      </c>
      <c r="P386" s="1">
        <f t="shared" si="65"/>
        <v>10.632479456336906</v>
      </c>
      <c r="Q386" s="1">
        <f t="shared" si="66"/>
        <v>10.829509882478712</v>
      </c>
      <c r="R386" s="1">
        <v>125.47909999999997</v>
      </c>
      <c r="S386" s="1" t="e">
        <f t="shared" si="67"/>
        <v>#N/A</v>
      </c>
      <c r="T386" s="1" t="e">
        <v>#N/A</v>
      </c>
    </row>
    <row r="387" spans="1:20" x14ac:dyDescent="0.35">
      <c r="A387" s="1">
        <v>500183.67349999998</v>
      </c>
      <c r="B387" s="1">
        <v>5999996.3550000004</v>
      </c>
      <c r="C387" s="1">
        <v>165.55156806663999</v>
      </c>
      <c r="D387" s="1">
        <f t="shared" si="68"/>
        <v>183.88513036430754</v>
      </c>
      <c r="E387" s="1">
        <v>0.01</v>
      </c>
      <c r="F387" s="1">
        <v>0.05</v>
      </c>
      <c r="G387" s="1">
        <v>0.1</v>
      </c>
      <c r="H387" s="1">
        <v>9.81</v>
      </c>
      <c r="I387" s="1">
        <v>2650</v>
      </c>
      <c r="J387" s="1">
        <v>1000</v>
      </c>
      <c r="K387" s="1">
        <v>1.65</v>
      </c>
      <c r="L387" s="1">
        <v>6.5</v>
      </c>
      <c r="M387" s="1">
        <v>2.5</v>
      </c>
      <c r="N387" s="6">
        <v>9.9999999999999995E-7</v>
      </c>
      <c r="O387" s="1">
        <f t="shared" si="69"/>
        <v>10.210285318026777</v>
      </c>
      <c r="P387" s="1">
        <f t="shared" si="65"/>
        <v>10.217153370786205</v>
      </c>
      <c r="Q387" s="1">
        <f t="shared" si="66"/>
        <v>10.424816413561555</v>
      </c>
      <c r="R387" s="1">
        <v>125.47909999999997</v>
      </c>
      <c r="S387" s="1" t="e">
        <f t="shared" si="67"/>
        <v>#N/A</v>
      </c>
      <c r="T387" s="1" t="e">
        <v>#N/A</v>
      </c>
    </row>
    <row r="388" spans="1:20" x14ac:dyDescent="0.35">
      <c r="A388" s="1">
        <v>500193.87760000001</v>
      </c>
      <c r="B388" s="1">
        <v>5999996.7819999997</v>
      </c>
      <c r="C388" s="1">
        <v>165.84180450851801</v>
      </c>
      <c r="D388" s="1">
        <f t="shared" si="68"/>
        <v>194.09816056155918</v>
      </c>
      <c r="E388" s="1">
        <v>0.01</v>
      </c>
      <c r="F388" s="1">
        <v>0.05</v>
      </c>
      <c r="G388" s="1">
        <v>0.1</v>
      </c>
      <c r="H388" s="1">
        <v>9.81</v>
      </c>
      <c r="I388" s="1">
        <v>2650</v>
      </c>
      <c r="J388" s="1">
        <v>1000</v>
      </c>
      <c r="K388" s="1">
        <v>1.65</v>
      </c>
      <c r="L388" s="1">
        <v>6.5</v>
      </c>
      <c r="M388" s="1">
        <v>2.5</v>
      </c>
      <c r="N388" s="6">
        <v>9.9999999999999995E-7</v>
      </c>
      <c r="O388" s="1">
        <f t="shared" si="69"/>
        <v>10.225732250662787</v>
      </c>
      <c r="P388" s="1">
        <f t="shared" si="65"/>
        <v>11.805317568883225</v>
      </c>
      <c r="Q388" s="1">
        <f t="shared" si="66"/>
        <v>11.011235469834716</v>
      </c>
      <c r="R388" s="1">
        <v>125.47909999999997</v>
      </c>
      <c r="S388" s="1" t="e">
        <f t="shared" si="67"/>
        <v>#N/A</v>
      </c>
      <c r="T388" s="1" t="e">
        <v>#N/A</v>
      </c>
    </row>
    <row r="389" spans="1:20" x14ac:dyDescent="0.35">
      <c r="A389" s="1">
        <v>500204.08159999998</v>
      </c>
      <c r="B389" s="1">
        <v>5999995.943</v>
      </c>
      <c r="C389" s="1">
        <v>159.96473160584401</v>
      </c>
      <c r="D389" s="1">
        <f t="shared" si="68"/>
        <v>204.33659486563312</v>
      </c>
      <c r="E389" s="1">
        <v>0.01</v>
      </c>
      <c r="F389" s="1">
        <v>0.05</v>
      </c>
      <c r="G389" s="1">
        <v>0.1</v>
      </c>
      <c r="H389" s="1">
        <v>9.81</v>
      </c>
      <c r="I389" s="1">
        <v>2650</v>
      </c>
      <c r="J389" s="1">
        <v>1000</v>
      </c>
      <c r="K389" s="1">
        <v>1.65</v>
      </c>
      <c r="L389" s="1">
        <v>6.5</v>
      </c>
      <c r="M389" s="1">
        <v>2.5</v>
      </c>
      <c r="N389" s="6">
        <v>9.9999999999999995E-7</v>
      </c>
      <c r="O389" s="1">
        <f t="shared" si="69"/>
        <v>10.222474465035148</v>
      </c>
      <c r="P389" s="1">
        <f t="shared" si="65"/>
        <v>10.510110351296964</v>
      </c>
      <c r="Q389" s="1">
        <f t="shared" si="66"/>
        <v>11.157713960090096</v>
      </c>
      <c r="R389" s="1">
        <v>125.47909999999997</v>
      </c>
      <c r="S389" s="1" t="e">
        <f t="shared" si="67"/>
        <v>#N/A</v>
      </c>
      <c r="T389" s="1" t="e">
        <v>#N/A</v>
      </c>
    </row>
    <row r="390" spans="1:20" x14ac:dyDescent="0.35">
      <c r="A390" s="1">
        <v>500214.28570000001</v>
      </c>
      <c r="B390" s="1">
        <v>5999995.7209999999</v>
      </c>
      <c r="C390" s="1">
        <v>162.47261493362501</v>
      </c>
      <c r="D390" s="1">
        <f t="shared" si="68"/>
        <v>214.54310949162948</v>
      </c>
      <c r="E390" s="1">
        <v>0.01</v>
      </c>
      <c r="F390" s="1">
        <v>0.05</v>
      </c>
      <c r="G390" s="1">
        <v>0.1</v>
      </c>
      <c r="H390" s="1">
        <v>9.81</v>
      </c>
      <c r="I390" s="1">
        <v>2650</v>
      </c>
      <c r="J390" s="1">
        <v>1000</v>
      </c>
      <c r="K390" s="1">
        <v>1.65</v>
      </c>
      <c r="L390" s="1">
        <v>6.5</v>
      </c>
      <c r="M390" s="1">
        <v>2.5</v>
      </c>
      <c r="N390" s="6">
        <v>9.9999999999999995E-7</v>
      </c>
      <c r="O390" s="1">
        <f t="shared" si="69"/>
        <v>10.209668499185454</v>
      </c>
      <c r="P390" s="1">
        <f t="shared" si="65"/>
        <v>13.932835838967597</v>
      </c>
      <c r="Q390" s="1">
        <f t="shared" si="66"/>
        <v>12.22147309513228</v>
      </c>
      <c r="R390" s="1">
        <v>125.47909999999997</v>
      </c>
      <c r="S390" s="1" t="e">
        <f t="shared" si="67"/>
        <v>#N/A</v>
      </c>
      <c r="T390" s="1" t="e">
        <v>#N/A</v>
      </c>
    </row>
    <row r="391" spans="1:20" x14ac:dyDescent="0.35">
      <c r="A391" s="1">
        <v>500224.48979999998</v>
      </c>
      <c r="B391" s="1">
        <v>5999996.1430000002</v>
      </c>
      <c r="C391" s="1">
        <v>152.99515885586101</v>
      </c>
      <c r="D391" s="1">
        <f t="shared" si="68"/>
        <v>224.75593186400403</v>
      </c>
      <c r="E391" s="1">
        <v>0.01</v>
      </c>
      <c r="F391" s="1">
        <v>0.05</v>
      </c>
      <c r="G391" s="1">
        <v>0.1</v>
      </c>
      <c r="H391" s="1">
        <v>9.81</v>
      </c>
      <c r="I391" s="1">
        <v>2650</v>
      </c>
      <c r="J391" s="1">
        <v>1000</v>
      </c>
      <c r="K391" s="1">
        <v>1.65</v>
      </c>
      <c r="L391" s="1">
        <v>6.5</v>
      </c>
      <c r="M391" s="1">
        <v>2.5</v>
      </c>
      <c r="N391" s="6">
        <v>9.9999999999999995E-7</v>
      </c>
      <c r="O391" s="1">
        <f t="shared" si="69"/>
        <v>10.211706300347956</v>
      </c>
      <c r="P391" s="1">
        <f t="shared" si="65"/>
        <v>10.301820481574744</v>
      </c>
      <c r="Q391" s="1">
        <f t="shared" si="66"/>
        <v>12.117328160271171</v>
      </c>
      <c r="R391" s="1">
        <v>125.47909999999997</v>
      </c>
      <c r="S391" s="1" t="e">
        <f t="shared" si="67"/>
        <v>#N/A</v>
      </c>
      <c r="T391" s="1" t="e">
        <v>#N/A</v>
      </c>
    </row>
    <row r="392" spans="1:20" x14ac:dyDescent="0.35">
      <c r="A392" s="1">
        <v>500234.69390000001</v>
      </c>
      <c r="B392" s="1">
        <v>5999996.5070000002</v>
      </c>
      <c r="C392" s="1">
        <v>151.627185016966</v>
      </c>
      <c r="D392" s="1">
        <f t="shared" si="68"/>
        <v>234.96652209232539</v>
      </c>
      <c r="E392" s="1">
        <v>0.01</v>
      </c>
      <c r="F392" s="1">
        <v>0.05</v>
      </c>
      <c r="G392" s="1">
        <v>0.1</v>
      </c>
      <c r="H392" s="1">
        <v>9.81</v>
      </c>
      <c r="I392" s="1">
        <v>2650</v>
      </c>
      <c r="J392" s="1">
        <v>1000</v>
      </c>
      <c r="K392" s="1">
        <v>1.65</v>
      </c>
      <c r="L392" s="1">
        <v>6.5</v>
      </c>
      <c r="M392" s="1">
        <v>2.5</v>
      </c>
      <c r="N392" s="6">
        <v>9.9999999999999995E-7</v>
      </c>
      <c r="O392" s="1">
        <f t="shared" si="69"/>
        <v>10.212172653557417</v>
      </c>
      <c r="P392" s="1">
        <f t="shared" si="65"/>
        <v>11.089044194999135</v>
      </c>
      <c r="Q392" s="1">
        <f t="shared" si="66"/>
        <v>10.695432338286938</v>
      </c>
      <c r="R392" s="1">
        <v>125.47909999999997</v>
      </c>
      <c r="S392" s="1" t="e">
        <f t="shared" si="67"/>
        <v>#N/A</v>
      </c>
      <c r="T392" s="1" t="e">
        <v>#N/A</v>
      </c>
    </row>
    <row r="393" spans="1:20" x14ac:dyDescent="0.35">
      <c r="A393" s="1">
        <v>500244.89799999999</v>
      </c>
      <c r="B393" s="1">
        <v>5999996.9510000004</v>
      </c>
      <c r="C393" s="1">
        <v>155.94529899752101</v>
      </c>
      <c r="D393" s="1">
        <f t="shared" si="68"/>
        <v>245.18027717111886</v>
      </c>
      <c r="E393" s="1">
        <v>0.01</v>
      </c>
      <c r="F393" s="1">
        <v>0.05</v>
      </c>
      <c r="G393" s="1">
        <v>0.1</v>
      </c>
      <c r="H393" s="1">
        <v>9.81</v>
      </c>
      <c r="I393" s="1">
        <v>2650</v>
      </c>
      <c r="J393" s="1">
        <v>1000</v>
      </c>
      <c r="K393" s="1">
        <v>1.65</v>
      </c>
      <c r="L393" s="1">
        <v>6.5</v>
      </c>
      <c r="M393" s="1">
        <v>2.5</v>
      </c>
      <c r="N393" s="6">
        <v>9.9999999999999995E-7</v>
      </c>
      <c r="O393" s="1">
        <f t="shared" si="69"/>
        <v>10.228334363400478</v>
      </c>
      <c r="P393" s="1">
        <f t="shared" si="65"/>
        <v>11.738479864242503</v>
      </c>
      <c r="Q393" s="1">
        <f t="shared" si="66"/>
        <v>11.41376202962082</v>
      </c>
      <c r="R393" s="1">
        <v>125.47909999999997</v>
      </c>
      <c r="S393" s="1" t="e">
        <f t="shared" si="67"/>
        <v>#N/A</v>
      </c>
      <c r="T393" s="1" t="e">
        <v>#N/A</v>
      </c>
    </row>
    <row r="394" spans="1:20" x14ac:dyDescent="0.35">
      <c r="A394" s="1">
        <v>500255.10200000001</v>
      </c>
      <c r="B394" s="1">
        <v>5999997.8430000003</v>
      </c>
      <c r="C394" s="1">
        <v>150.21165883417899</v>
      </c>
      <c r="D394" s="1">
        <f t="shared" si="68"/>
        <v>255.42319081912635</v>
      </c>
      <c r="E394" s="1">
        <v>0.01</v>
      </c>
      <c r="F394" s="1">
        <v>0.05</v>
      </c>
      <c r="G394" s="1">
        <v>0.1</v>
      </c>
      <c r="H394" s="1">
        <v>9.81</v>
      </c>
      <c r="I394" s="1">
        <v>2650</v>
      </c>
      <c r="J394" s="1">
        <v>1000</v>
      </c>
      <c r="K394" s="1">
        <v>1.65</v>
      </c>
      <c r="L394" s="1">
        <v>6.5</v>
      </c>
      <c r="M394" s="1">
        <v>2.5</v>
      </c>
      <c r="N394" s="6">
        <v>9.9999999999999995E-7</v>
      </c>
      <c r="O394" s="1">
        <f t="shared" si="69"/>
        <v>10.228247812702051</v>
      </c>
      <c r="P394" s="1">
        <f t="shared" si="65"/>
        <v>10.415569048554094</v>
      </c>
      <c r="Q394" s="1">
        <f t="shared" si="66"/>
        <v>11.077024456398298</v>
      </c>
      <c r="R394" s="1">
        <v>125.47909999999997</v>
      </c>
      <c r="S394" s="1" t="e">
        <f t="shared" si="67"/>
        <v>#N/A</v>
      </c>
      <c r="T394" s="1" t="e">
        <v>#N/A</v>
      </c>
    </row>
    <row r="395" spans="1:20" x14ac:dyDescent="0.35">
      <c r="A395" s="1">
        <v>500265.30609999999</v>
      </c>
      <c r="B395" s="1">
        <v>5999998.2829999998</v>
      </c>
      <c r="C395" s="1">
        <v>148.17037938339399</v>
      </c>
      <c r="D395" s="1">
        <f t="shared" si="68"/>
        <v>265.63677279652296</v>
      </c>
      <c r="E395" s="1">
        <v>0.01</v>
      </c>
      <c r="F395" s="1">
        <v>0.05</v>
      </c>
      <c r="G395" s="1">
        <v>0.1</v>
      </c>
      <c r="H395" s="1">
        <v>9.81</v>
      </c>
      <c r="I395" s="1">
        <v>2650</v>
      </c>
      <c r="J395" s="1">
        <v>1000</v>
      </c>
      <c r="K395" s="1">
        <v>1.65</v>
      </c>
      <c r="L395" s="1">
        <v>6.5</v>
      </c>
      <c r="M395" s="1">
        <v>2.5</v>
      </c>
      <c r="N395" s="6">
        <v>9.9999999999999995E-7</v>
      </c>
      <c r="O395" s="1">
        <f t="shared" si="69"/>
        <v>10.23198332194535</v>
      </c>
      <c r="P395" s="1">
        <f t="shared" si="65"/>
        <v>10.753746192038282</v>
      </c>
      <c r="Q395" s="1">
        <f t="shared" si="66"/>
        <v>10.584657620296188</v>
      </c>
      <c r="R395" s="1">
        <v>125.47909999999997</v>
      </c>
      <c r="S395" s="1" t="e">
        <f t="shared" si="67"/>
        <v>#N/A</v>
      </c>
      <c r="T395" s="1" t="e">
        <v>#N/A</v>
      </c>
    </row>
    <row r="396" spans="1:20" x14ac:dyDescent="0.35">
      <c r="A396" s="1">
        <v>500275.51020000002</v>
      </c>
      <c r="B396" s="1">
        <v>5999997.3099999996</v>
      </c>
      <c r="C396" s="1">
        <v>144.91881493659599</v>
      </c>
      <c r="D396" s="1">
        <f t="shared" si="68"/>
        <v>275.88715746301705</v>
      </c>
      <c r="E396" s="1">
        <v>0.01</v>
      </c>
      <c r="F396" s="1">
        <v>0.05</v>
      </c>
      <c r="G396" s="1">
        <v>0.1</v>
      </c>
      <c r="H396" s="1">
        <v>9.81</v>
      </c>
      <c r="I396" s="1">
        <v>2650</v>
      </c>
      <c r="J396" s="1">
        <v>1000</v>
      </c>
      <c r="K396" s="1">
        <v>1.65</v>
      </c>
      <c r="L396" s="1">
        <v>6.5</v>
      </c>
      <c r="M396" s="1">
        <v>2.5</v>
      </c>
      <c r="N396" s="6">
        <v>9.9999999999999995E-7</v>
      </c>
      <c r="O396" s="1">
        <f t="shared" si="69"/>
        <v>10.247668609691146</v>
      </c>
      <c r="P396" s="1">
        <f t="shared" si="65"/>
        <v>10.247801935839309</v>
      </c>
      <c r="Q396" s="1">
        <f t="shared" si="66"/>
        <v>10.500774063938795</v>
      </c>
      <c r="R396" s="1">
        <v>125.47909999999997</v>
      </c>
      <c r="S396" s="1" t="e">
        <f t="shared" si="67"/>
        <v>#N/A</v>
      </c>
      <c r="T396" s="1" t="e">
        <v>#N/A</v>
      </c>
    </row>
    <row r="397" spans="1:20" x14ac:dyDescent="0.35">
      <c r="A397" s="1">
        <v>500285.71429999999</v>
      </c>
      <c r="B397" s="1">
        <v>5999998.2240000004</v>
      </c>
      <c r="C397" s="1">
        <v>144.67717117967001</v>
      </c>
      <c r="D397" s="1">
        <f t="shared" si="68"/>
        <v>286.13211001590525</v>
      </c>
      <c r="E397" s="1">
        <v>0.01</v>
      </c>
      <c r="F397" s="1">
        <v>0.05</v>
      </c>
      <c r="G397" s="1">
        <v>0.1</v>
      </c>
      <c r="H397" s="1">
        <v>9.81</v>
      </c>
      <c r="I397" s="1">
        <v>2650</v>
      </c>
      <c r="J397" s="1">
        <v>1000</v>
      </c>
      <c r="K397" s="1">
        <v>1.65</v>
      </c>
      <c r="L397" s="1">
        <v>6.5</v>
      </c>
      <c r="M397" s="1">
        <v>2.5</v>
      </c>
      <c r="N397" s="6">
        <v>9.9999999999999995E-7</v>
      </c>
      <c r="O397" s="1">
        <f t="shared" si="69"/>
        <v>10.245310960713113</v>
      </c>
      <c r="P397" s="1">
        <f t="shared" si="65"/>
        <v>10.773986209295044</v>
      </c>
      <c r="Q397" s="1">
        <f t="shared" si="66"/>
        <v>10.510894072567176</v>
      </c>
      <c r="R397" s="1">
        <v>125.47909999999997</v>
      </c>
      <c r="S397" s="1" t="e">
        <f t="shared" si="67"/>
        <v>#N/A</v>
      </c>
      <c r="T397" s="1" t="e">
        <v>#N/A</v>
      </c>
    </row>
    <row r="398" spans="1:20" x14ac:dyDescent="0.35">
      <c r="A398" s="1">
        <v>500295.91840000002</v>
      </c>
      <c r="B398" s="1">
        <v>5999999.1459999997</v>
      </c>
      <c r="C398" s="1">
        <v>141.344748933213</v>
      </c>
      <c r="D398" s="1">
        <f t="shared" si="68"/>
        <v>296.37777938444327</v>
      </c>
      <c r="E398" s="1">
        <v>0.01</v>
      </c>
      <c r="F398" s="1">
        <v>0.05</v>
      </c>
      <c r="G398" s="1">
        <v>0.1</v>
      </c>
      <c r="H398" s="1">
        <v>9.81</v>
      </c>
      <c r="I398" s="1">
        <v>2650</v>
      </c>
      <c r="J398" s="1">
        <v>1000</v>
      </c>
      <c r="K398" s="1">
        <v>1.65</v>
      </c>
      <c r="L398" s="1">
        <v>6.5</v>
      </c>
      <c r="M398" s="1">
        <v>2.5</v>
      </c>
      <c r="N398" s="6">
        <v>9.9999999999999995E-7</v>
      </c>
      <c r="O398" s="1">
        <f t="shared" si="69"/>
        <v>10.233098302678485</v>
      </c>
      <c r="P398" s="1">
        <f t="shared" si="65"/>
        <v>10.320041754295742</v>
      </c>
      <c r="Q398" s="1">
        <f t="shared" si="66"/>
        <v>10.547013981795393</v>
      </c>
      <c r="R398" s="1">
        <v>125.47909999999997</v>
      </c>
      <c r="S398" s="1" t="e">
        <f t="shared" si="67"/>
        <v>#N/A</v>
      </c>
      <c r="T398" s="1" t="e">
        <v>#N/A</v>
      </c>
    </row>
    <row r="399" spans="1:20" x14ac:dyDescent="0.35">
      <c r="A399" s="1">
        <v>500306.12239999999</v>
      </c>
      <c r="B399" s="1">
        <v>5999998.5650000004</v>
      </c>
      <c r="C399" s="1">
        <v>139.91503399244701</v>
      </c>
      <c r="D399" s="1">
        <f t="shared" si="68"/>
        <v>306.59830662126222</v>
      </c>
      <c r="E399" s="1">
        <v>0.01</v>
      </c>
      <c r="F399" s="1">
        <v>0.05</v>
      </c>
      <c r="G399" s="1">
        <v>0.1</v>
      </c>
      <c r="H399" s="1">
        <v>9.81</v>
      </c>
      <c r="I399" s="1">
        <v>2650</v>
      </c>
      <c r="J399" s="1">
        <v>1000</v>
      </c>
      <c r="K399" s="1">
        <v>1.65</v>
      </c>
      <c r="L399" s="1">
        <v>6.5</v>
      </c>
      <c r="M399" s="1">
        <v>2.5</v>
      </c>
      <c r="N399" s="6">
        <v>9.9999999999999995E-7</v>
      </c>
      <c r="O399" s="1">
        <f t="shared" si="69"/>
        <v>10.221874954638196</v>
      </c>
      <c r="P399" s="1">
        <f t="shared" si="65"/>
        <v>13.893706980070347</v>
      </c>
      <c r="Q399" s="1">
        <f t="shared" si="66"/>
        <v>12.106874367183044</v>
      </c>
      <c r="R399" s="1">
        <v>125.47909999999997</v>
      </c>
      <c r="S399" s="1" t="e">
        <f t="shared" si="67"/>
        <v>#N/A</v>
      </c>
      <c r="T399" s="1" t="e">
        <v>#N/A</v>
      </c>
    </row>
    <row r="400" spans="1:20" x14ac:dyDescent="0.35">
      <c r="A400" s="1">
        <v>500316.32650000002</v>
      </c>
      <c r="B400" s="1">
        <v>5999999.1900000004</v>
      </c>
      <c r="C400" s="1">
        <v>130.506484059678</v>
      </c>
      <c r="D400" s="1">
        <f t="shared" si="68"/>
        <v>316.82152929371966</v>
      </c>
      <c r="E400" s="1">
        <v>0.01</v>
      </c>
      <c r="F400" s="1">
        <v>0.05</v>
      </c>
      <c r="G400" s="1">
        <v>0.1</v>
      </c>
      <c r="H400" s="1">
        <v>9.81</v>
      </c>
      <c r="I400" s="1">
        <v>2650</v>
      </c>
      <c r="J400" s="1">
        <v>1000</v>
      </c>
      <c r="K400" s="1">
        <v>1.65</v>
      </c>
      <c r="L400" s="1">
        <v>6.5</v>
      </c>
      <c r="M400" s="1">
        <v>2.5</v>
      </c>
      <c r="N400" s="6">
        <v>9.9999999999999995E-7</v>
      </c>
      <c r="O400" s="1">
        <f t="shared" si="69"/>
        <v>10.235493697492075</v>
      </c>
      <c r="P400" s="1">
        <f t="shared" si="65"/>
        <v>10.418299398725649</v>
      </c>
      <c r="Q400" s="1">
        <f t="shared" si="66"/>
        <v>12.156003189397998</v>
      </c>
      <c r="R400" s="1">
        <v>125.47909999999997</v>
      </c>
      <c r="S400" s="1" t="e">
        <f t="shared" si="67"/>
        <v>#N/A</v>
      </c>
      <c r="T400" s="1" t="e">
        <v>#N/A</v>
      </c>
    </row>
    <row r="401" spans="1:20" x14ac:dyDescent="0.35">
      <c r="A401" s="1">
        <v>500326.5306</v>
      </c>
      <c r="B401" s="1">
        <v>6000000.1349999998</v>
      </c>
      <c r="C401" s="1">
        <v>128.62917733108401</v>
      </c>
      <c r="D401" s="1">
        <f t="shared" si="68"/>
        <v>327.06929401624637</v>
      </c>
      <c r="E401" s="1">
        <v>0.01</v>
      </c>
      <c r="F401" s="1">
        <v>0.05</v>
      </c>
      <c r="G401" s="1">
        <v>0.1</v>
      </c>
      <c r="H401" s="1">
        <v>9.81</v>
      </c>
      <c r="I401" s="1">
        <v>2650</v>
      </c>
      <c r="J401" s="1">
        <v>1000</v>
      </c>
      <c r="K401" s="1">
        <v>1.65</v>
      </c>
      <c r="L401" s="1">
        <v>6.5</v>
      </c>
      <c r="M401" s="1">
        <v>2.5</v>
      </c>
      <c r="N401" s="6">
        <v>9.9999999999999995E-7</v>
      </c>
      <c r="O401" s="1">
        <f t="shared" si="69"/>
        <v>10.241238558797846</v>
      </c>
      <c r="P401" s="1">
        <f t="shared" ref="P401:P417" si="70">SQRT((D402 - D401)^2 + (C402 - C401)^2)</f>
        <v>10.787841757464356</v>
      </c>
      <c r="Q401" s="1">
        <f t="shared" ref="Q401:Q417" si="71">IF(ROW()=369, P401/2, (P401 + P400)/2)</f>
        <v>10.603070578095004</v>
      </c>
      <c r="R401" s="1">
        <v>125.47909999999997</v>
      </c>
      <c r="S401" s="1" t="e">
        <f t="shared" ref="S401:S417" si="72">IF(R401 - C401 &lt; 0, NA(), R401 - C401)</f>
        <v>#N/A</v>
      </c>
      <c r="T401" s="1" t="e">
        <v>#N/A</v>
      </c>
    </row>
    <row r="402" spans="1:20" x14ac:dyDescent="0.35">
      <c r="A402" s="1">
        <v>500336.73469999997</v>
      </c>
      <c r="B402" s="1">
        <v>5999999.3439999996</v>
      </c>
      <c r="C402" s="1">
        <v>132.03919081702699</v>
      </c>
      <c r="D402" s="1">
        <f t="shared" ref="D402:D418" si="73">D401 + SQRT((A402 - A401)^2 + (B402 - B401)^2)</f>
        <v>337.30400641131536</v>
      </c>
      <c r="E402" s="1">
        <v>0.01</v>
      </c>
      <c r="F402" s="1">
        <v>0.05</v>
      </c>
      <c r="G402" s="1">
        <v>0.1</v>
      </c>
      <c r="H402" s="1">
        <v>9.81</v>
      </c>
      <c r="I402" s="1">
        <v>2650</v>
      </c>
      <c r="J402" s="1">
        <v>1000</v>
      </c>
      <c r="K402" s="1">
        <v>1.65</v>
      </c>
      <c r="L402" s="1">
        <v>6.5</v>
      </c>
      <c r="M402" s="1">
        <v>2.5</v>
      </c>
      <c r="N402" s="6">
        <v>9.9999999999999995E-7</v>
      </c>
      <c r="O402" s="1">
        <f t="shared" si="69"/>
        <v>10.233949248828765</v>
      </c>
      <c r="P402" s="1">
        <f t="shared" si="70"/>
        <v>11.755266476054745</v>
      </c>
      <c r="Q402" s="1">
        <f t="shared" si="71"/>
        <v>11.27155411675955</v>
      </c>
      <c r="R402" s="1">
        <v>125.47909999999997</v>
      </c>
      <c r="S402" s="1" t="e">
        <f t="shared" si="72"/>
        <v>#N/A</v>
      </c>
      <c r="T402" s="1" t="e">
        <v>#N/A</v>
      </c>
    </row>
    <row r="403" spans="1:20" x14ac:dyDescent="0.35">
      <c r="A403" s="1">
        <v>500346.9388</v>
      </c>
      <c r="B403" s="1">
        <v>5999998.5729999999</v>
      </c>
      <c r="C403" s="1">
        <v>126.254020801129</v>
      </c>
      <c r="D403" s="1">
        <f t="shared" si="73"/>
        <v>347.5371925139039</v>
      </c>
      <c r="E403" s="1">
        <v>0.01</v>
      </c>
      <c r="F403" s="1">
        <v>0.05</v>
      </c>
      <c r="G403" s="1">
        <v>0.1</v>
      </c>
      <c r="H403" s="1">
        <v>9.81</v>
      </c>
      <c r="I403" s="1">
        <v>2650</v>
      </c>
      <c r="J403" s="1">
        <v>1000</v>
      </c>
      <c r="K403" s="1">
        <v>1.65</v>
      </c>
      <c r="L403" s="1">
        <v>6.5</v>
      </c>
      <c r="M403" s="1">
        <v>2.5</v>
      </c>
      <c r="N403" s="6">
        <v>9.9999999999999995E-7</v>
      </c>
      <c r="O403" s="1">
        <f t="shared" si="69"/>
        <v>10.232552707337419</v>
      </c>
      <c r="P403" s="1">
        <f t="shared" si="70"/>
        <v>11.350607222214496</v>
      </c>
      <c r="Q403" s="1">
        <f t="shared" si="71"/>
        <v>11.552936849134621</v>
      </c>
      <c r="R403" s="1">
        <v>125.47909999999997</v>
      </c>
      <c r="S403" s="1" t="e">
        <f t="shared" si="72"/>
        <v>#N/A</v>
      </c>
      <c r="T403" s="1" t="e">
        <v>#N/A</v>
      </c>
    </row>
    <row r="404" spans="1:20" x14ac:dyDescent="0.35">
      <c r="A404" s="1">
        <v>500357.14289999998</v>
      </c>
      <c r="B404" s="1">
        <v>5999999.3269999996</v>
      </c>
      <c r="C404" s="1">
        <v>131.167686591956</v>
      </c>
      <c r="D404" s="1">
        <f t="shared" si="73"/>
        <v>357.76911182599019</v>
      </c>
      <c r="E404" s="1">
        <v>0.01</v>
      </c>
      <c r="F404" s="1">
        <v>0.05</v>
      </c>
      <c r="G404" s="1">
        <v>0.1</v>
      </c>
      <c r="H404" s="1">
        <v>9.81</v>
      </c>
      <c r="I404" s="1">
        <v>2650</v>
      </c>
      <c r="J404" s="1">
        <v>1000</v>
      </c>
      <c r="K404" s="1">
        <v>1.65</v>
      </c>
      <c r="L404" s="1">
        <v>6.5</v>
      </c>
      <c r="M404" s="1">
        <v>2.5</v>
      </c>
      <c r="N404" s="6">
        <v>9.9999999999999995E-7</v>
      </c>
      <c r="O404" s="1">
        <f t="shared" si="69"/>
        <v>10.223838765829584</v>
      </c>
      <c r="P404" s="1">
        <f t="shared" si="70"/>
        <v>10.479732415606993</v>
      </c>
      <c r="Q404" s="1">
        <f t="shared" si="71"/>
        <v>10.915169818910744</v>
      </c>
      <c r="R404" s="1">
        <v>125.47909999999997</v>
      </c>
      <c r="S404" s="1" t="e">
        <f t="shared" si="72"/>
        <v>#N/A</v>
      </c>
      <c r="T404" s="1" t="e">
        <v>#N/A</v>
      </c>
    </row>
    <row r="405" spans="1:20" x14ac:dyDescent="0.35">
      <c r="A405" s="1">
        <v>500367.3469</v>
      </c>
      <c r="B405" s="1">
        <v>5999999.8169999998</v>
      </c>
      <c r="C405" s="1">
        <v>128.83036429882799</v>
      </c>
      <c r="D405" s="1">
        <f t="shared" si="73"/>
        <v>367.98487004556307</v>
      </c>
      <c r="E405" s="1">
        <v>0.01</v>
      </c>
      <c r="F405" s="1">
        <v>0.05</v>
      </c>
      <c r="G405" s="1">
        <v>0.1</v>
      </c>
      <c r="H405" s="1">
        <v>9.81</v>
      </c>
      <c r="I405" s="1">
        <v>2650</v>
      </c>
      <c r="J405" s="1">
        <v>1000</v>
      </c>
      <c r="K405" s="1">
        <v>1.65</v>
      </c>
      <c r="L405" s="1">
        <v>6.5</v>
      </c>
      <c r="M405" s="1">
        <v>2.5</v>
      </c>
      <c r="N405" s="6">
        <v>9.9999999999999995E-7</v>
      </c>
      <c r="O405" s="1">
        <f t="shared" si="69"/>
        <v>10.224509856901079</v>
      </c>
      <c r="P405" s="1">
        <f t="shared" si="70"/>
        <v>10.91645406051112</v>
      </c>
      <c r="Q405" s="1">
        <f t="shared" si="71"/>
        <v>10.698093238059055</v>
      </c>
      <c r="R405" s="1">
        <v>125.47909999999997</v>
      </c>
      <c r="S405" s="1" t="e">
        <f t="shared" si="72"/>
        <v>#N/A</v>
      </c>
      <c r="T405" s="1" t="e">
        <v>#N/A</v>
      </c>
    </row>
    <row r="406" spans="1:20" x14ac:dyDescent="0.35">
      <c r="A406" s="1">
        <v>500377.55099999998</v>
      </c>
      <c r="B406" s="1">
        <v>5999999.0449999999</v>
      </c>
      <c r="C406" s="1">
        <v>125.029137069896</v>
      </c>
      <c r="D406" s="1">
        <f t="shared" si="73"/>
        <v>378.21813153979235</v>
      </c>
      <c r="E406" s="1">
        <v>0.01</v>
      </c>
      <c r="F406" s="1">
        <v>0.05</v>
      </c>
      <c r="G406" s="1">
        <v>0.1</v>
      </c>
      <c r="H406" s="1">
        <v>9.81</v>
      </c>
      <c r="I406" s="1">
        <v>2650</v>
      </c>
      <c r="J406" s="1">
        <v>1000</v>
      </c>
      <c r="K406" s="1">
        <v>1.65</v>
      </c>
      <c r="L406" s="1">
        <v>6.5</v>
      </c>
      <c r="M406" s="1">
        <v>2.5</v>
      </c>
      <c r="N406" s="6">
        <v>9.9999999999999995E-7</v>
      </c>
      <c r="O406" s="1">
        <f t="shared" si="69"/>
        <v>10.221049857319429</v>
      </c>
      <c r="P406" s="1">
        <f t="shared" si="70"/>
        <v>10.237547645163266</v>
      </c>
      <c r="Q406" s="1">
        <f t="shared" si="71"/>
        <v>10.577000852837193</v>
      </c>
      <c r="R406" s="1">
        <v>125.47909999999997</v>
      </c>
      <c r="S406" s="1">
        <f t="shared" si="72"/>
        <v>0.44996293010397892</v>
      </c>
      <c r="T406" s="1">
        <v>0.44996293010397892</v>
      </c>
    </row>
    <row r="407" spans="1:20" x14ac:dyDescent="0.35">
      <c r="A407" s="1">
        <v>500387.75510000001</v>
      </c>
      <c r="B407" s="1">
        <v>5999999.3559999997</v>
      </c>
      <c r="C407" s="1">
        <v>125.795298917349</v>
      </c>
      <c r="D407" s="1">
        <f t="shared" si="73"/>
        <v>388.42696976020193</v>
      </c>
      <c r="E407" s="1">
        <v>0.01</v>
      </c>
      <c r="F407" s="1">
        <v>0.05</v>
      </c>
      <c r="G407" s="1">
        <v>0.1</v>
      </c>
      <c r="H407" s="1">
        <v>9.81</v>
      </c>
      <c r="I407" s="1">
        <v>2650</v>
      </c>
      <c r="J407" s="1">
        <v>1000</v>
      </c>
      <c r="K407" s="1">
        <v>1.65</v>
      </c>
      <c r="L407" s="1">
        <v>6.5</v>
      </c>
      <c r="M407" s="1">
        <v>2.5</v>
      </c>
      <c r="N407" s="6">
        <v>9.9999999999999995E-7</v>
      </c>
      <c r="O407" s="1">
        <f t="shared" si="69"/>
        <v>10.226672955179509</v>
      </c>
      <c r="P407" s="1">
        <f t="shared" si="70"/>
        <v>14.006911426674414</v>
      </c>
      <c r="Q407" s="1">
        <f t="shared" si="71"/>
        <v>12.122229535918841</v>
      </c>
      <c r="R407" s="1">
        <v>125.47909999999997</v>
      </c>
      <c r="S407" s="1" t="e">
        <f t="shared" si="72"/>
        <v>#N/A</v>
      </c>
      <c r="T407" s="1" t="e">
        <v>#N/A</v>
      </c>
    </row>
    <row r="408" spans="1:20" x14ac:dyDescent="0.35">
      <c r="A408" s="1">
        <v>500397.95919999998</v>
      </c>
      <c r="B408" s="1">
        <v>5999998.4469999997</v>
      </c>
      <c r="C408" s="1">
        <v>135.347452072804</v>
      </c>
      <c r="D408" s="1">
        <f t="shared" si="73"/>
        <v>398.67147745015137</v>
      </c>
      <c r="E408" s="1">
        <v>0.01</v>
      </c>
      <c r="F408" s="1">
        <v>0.05</v>
      </c>
      <c r="G408" s="1">
        <v>0.1</v>
      </c>
      <c r="H408" s="1">
        <v>9.81</v>
      </c>
      <c r="I408" s="1">
        <v>2650</v>
      </c>
      <c r="J408" s="1">
        <v>1000</v>
      </c>
      <c r="K408" s="1">
        <v>1.65</v>
      </c>
      <c r="L408" s="1">
        <v>6.5</v>
      </c>
      <c r="M408" s="1">
        <v>2.5</v>
      </c>
      <c r="N408" s="6">
        <v>9.9999999999999995E-7</v>
      </c>
      <c r="O408" s="1">
        <f t="shared" si="69"/>
        <v>10.22650836474881</v>
      </c>
      <c r="P408" s="1">
        <f t="shared" si="70"/>
        <v>12.538849639326756</v>
      </c>
      <c r="Q408" s="1">
        <f t="shared" si="71"/>
        <v>13.272880533000585</v>
      </c>
      <c r="R408" s="1">
        <v>125.47909999999997</v>
      </c>
      <c r="S408" s="1" t="e">
        <f t="shared" si="72"/>
        <v>#N/A</v>
      </c>
      <c r="T408" s="1" t="e">
        <v>#N/A</v>
      </c>
    </row>
    <row r="409" spans="1:20" x14ac:dyDescent="0.35">
      <c r="A409" s="1">
        <v>500408.16330000001</v>
      </c>
      <c r="B409" s="1">
        <v>5999998.1469999999</v>
      </c>
      <c r="C409" s="1">
        <v>128.06671766842501</v>
      </c>
      <c r="D409" s="1">
        <f t="shared" si="73"/>
        <v>408.87998648969955</v>
      </c>
      <c r="E409" s="1">
        <v>0.01</v>
      </c>
      <c r="F409" s="1">
        <v>0.05</v>
      </c>
      <c r="G409" s="1">
        <v>0.1</v>
      </c>
      <c r="H409" s="1">
        <v>9.81</v>
      </c>
      <c r="I409" s="1">
        <v>2650</v>
      </c>
      <c r="J409" s="1">
        <v>1000</v>
      </c>
      <c r="K409" s="1">
        <v>1.65</v>
      </c>
      <c r="L409" s="1">
        <v>6.5</v>
      </c>
      <c r="M409" s="1">
        <v>2.5</v>
      </c>
      <c r="N409" s="6">
        <v>9.9999999999999995E-7</v>
      </c>
      <c r="O409" s="1">
        <f t="shared" si="69"/>
        <v>10.217670819070179</v>
      </c>
      <c r="P409" s="1">
        <f t="shared" si="70"/>
        <v>11.126667604014996</v>
      </c>
      <c r="Q409" s="1">
        <f t="shared" si="71"/>
        <v>11.832758621670877</v>
      </c>
      <c r="R409" s="1">
        <v>125.47909999999997</v>
      </c>
      <c r="S409" s="1" t="e">
        <f t="shared" si="72"/>
        <v>#N/A</v>
      </c>
      <c r="T409" s="1" t="e">
        <v>#N/A</v>
      </c>
    </row>
    <row r="410" spans="1:20" x14ac:dyDescent="0.35">
      <c r="A410" s="1">
        <v>500418.36729999998</v>
      </c>
      <c r="B410" s="1">
        <v>5999997.4639999997</v>
      </c>
      <c r="C410" s="1">
        <v>132.450166877736</v>
      </c>
      <c r="D410" s="1">
        <f t="shared" si="73"/>
        <v>419.10681908829173</v>
      </c>
      <c r="E410" s="1">
        <v>0.01</v>
      </c>
      <c r="F410" s="1">
        <v>0.05</v>
      </c>
      <c r="G410" s="1">
        <v>0.1</v>
      </c>
      <c r="H410" s="1">
        <v>9.81</v>
      </c>
      <c r="I410" s="1">
        <v>2650</v>
      </c>
      <c r="J410" s="1">
        <v>1000</v>
      </c>
      <c r="K410" s="1">
        <v>1.65</v>
      </c>
      <c r="L410" s="1">
        <v>6.5</v>
      </c>
      <c r="M410" s="1">
        <v>2.5</v>
      </c>
      <c r="N410" s="6">
        <v>9.9999999999999995E-7</v>
      </c>
      <c r="O410" s="1">
        <f t="shared" si="69"/>
        <v>10.219153288461655</v>
      </c>
      <c r="P410" s="1">
        <f t="shared" si="70"/>
        <v>12.259823035582844</v>
      </c>
      <c r="Q410" s="1">
        <f t="shared" si="71"/>
        <v>11.693245319798919</v>
      </c>
      <c r="R410" s="1">
        <v>125.47909999999997</v>
      </c>
      <c r="S410" s="1" t="e">
        <f t="shared" si="72"/>
        <v>#N/A</v>
      </c>
      <c r="T410" s="1" t="e">
        <v>#N/A</v>
      </c>
    </row>
    <row r="411" spans="1:20" x14ac:dyDescent="0.35">
      <c r="A411" s="1">
        <v>500428.57140000002</v>
      </c>
      <c r="B411" s="1">
        <v>5999997.0760000004</v>
      </c>
      <c r="C411" s="1">
        <v>139.234638858198</v>
      </c>
      <c r="D411" s="1">
        <f t="shared" si="73"/>
        <v>429.31829306662286</v>
      </c>
      <c r="E411" s="1">
        <v>0.01</v>
      </c>
      <c r="F411" s="1">
        <v>0.05</v>
      </c>
      <c r="G411" s="1">
        <v>0.1</v>
      </c>
      <c r="H411" s="1">
        <v>9.81</v>
      </c>
      <c r="I411" s="1">
        <v>2650</v>
      </c>
      <c r="J411" s="1">
        <v>1000</v>
      </c>
      <c r="K411" s="1">
        <v>1.65</v>
      </c>
      <c r="L411" s="1">
        <v>6.5</v>
      </c>
      <c r="M411" s="1">
        <v>2.5</v>
      </c>
      <c r="N411" s="6">
        <v>9.9999999999999995E-7</v>
      </c>
      <c r="O411" s="1">
        <f t="shared" si="69"/>
        <v>10.213570502749036</v>
      </c>
      <c r="P411" s="1">
        <f t="shared" si="70"/>
        <v>10.221862151517284</v>
      </c>
      <c r="Q411" s="1">
        <f t="shared" si="71"/>
        <v>11.240842593550063</v>
      </c>
      <c r="R411" s="1">
        <v>125.47909999999997</v>
      </c>
      <c r="S411" s="1" t="e">
        <f t="shared" si="72"/>
        <v>#N/A</v>
      </c>
      <c r="T411" s="1" t="e">
        <v>#N/A</v>
      </c>
    </row>
    <row r="412" spans="1:20" x14ac:dyDescent="0.35">
      <c r="A412" s="1">
        <v>500438.77549999999</v>
      </c>
      <c r="B412" s="1">
        <v>5999996.5899999999</v>
      </c>
      <c r="C412" s="1">
        <v>139.590466112179</v>
      </c>
      <c r="D412" s="1">
        <f t="shared" si="73"/>
        <v>439.5339600937898</v>
      </c>
      <c r="E412" s="1">
        <v>0.01</v>
      </c>
      <c r="F412" s="1">
        <v>0.05</v>
      </c>
      <c r="G412" s="1">
        <v>0.1</v>
      </c>
      <c r="H412" s="1">
        <v>9.81</v>
      </c>
      <c r="I412" s="1">
        <v>2650</v>
      </c>
      <c r="J412" s="1">
        <v>1000</v>
      </c>
      <c r="K412" s="1">
        <v>1.65</v>
      </c>
      <c r="L412" s="1">
        <v>6.5</v>
      </c>
      <c r="M412" s="1">
        <v>2.5</v>
      </c>
      <c r="N412" s="6">
        <v>9.9999999999999995E-7</v>
      </c>
      <c r="O412" s="1">
        <f t="shared" si="69"/>
        <v>10.227678867958247</v>
      </c>
      <c r="P412" s="1">
        <f t="shared" si="70"/>
        <v>10.247073843648518</v>
      </c>
      <c r="Q412" s="1">
        <f t="shared" si="71"/>
        <v>10.2344679975829</v>
      </c>
      <c r="R412" s="1">
        <v>125.47909999999997</v>
      </c>
      <c r="S412" s="1" t="e">
        <f t="shared" si="72"/>
        <v>#N/A</v>
      </c>
      <c r="T412" s="1" t="e">
        <v>#N/A</v>
      </c>
    </row>
    <row r="413" spans="1:20" x14ac:dyDescent="0.35">
      <c r="A413" s="1">
        <v>500448.97960000002</v>
      </c>
      <c r="B413" s="1">
        <v>5999995.7369999997</v>
      </c>
      <c r="C413" s="1">
        <v>139.20154896633201</v>
      </c>
      <c r="D413" s="1">
        <f t="shared" si="73"/>
        <v>449.77365080253935</v>
      </c>
      <c r="E413" s="1">
        <v>0.01</v>
      </c>
      <c r="F413" s="1">
        <v>0.05</v>
      </c>
      <c r="G413" s="1">
        <v>0.1</v>
      </c>
      <c r="H413" s="1">
        <v>9.81</v>
      </c>
      <c r="I413" s="1">
        <v>2650</v>
      </c>
      <c r="J413" s="1">
        <v>1000</v>
      </c>
      <c r="K413" s="1">
        <v>1.65</v>
      </c>
      <c r="L413" s="1">
        <v>6.5</v>
      </c>
      <c r="M413" s="1">
        <v>2.5</v>
      </c>
      <c r="N413" s="6">
        <v>9.9999999999999995E-7</v>
      </c>
      <c r="O413" s="1">
        <f t="shared" si="69"/>
        <v>10.226507982984828</v>
      </c>
      <c r="P413" s="1">
        <f t="shared" si="70"/>
        <v>10.216402783069102</v>
      </c>
      <c r="Q413" s="1">
        <f t="shared" si="71"/>
        <v>10.231738313358811</v>
      </c>
      <c r="R413" s="1">
        <v>125.47909999999997</v>
      </c>
      <c r="S413" s="1" t="e">
        <f t="shared" si="72"/>
        <v>#N/A</v>
      </c>
      <c r="T413" s="1" t="e">
        <v>#N/A</v>
      </c>
    </row>
    <row r="414" spans="1:20" x14ac:dyDescent="0.35">
      <c r="A414" s="1">
        <v>500459.18369999999</v>
      </c>
      <c r="B414" s="1">
        <v>5999996.1710000001</v>
      </c>
      <c r="C414" s="1">
        <v>138.95080404388699</v>
      </c>
      <c r="D414" s="1">
        <f t="shared" si="73"/>
        <v>459.98697605975946</v>
      </c>
      <c r="E414" s="1">
        <v>0.01</v>
      </c>
      <c r="F414" s="1">
        <v>0.05</v>
      </c>
      <c r="G414" s="1">
        <v>0.1</v>
      </c>
      <c r="H414" s="1">
        <v>9.81</v>
      </c>
      <c r="I414" s="1">
        <v>2650</v>
      </c>
      <c r="J414" s="1">
        <v>1000</v>
      </c>
      <c r="K414" s="1">
        <v>1.65</v>
      </c>
      <c r="L414" s="1">
        <v>6.5</v>
      </c>
      <c r="M414" s="1">
        <v>2.5</v>
      </c>
      <c r="N414" s="6">
        <v>9.9999999999999995E-7</v>
      </c>
      <c r="O414" s="1">
        <f t="shared" si="69"/>
        <v>10.228563101333435</v>
      </c>
      <c r="P414" s="1">
        <f t="shared" si="70"/>
        <v>10.24381622597874</v>
      </c>
      <c r="Q414" s="1">
        <f t="shared" si="71"/>
        <v>10.23010950452392</v>
      </c>
      <c r="R414" s="1">
        <v>125.47909999999997</v>
      </c>
      <c r="S414" s="1" t="e">
        <f t="shared" si="72"/>
        <v>#N/A</v>
      </c>
      <c r="T414" s="1" t="e">
        <v>#N/A</v>
      </c>
    </row>
    <row r="415" spans="1:20" x14ac:dyDescent="0.35">
      <c r="A415" s="1">
        <v>500469.38780000003</v>
      </c>
      <c r="B415" s="1">
        <v>5999997.0719999997</v>
      </c>
      <c r="C415" s="1">
        <v>138.933110494517</v>
      </c>
      <c r="D415" s="1">
        <f t="shared" si="73"/>
        <v>470.23077700520622</v>
      </c>
      <c r="E415" s="1">
        <v>0.01</v>
      </c>
      <c r="F415" s="1">
        <v>0.05</v>
      </c>
      <c r="G415" s="1">
        <v>0.1</v>
      </c>
      <c r="H415" s="1">
        <v>9.81</v>
      </c>
      <c r="I415" s="1">
        <v>2650</v>
      </c>
      <c r="J415" s="1">
        <v>1000</v>
      </c>
      <c r="K415" s="1">
        <v>1.65</v>
      </c>
      <c r="L415" s="1">
        <v>6.5</v>
      </c>
      <c r="M415" s="1">
        <v>2.5</v>
      </c>
      <c r="N415" s="6">
        <v>9.9999999999999995E-7</v>
      </c>
      <c r="O415" s="1">
        <f t="shared" si="69"/>
        <v>10.235585469869676</v>
      </c>
      <c r="P415" s="1">
        <f t="shared" si="70"/>
        <v>14.038699271405504</v>
      </c>
      <c r="Q415" s="1">
        <f t="shared" si="71"/>
        <v>12.141257748692123</v>
      </c>
      <c r="R415" s="1">
        <v>125.47909999999997</v>
      </c>
      <c r="S415" s="1" t="e">
        <f t="shared" si="72"/>
        <v>#N/A</v>
      </c>
      <c r="T415" s="1" t="e">
        <v>#N/A</v>
      </c>
    </row>
    <row r="416" spans="1:20" x14ac:dyDescent="0.35">
      <c r="A416" s="1">
        <v>500479.59179999999</v>
      </c>
      <c r="B416" s="1">
        <v>5999997.7630000003</v>
      </c>
      <c r="C416" s="1">
        <v>148.55007364474301</v>
      </c>
      <c r="D416" s="1">
        <f t="shared" si="73"/>
        <v>480.45814699949881</v>
      </c>
      <c r="E416" s="1">
        <v>0.01</v>
      </c>
      <c r="F416" s="1">
        <v>0.05</v>
      </c>
      <c r="G416" s="1">
        <v>0.1</v>
      </c>
      <c r="H416" s="1">
        <v>9.81</v>
      </c>
      <c r="I416" s="1">
        <v>2650</v>
      </c>
      <c r="J416" s="1">
        <v>1000</v>
      </c>
      <c r="K416" s="1">
        <v>1.65</v>
      </c>
      <c r="L416" s="1">
        <v>6.5</v>
      </c>
      <c r="M416" s="1">
        <v>2.5</v>
      </c>
      <c r="N416" s="6">
        <v>9.9999999999999995E-7</v>
      </c>
      <c r="O416" s="1">
        <f t="shared" si="69"/>
        <v>10.217030880251457</v>
      </c>
      <c r="P416" s="1">
        <f t="shared" si="70"/>
        <v>10.496604105828091</v>
      </c>
      <c r="Q416" s="1">
        <f t="shared" si="71"/>
        <v>12.267651688616798</v>
      </c>
      <c r="R416" s="1">
        <v>125.47909999999997</v>
      </c>
      <c r="S416" s="1" t="e">
        <f t="shared" si="72"/>
        <v>#N/A</v>
      </c>
      <c r="T416" s="1" t="e">
        <v>#N/A</v>
      </c>
    </row>
    <row r="417" spans="1:57" x14ac:dyDescent="0.35">
      <c r="A417" s="1">
        <v>500489.79590000003</v>
      </c>
      <c r="B417" s="1">
        <v>5999997.9929999998</v>
      </c>
      <c r="C417" s="1">
        <v>146.10014692256101</v>
      </c>
      <c r="D417" s="1">
        <f t="shared" si="73"/>
        <v>490.66483876570913</v>
      </c>
      <c r="E417" s="1">
        <v>0.01</v>
      </c>
      <c r="F417" s="1">
        <v>0.05</v>
      </c>
      <c r="G417" s="1">
        <v>0.1</v>
      </c>
      <c r="H417" s="1">
        <v>9.81</v>
      </c>
      <c r="I417" s="1">
        <v>2650</v>
      </c>
      <c r="J417" s="1">
        <v>1000</v>
      </c>
      <c r="K417" s="1">
        <v>1.65</v>
      </c>
      <c r="L417" s="1">
        <v>6.5</v>
      </c>
      <c r="M417" s="1">
        <v>2.5</v>
      </c>
      <c r="N417" s="6">
        <v>9.9999999999999995E-7</v>
      </c>
      <c r="O417" s="1">
        <f t="shared" si="69"/>
        <v>10.209902888805345</v>
      </c>
      <c r="P417" s="1">
        <f t="shared" si="70"/>
        <v>10.652346301971106</v>
      </c>
      <c r="Q417" s="1">
        <f t="shared" si="71"/>
        <v>10.574475203899599</v>
      </c>
      <c r="R417" s="1">
        <v>125.47909999999997</v>
      </c>
      <c r="S417" s="1" t="e">
        <f t="shared" si="72"/>
        <v>#N/A</v>
      </c>
      <c r="T417" s="1" t="e">
        <v>#N/A</v>
      </c>
    </row>
    <row r="418" spans="1:57" x14ac:dyDescent="0.35">
      <c r="A418" s="1">
        <v>500500</v>
      </c>
      <c r="B418" s="1">
        <v>5999998.4220000003</v>
      </c>
      <c r="C418" s="1">
        <v>149.127486336511</v>
      </c>
      <c r="D418" s="1">
        <f t="shared" si="73"/>
        <v>500.8779527771095</v>
      </c>
      <c r="E418" s="1">
        <v>0.01</v>
      </c>
      <c r="F418" s="1">
        <v>0.05</v>
      </c>
      <c r="G418" s="1">
        <v>0.1</v>
      </c>
      <c r="H418" s="1">
        <v>9.81</v>
      </c>
      <c r="I418" s="1">
        <v>2650</v>
      </c>
      <c r="J418" s="1">
        <v>1000</v>
      </c>
      <c r="K418" s="1">
        <v>1.65</v>
      </c>
      <c r="L418" s="1">
        <v>6.5</v>
      </c>
      <c r="M418" s="1">
        <v>2.5</v>
      </c>
      <c r="N418" s="6">
        <v>9.9999999999999995E-7</v>
      </c>
      <c r="O418" s="1">
        <f xml:space="preserve"> (D418 - D417) / 2</f>
        <v>5.1065570057001821</v>
      </c>
    </row>
    <row r="420" spans="1:57" x14ac:dyDescent="0.35">
      <c r="A420" s="1" t="s">
        <v>0</v>
      </c>
      <c r="B420" s="1" t="s">
        <v>1</v>
      </c>
      <c r="C420" s="1" t="s">
        <v>2</v>
      </c>
      <c r="D420" s="1" t="s">
        <v>18</v>
      </c>
      <c r="E420" s="1" t="s">
        <v>67</v>
      </c>
      <c r="F420" s="1" t="s">
        <v>66</v>
      </c>
      <c r="G420" s="1" t="s">
        <v>65</v>
      </c>
      <c r="H420" s="1" t="s">
        <v>64</v>
      </c>
      <c r="I420" s="1" t="s">
        <v>63</v>
      </c>
      <c r="J420" s="1" t="s">
        <v>62</v>
      </c>
      <c r="K420" s="1" t="s">
        <v>61</v>
      </c>
      <c r="L420" s="1" t="s">
        <v>60</v>
      </c>
      <c r="M420" s="1" t="s">
        <v>59</v>
      </c>
      <c r="N420" s="1" t="s">
        <v>58</v>
      </c>
      <c r="O420" s="1" t="s">
        <v>57</v>
      </c>
      <c r="P420" s="1" t="s">
        <v>56</v>
      </c>
      <c r="Q420" s="1" t="s">
        <v>55</v>
      </c>
      <c r="R420" s="1" t="s">
        <v>54</v>
      </c>
      <c r="S420" s="1" t="s">
        <v>16</v>
      </c>
      <c r="T420" s="1" t="s">
        <v>53</v>
      </c>
      <c r="U420" s="10" t="s">
        <v>52</v>
      </c>
      <c r="V420" s="10" t="s">
        <v>51</v>
      </c>
      <c r="W420" s="10" t="s">
        <v>50</v>
      </c>
      <c r="X420" s="10" t="s">
        <v>49</v>
      </c>
      <c r="Y420" s="1" t="s">
        <v>48</v>
      </c>
      <c r="Z420" s="1" t="s">
        <v>47</v>
      </c>
      <c r="AA420" s="1" t="s">
        <v>46</v>
      </c>
      <c r="AB420" s="1" t="s">
        <v>45</v>
      </c>
      <c r="AC420" s="1" t="s">
        <v>44</v>
      </c>
      <c r="AD420" s="1" t="s">
        <v>43</v>
      </c>
      <c r="AE420" s="1" t="s">
        <v>42</v>
      </c>
      <c r="AF420" s="1" t="s">
        <v>41</v>
      </c>
      <c r="AG420" s="1" t="s">
        <v>40</v>
      </c>
      <c r="AH420" s="1" t="s">
        <v>39</v>
      </c>
      <c r="AI420" s="1" t="s">
        <v>38</v>
      </c>
      <c r="AJ420" s="1" t="s">
        <v>37</v>
      </c>
      <c r="AK420" s="1" t="s">
        <v>36</v>
      </c>
      <c r="AL420" s="1" t="s">
        <v>35</v>
      </c>
      <c r="AM420" s="1" t="s">
        <v>34</v>
      </c>
      <c r="AN420" s="1" t="s">
        <v>34</v>
      </c>
      <c r="AO420" s="7" t="s">
        <v>33</v>
      </c>
      <c r="AP420" s="7" t="s">
        <v>32</v>
      </c>
      <c r="AQ420" s="7" t="s">
        <v>31</v>
      </c>
      <c r="AR420" s="7" t="s">
        <v>30</v>
      </c>
      <c r="AS420" s="7" t="s">
        <v>29</v>
      </c>
      <c r="AT420" s="7" t="s">
        <v>28</v>
      </c>
      <c r="AU420" s="7" t="s">
        <v>27</v>
      </c>
      <c r="AV420" s="7" t="s">
        <v>27</v>
      </c>
      <c r="AW420" s="1" t="s">
        <v>26</v>
      </c>
      <c r="AX420" s="1" t="s">
        <v>25</v>
      </c>
      <c r="AY420" s="1" t="s">
        <v>24</v>
      </c>
      <c r="AZ420" s="1" t="s">
        <v>23</v>
      </c>
      <c r="BA420" s="1" t="s">
        <v>22</v>
      </c>
      <c r="BB420" s="1" t="s">
        <v>21</v>
      </c>
      <c r="BC420" s="1" t="s">
        <v>20</v>
      </c>
      <c r="BD420" s="1" t="s">
        <v>20</v>
      </c>
      <c r="BE420" s="1" t="s">
        <v>19</v>
      </c>
    </row>
    <row r="421" spans="1:57" x14ac:dyDescent="0.35">
      <c r="A421" s="1">
        <v>500000</v>
      </c>
      <c r="B421" s="1">
        <v>5999999.0959999999</v>
      </c>
      <c r="C421" s="1">
        <v>146.95665459614199</v>
      </c>
      <c r="D421" s="1">
        <v>0</v>
      </c>
      <c r="E421" s="1">
        <v>0.01</v>
      </c>
      <c r="F421" s="1">
        <v>0.05</v>
      </c>
      <c r="G421" s="1">
        <v>0.1</v>
      </c>
      <c r="H421" s="1">
        <v>9.81</v>
      </c>
      <c r="I421" s="1">
        <v>2650</v>
      </c>
      <c r="J421" s="1">
        <v>1000</v>
      </c>
      <c r="K421" s="1">
        <v>1.65</v>
      </c>
      <c r="L421" s="1">
        <v>6.5</v>
      </c>
      <c r="M421" s="1">
        <v>2.5</v>
      </c>
      <c r="N421" s="6">
        <v>9.9999999999999995E-7</v>
      </c>
      <c r="O421" s="1">
        <f xml:space="preserve"> (D422 - D421) / 2</f>
        <v>5.1061868798967165</v>
      </c>
      <c r="P421" s="1">
        <f t="shared" ref="P421:P452" si="74">SQRT((D422 - D421)^2 + (C422 - C421)^2)</f>
        <v>12.612081347143071</v>
      </c>
      <c r="Q421" s="1">
        <f t="shared" ref="Q421:Q452" si="75">IF(ROW()=421, P421/2, (P421 + P420)/2)</f>
        <v>6.3060406735715357</v>
      </c>
      <c r="R421" s="1">
        <v>125.52909999999997</v>
      </c>
      <c r="S421" s="1" t="e">
        <f t="shared" ref="S421:S452" si="76">IF(R421 - C421 &lt; 0, NA(), R421 - C421)</f>
        <v>#N/A</v>
      </c>
      <c r="T421" s="1" t="e">
        <v>#N/A</v>
      </c>
      <c r="U421" s="10" cm="1">
        <f t="array" ref="U421">SUMPRODUCT(IF(ISNA(T421:T470), 0, T421:T470), IF(ISNA(O421:O470), 0, O421:O470))</f>
        <v>5.1101460354042478</v>
      </c>
      <c r="V421" s="10">
        <f>SUMIF(S421:S470, "&gt;0", O421:O470)</f>
        <v>10.221049857319429</v>
      </c>
      <c r="W421" s="10">
        <f>SUMIF(S421:S470, "&gt;0", Q421:Q470)</f>
        <v>10.577000852837193</v>
      </c>
      <c r="X421" s="10">
        <f>U421/W421</f>
        <v>0.48313752702719065</v>
      </c>
      <c r="Y421" s="1">
        <f xml:space="preserve"> (6.5 * 2.5 * (X421 / G421)) / SQRT(6.5^2 + 2.5^2 * (X421 / G421)^(5/3))</f>
        <v>6.9245634926744755</v>
      </c>
      <c r="Z421" s="1">
        <f>Y421*SQRT(X421*H421*E421)</f>
        <v>1.5075172538987445</v>
      </c>
      <c r="AA421" s="1">
        <f>J421*H421*X421*E421</f>
        <v>47.395791401367404</v>
      </c>
      <c r="AB421" s="1">
        <f>(AA421 / (9.81 * 1000 *1.65 * F421))</f>
        <v>5.8562124488144317E-2</v>
      </c>
      <c r="AC421" s="9">
        <f xml:space="preserve"> F421 * (K421 * H421 / (N421)^2)^(1/3)</f>
        <v>1264.7974700106745</v>
      </c>
      <c r="AD421" s="1">
        <f xml:space="preserve"> 0.3 / (1 + 1.2 * AC421) + 0.055 * (1 - EXP(-0.02 * AC421))</f>
        <v>5.5197529957883754E-2</v>
      </c>
      <c r="AE421" s="1">
        <f>IF(AC421 &lt;= 4, 0.24 * AC421^-1, IF(AC421 &gt; 4, IF(AC421 &lt;= 10, 0.14 * AC421^-0.64, IF(AC421 &lt;= 20, 0.04 * AC421^-0.1, IF(AC421 &lt;= 150, 0.013 * AC421^0.29, 0.056)))))</f>
        <v>5.6000000000000001E-2</v>
      </c>
      <c r="AF421" s="1">
        <f>AB421/AD421-1</f>
        <v>6.0955527046731683E-2</v>
      </c>
      <c r="AG421" s="1">
        <f xml:space="preserve"> 2.45 * SQRT(AD421) / (K421 + 1)^0.4</f>
        <v>0.38978718496890047</v>
      </c>
      <c r="AH421" s="1">
        <f>SQRT(2/3 + 36 / AC421^3) - SQRT(36 / AC421^3)</f>
        <v>0.81636320289979147</v>
      </c>
      <c r="AI421" s="1">
        <f>AA421* Z421 / (J421 * (H421* K421 * F421)^(3/2))</f>
        <v>9.81335787252752E-2</v>
      </c>
      <c r="AJ421" s="1">
        <f>AD421* K421 * F421 / E421</f>
        <v>0.45537962215254096</v>
      </c>
      <c r="AK421" s="1">
        <f>Y421 * AD421^(3/2)</f>
        <v>8.9799075913525317E-2</v>
      </c>
      <c r="AL421" s="1">
        <f>(0.92 - 0.25 * SQRT(AK421 / AI421))^9</f>
        <v>3.1439330254435301E-2</v>
      </c>
      <c r="AM421" s="1">
        <v>5.2759527000000001E-2</v>
      </c>
      <c r="AN421" s="1">
        <v>4.7434165E-2</v>
      </c>
      <c r="AO421" s="7">
        <f>IF(AB421 &gt; 0.047, 8 * (AB421 - 0.047)^(3/2), 0)</f>
        <v>9.945954052683512E-3</v>
      </c>
      <c r="AP421" s="7">
        <f>IF(AB421&gt; 0.047, 4 * (AB421 - 0.047)^(3/2), 0)</f>
        <v>4.972977026341756E-3</v>
      </c>
      <c r="AQ421" s="7">
        <f xml:space="preserve"> (0.053 / AC421^(0.3)) * ((AB421 / AE421) - 1)^2.1</f>
        <v>9.5617017696097445E-6</v>
      </c>
      <c r="AR421" s="7">
        <f xml:space="preserve"> IF(AB421 &gt; AD421, 0.635 * AF421 * SQRT(AB421) * (1 - (1 / (AG421*AF421)) * LOG(1 + AF421*AG421)), 0)</f>
        <v>5.3464739489244165E-3</v>
      </c>
      <c r="AS421" s="8">
        <f>IF(AB421&gt;= 0.19, 40 * AH421 * AB421^3, (AH421 * EXP(-0.391 / AB421)) / 0.465)</f>
        <v>2.2120216793205328E-3</v>
      </c>
      <c r="AT421" s="7">
        <f>AL421* AI421</f>
        <v>3.085253990593553E-3</v>
      </c>
      <c r="AU421" s="7">
        <f>14 * AB421^2.5 / (1 + (AM421/AB421)^4)</f>
        <v>7.004593594728257E-3</v>
      </c>
      <c r="AV421" s="7">
        <f>14*AB421^2.5/(1+(AN421/AB421)^4)</f>
        <v>8.1227843785126024E-3</v>
      </c>
      <c r="AW421" s="1">
        <f>AO421*SQRT(1.65*9.81*F421^3)</f>
        <v>4.4738140686469071E-4</v>
      </c>
      <c r="AX421" s="1">
        <f>AP421*SQRT(1.65*9.81*F421^3)</f>
        <v>2.2369070343234535E-4</v>
      </c>
      <c r="AY421" s="1">
        <f>AQ421*SQRT(1.65*9.81*F421^3)</f>
        <v>4.3009726035829005E-7</v>
      </c>
      <c r="AZ421" s="1">
        <f>AR421*SQRT(1.65*9.81*F421^3)</f>
        <v>2.4049106042168609E-4</v>
      </c>
      <c r="BA421" s="1">
        <f>AS421*SQRT(1.65*9.81*F421^3)</f>
        <v>9.9499491518624864E-5</v>
      </c>
      <c r="BB421" s="1">
        <f>AT421*SQRT(1.65*9.81*F421^3)</f>
        <v>1.3877856900758868E-4</v>
      </c>
      <c r="BC421" s="1">
        <f>AU421*SQRT(1.65*9.81*G421^3)</f>
        <v>8.9116766135678585E-4</v>
      </c>
      <c r="BD421" s="1">
        <f>AV421*SQRT(1.65*9.81*G421^3)</f>
        <v>1.0334307994331736E-3</v>
      </c>
      <c r="BE421" s="1">
        <f>U421*Z421</f>
        <v>7.7036333183141679</v>
      </c>
    </row>
    <row r="422" spans="1:57" x14ac:dyDescent="0.35">
      <c r="A422" s="1">
        <v>500010.20409999997</v>
      </c>
      <c r="B422" s="1">
        <v>5999998.6849999996</v>
      </c>
      <c r="C422" s="1">
        <v>154.35746658519</v>
      </c>
      <c r="D422" s="1">
        <f t="shared" ref="D422:D453" si="77">D421 + SQRT((A422 - A421)^2 + (B422 - B421)^2)</f>
        <v>10.212373759793433</v>
      </c>
      <c r="E422" s="1">
        <v>0.01</v>
      </c>
      <c r="F422" s="1">
        <v>0.05</v>
      </c>
      <c r="G422" s="1">
        <v>0.1</v>
      </c>
      <c r="H422" s="1">
        <v>9.81</v>
      </c>
      <c r="I422" s="1">
        <v>2650</v>
      </c>
      <c r="J422" s="1">
        <v>1000</v>
      </c>
      <c r="K422" s="1">
        <v>1.65</v>
      </c>
      <c r="L422" s="1">
        <v>6.5</v>
      </c>
      <c r="M422" s="1">
        <v>2.5</v>
      </c>
      <c r="N422" s="6">
        <v>9.9999999999999995E-7</v>
      </c>
      <c r="O422" s="1">
        <f t="shared" ref="O422:O469" si="78" xml:space="preserve"> (D423 - D422 + D422 - D421) / 2</f>
        <v>10.212934886473896</v>
      </c>
      <c r="P422" s="1">
        <f t="shared" si="74"/>
        <v>10.748393624242958</v>
      </c>
      <c r="Q422" s="1">
        <f t="shared" si="75"/>
        <v>11.680237485693015</v>
      </c>
      <c r="R422" s="1">
        <v>125.52909999999997</v>
      </c>
      <c r="S422" s="1" t="e">
        <f t="shared" si="76"/>
        <v>#N/A</v>
      </c>
      <c r="T422" s="1" t="e">
        <v>#N/A</v>
      </c>
      <c r="AO422" s="7"/>
      <c r="AP422" s="7"/>
      <c r="AQ422" s="7"/>
      <c r="AR422" s="7"/>
      <c r="AS422" s="7"/>
      <c r="AT422" s="7"/>
      <c r="AU422" s="7"/>
      <c r="AV422" s="7"/>
    </row>
    <row r="423" spans="1:57" x14ac:dyDescent="0.35">
      <c r="A423" s="1">
        <v>500020.40820000001</v>
      </c>
      <c r="B423" s="1">
        <v>5999999.1229999997</v>
      </c>
      <c r="C423" s="1">
        <v>151.008964727501</v>
      </c>
      <c r="D423" s="1">
        <f t="shared" si="77"/>
        <v>20.425869772947792</v>
      </c>
      <c r="E423" s="1">
        <v>0.01</v>
      </c>
      <c r="F423" s="1">
        <v>0.05</v>
      </c>
      <c r="G423" s="1">
        <v>0.1</v>
      </c>
      <c r="H423" s="1">
        <v>9.81</v>
      </c>
      <c r="I423" s="1">
        <v>2650</v>
      </c>
      <c r="J423" s="1">
        <v>1000</v>
      </c>
      <c r="K423" s="1">
        <v>1.65</v>
      </c>
      <c r="L423" s="1">
        <v>6.5</v>
      </c>
      <c r="M423" s="1">
        <v>2.5</v>
      </c>
      <c r="N423" s="6">
        <v>9.9999999999999995E-7</v>
      </c>
      <c r="O423" s="1">
        <f t="shared" si="78"/>
        <v>10.21125621009096</v>
      </c>
      <c r="P423" s="1">
        <f t="shared" si="74"/>
        <v>13.985433799960637</v>
      </c>
      <c r="Q423" s="1">
        <f t="shared" si="75"/>
        <v>12.366913712101798</v>
      </c>
      <c r="R423" s="1">
        <v>125.52909999999997</v>
      </c>
      <c r="S423" s="1" t="e">
        <f t="shared" si="76"/>
        <v>#N/A</v>
      </c>
      <c r="T423" s="1" t="e">
        <v>#N/A</v>
      </c>
    </row>
    <row r="424" spans="1:57" x14ac:dyDescent="0.35">
      <c r="A424" s="1">
        <v>500030.61219999997</v>
      </c>
      <c r="B424" s="1">
        <v>5999998.8030000003</v>
      </c>
      <c r="C424" s="1">
        <v>160.567643641144</v>
      </c>
      <c r="D424" s="1">
        <f t="shared" si="77"/>
        <v>30.634886179975354</v>
      </c>
      <c r="E424" s="1">
        <v>0.01</v>
      </c>
      <c r="F424" s="1">
        <v>0.05</v>
      </c>
      <c r="G424" s="1">
        <v>0.1</v>
      </c>
      <c r="H424" s="1">
        <v>9.81</v>
      </c>
      <c r="I424" s="1">
        <v>2650</v>
      </c>
      <c r="J424" s="1">
        <v>1000</v>
      </c>
      <c r="K424" s="1">
        <v>1.65</v>
      </c>
      <c r="L424" s="1">
        <v>6.5</v>
      </c>
      <c r="M424" s="1">
        <v>2.5</v>
      </c>
      <c r="N424" s="6">
        <v>9.9999999999999995E-7</v>
      </c>
      <c r="O424" s="1">
        <f t="shared" si="78"/>
        <v>10.214935822867286</v>
      </c>
      <c r="P424" s="1">
        <f t="shared" si="74"/>
        <v>10.224042445454263</v>
      </c>
      <c r="Q424" s="1">
        <f t="shared" si="75"/>
        <v>12.104738122707449</v>
      </c>
      <c r="R424" s="1">
        <v>125.52909999999997</v>
      </c>
      <c r="S424" s="1" t="e">
        <f t="shared" si="76"/>
        <v>#N/A</v>
      </c>
      <c r="T424" s="1" t="e">
        <v>#N/A</v>
      </c>
    </row>
    <row r="425" spans="1:57" x14ac:dyDescent="0.35">
      <c r="A425" s="1">
        <v>500040.81630000001</v>
      </c>
      <c r="B425" s="1">
        <v>5999998.2180000003</v>
      </c>
      <c r="C425" s="1">
        <v>160.82291235416201</v>
      </c>
      <c r="D425" s="1">
        <f t="shared" si="77"/>
        <v>40.855741418682364</v>
      </c>
      <c r="E425" s="1">
        <v>0.01</v>
      </c>
      <c r="F425" s="1">
        <v>0.05</v>
      </c>
      <c r="G425" s="1">
        <v>0.1</v>
      </c>
      <c r="H425" s="1">
        <v>9.81</v>
      </c>
      <c r="I425" s="1">
        <v>2650</v>
      </c>
      <c r="J425" s="1">
        <v>1000</v>
      </c>
      <c r="K425" s="1">
        <v>1.65</v>
      </c>
      <c r="L425" s="1">
        <v>6.5</v>
      </c>
      <c r="M425" s="1">
        <v>2.5</v>
      </c>
      <c r="N425" s="6">
        <v>9.9999999999999995E-7</v>
      </c>
      <c r="O425" s="1">
        <f t="shared" si="78"/>
        <v>10.231243785008825</v>
      </c>
      <c r="P425" s="1">
        <f t="shared" si="74"/>
        <v>10.333484931908488</v>
      </c>
      <c r="Q425" s="1">
        <f t="shared" si="75"/>
        <v>10.278763688681376</v>
      </c>
      <c r="R425" s="1">
        <v>125.52909999999997</v>
      </c>
      <c r="S425" s="1" t="e">
        <f t="shared" si="76"/>
        <v>#N/A</v>
      </c>
      <c r="T425" s="1" t="e">
        <v>#N/A</v>
      </c>
    </row>
    <row r="426" spans="1:57" x14ac:dyDescent="0.35">
      <c r="A426" s="1">
        <v>500051.02039999998</v>
      </c>
      <c r="B426" s="1">
        <v>5999997.3420000002</v>
      </c>
      <c r="C426" s="1">
        <v>159.448184007094</v>
      </c>
      <c r="D426" s="1">
        <f t="shared" si="77"/>
        <v>51.097373749993004</v>
      </c>
      <c r="E426" s="1">
        <v>0.01</v>
      </c>
      <c r="F426" s="1">
        <v>0.05</v>
      </c>
      <c r="G426" s="1">
        <v>0.1</v>
      </c>
      <c r="H426" s="1">
        <v>9.81</v>
      </c>
      <c r="I426" s="1">
        <v>2650</v>
      </c>
      <c r="J426" s="1">
        <v>1000</v>
      </c>
      <c r="K426" s="1">
        <v>1.65</v>
      </c>
      <c r="L426" s="1">
        <v>6.5</v>
      </c>
      <c r="M426" s="1">
        <v>2.5</v>
      </c>
      <c r="N426" s="6">
        <v>9.9999999999999995E-7</v>
      </c>
      <c r="O426" s="1">
        <f t="shared" si="78"/>
        <v>10.22297614478725</v>
      </c>
      <c r="P426" s="1">
        <f t="shared" si="74"/>
        <v>11.164078602095582</v>
      </c>
      <c r="Q426" s="1">
        <f t="shared" si="75"/>
        <v>10.748781767002036</v>
      </c>
      <c r="R426" s="1">
        <v>125.52909999999997</v>
      </c>
      <c r="S426" s="1" t="e">
        <f t="shared" si="76"/>
        <v>#N/A</v>
      </c>
      <c r="T426" s="1" t="e">
        <v>#N/A</v>
      </c>
    </row>
    <row r="427" spans="1:57" x14ac:dyDescent="0.35">
      <c r="A427" s="1">
        <v>500061.22450000001</v>
      </c>
      <c r="B427" s="1">
        <v>5999997.2750000004</v>
      </c>
      <c r="C427" s="1">
        <v>163.976815723534</v>
      </c>
      <c r="D427" s="1">
        <f t="shared" si="77"/>
        <v>61.301693708256863</v>
      </c>
      <c r="E427" s="1">
        <v>0.01</v>
      </c>
      <c r="F427" s="1">
        <v>0.05</v>
      </c>
      <c r="G427" s="1">
        <v>0.1</v>
      </c>
      <c r="H427" s="1">
        <v>9.81</v>
      </c>
      <c r="I427" s="1">
        <v>2650</v>
      </c>
      <c r="J427" s="1">
        <v>1000</v>
      </c>
      <c r="K427" s="1">
        <v>1.65</v>
      </c>
      <c r="L427" s="1">
        <v>6.5</v>
      </c>
      <c r="M427" s="1">
        <v>2.5</v>
      </c>
      <c r="N427" s="6">
        <v>9.9999999999999995E-7</v>
      </c>
      <c r="O427" s="1">
        <f t="shared" si="78"/>
        <v>10.209391538632293</v>
      </c>
      <c r="P427" s="1">
        <f t="shared" si="74"/>
        <v>11.034750060361873</v>
      </c>
      <c r="Q427" s="1">
        <f t="shared" si="75"/>
        <v>11.099414331228727</v>
      </c>
      <c r="R427" s="1">
        <v>125.52909999999997</v>
      </c>
      <c r="S427" s="1" t="e">
        <f t="shared" si="76"/>
        <v>#N/A</v>
      </c>
      <c r="T427" s="1" t="e">
        <v>#N/A</v>
      </c>
    </row>
    <row r="428" spans="1:57" x14ac:dyDescent="0.35">
      <c r="A428" s="1">
        <v>500071.42859999998</v>
      </c>
      <c r="B428" s="1">
        <v>5999996.8150000004</v>
      </c>
      <c r="C428" s="1">
        <v>168.15179501512699</v>
      </c>
      <c r="D428" s="1">
        <f t="shared" si="77"/>
        <v>71.516156827257589</v>
      </c>
      <c r="E428" s="1">
        <v>0.01</v>
      </c>
      <c r="F428" s="1">
        <v>0.05</v>
      </c>
      <c r="G428" s="1">
        <v>0.1</v>
      </c>
      <c r="H428" s="1">
        <v>9.81</v>
      </c>
      <c r="I428" s="1">
        <v>2650</v>
      </c>
      <c r="J428" s="1">
        <v>1000</v>
      </c>
      <c r="K428" s="1">
        <v>1.65</v>
      </c>
      <c r="L428" s="1">
        <v>6.5</v>
      </c>
      <c r="M428" s="1">
        <v>2.5</v>
      </c>
      <c r="N428" s="6">
        <v>9.9999999999999995E-7</v>
      </c>
      <c r="O428" s="1">
        <f t="shared" si="78"/>
        <v>10.229976351370027</v>
      </c>
      <c r="P428" s="1">
        <f t="shared" si="74"/>
        <v>11.687505241745082</v>
      </c>
      <c r="Q428" s="1">
        <f t="shared" si="75"/>
        <v>11.361127651053478</v>
      </c>
      <c r="R428" s="1">
        <v>125.52909999999997</v>
      </c>
      <c r="S428" s="1" t="e">
        <f t="shared" si="76"/>
        <v>#N/A</v>
      </c>
      <c r="T428" s="1" t="e">
        <v>#N/A</v>
      </c>
    </row>
    <row r="429" spans="1:57" x14ac:dyDescent="0.35">
      <c r="A429" s="1">
        <v>500081.63270000002</v>
      </c>
      <c r="B429" s="1">
        <v>5999997.7350000003</v>
      </c>
      <c r="C429" s="1">
        <v>162.52794206849799</v>
      </c>
      <c r="D429" s="1">
        <f t="shared" si="77"/>
        <v>81.761646410996917</v>
      </c>
      <c r="E429" s="1">
        <v>0.01</v>
      </c>
      <c r="F429" s="1">
        <v>0.05</v>
      </c>
      <c r="G429" s="1">
        <v>0.1</v>
      </c>
      <c r="H429" s="1">
        <v>9.81</v>
      </c>
      <c r="I429" s="1">
        <v>2650</v>
      </c>
      <c r="J429" s="1">
        <v>1000</v>
      </c>
      <c r="K429" s="1">
        <v>1.65</v>
      </c>
      <c r="L429" s="1">
        <v>6.5</v>
      </c>
      <c r="M429" s="1">
        <v>2.5</v>
      </c>
      <c r="N429" s="6">
        <v>9.9999999999999995E-7</v>
      </c>
      <c r="O429" s="1">
        <f t="shared" si="78"/>
        <v>10.224765396477437</v>
      </c>
      <c r="P429" s="1">
        <f t="shared" si="74"/>
        <v>11.652977208096294</v>
      </c>
      <c r="Q429" s="1">
        <f t="shared" si="75"/>
        <v>11.670241224920687</v>
      </c>
      <c r="R429" s="1">
        <v>125.52909999999997</v>
      </c>
      <c r="S429" s="1" t="e">
        <f t="shared" si="76"/>
        <v>#N/A</v>
      </c>
      <c r="T429" s="1" t="e">
        <v>#N/A</v>
      </c>
    </row>
    <row r="430" spans="1:57" x14ac:dyDescent="0.35">
      <c r="A430" s="1">
        <v>500091.83669999999</v>
      </c>
      <c r="B430" s="1">
        <v>5999997.7640000004</v>
      </c>
      <c r="C430" s="1">
        <v>168.15550111421601</v>
      </c>
      <c r="D430" s="1">
        <f t="shared" si="77"/>
        <v>91.965687620212464</v>
      </c>
      <c r="E430" s="1">
        <v>0.01</v>
      </c>
      <c r="F430" s="1">
        <v>0.05</v>
      </c>
      <c r="G430" s="1">
        <v>0.1</v>
      </c>
      <c r="H430" s="1">
        <v>9.81</v>
      </c>
      <c r="I430" s="1">
        <v>2650</v>
      </c>
      <c r="J430" s="1">
        <v>1000</v>
      </c>
      <c r="K430" s="1">
        <v>1.65</v>
      </c>
      <c r="L430" s="1">
        <v>6.5</v>
      </c>
      <c r="M430" s="1">
        <v>2.5</v>
      </c>
      <c r="N430" s="6">
        <v>9.9999999999999995E-7</v>
      </c>
      <c r="O430" s="1">
        <f t="shared" si="78"/>
        <v>10.204607223431253</v>
      </c>
      <c r="P430" s="1">
        <f t="shared" si="74"/>
        <v>10.499401533865951</v>
      </c>
      <c r="Q430" s="1">
        <f t="shared" si="75"/>
        <v>11.076189370981123</v>
      </c>
      <c r="R430" s="1">
        <v>125.52909999999997</v>
      </c>
      <c r="S430" s="1" t="e">
        <f t="shared" si="76"/>
        <v>#N/A</v>
      </c>
      <c r="T430" s="1" t="e">
        <v>#N/A</v>
      </c>
    </row>
    <row r="431" spans="1:57" x14ac:dyDescent="0.35">
      <c r="A431" s="1">
        <v>500102.04080000002</v>
      </c>
      <c r="B431" s="1">
        <v>5999997.9119999995</v>
      </c>
      <c r="C431" s="1">
        <v>170.62367285843499</v>
      </c>
      <c r="D431" s="1">
        <f t="shared" si="77"/>
        <v>102.17086085785942</v>
      </c>
      <c r="E431" s="1">
        <v>0.01</v>
      </c>
      <c r="F431" s="1">
        <v>0.05</v>
      </c>
      <c r="G431" s="1">
        <v>0.1</v>
      </c>
      <c r="H431" s="1">
        <v>9.81</v>
      </c>
      <c r="I431" s="1">
        <v>2650</v>
      </c>
      <c r="J431" s="1">
        <v>1000</v>
      </c>
      <c r="K431" s="1">
        <v>1.65</v>
      </c>
      <c r="L431" s="1">
        <v>6.5</v>
      </c>
      <c r="M431" s="1">
        <v>2.5</v>
      </c>
      <c r="N431" s="6">
        <v>9.9999999999999995E-7</v>
      </c>
      <c r="O431" s="1">
        <f t="shared" si="78"/>
        <v>10.21006882166494</v>
      </c>
      <c r="P431" s="1">
        <f t="shared" si="74"/>
        <v>10.948230205101877</v>
      </c>
      <c r="Q431" s="1">
        <f t="shared" si="75"/>
        <v>10.723815869483914</v>
      </c>
      <c r="R431" s="1">
        <v>125.52909999999997</v>
      </c>
      <c r="S431" s="1" t="e">
        <f t="shared" si="76"/>
        <v>#N/A</v>
      </c>
      <c r="T431" s="1" t="e">
        <v>#N/A</v>
      </c>
    </row>
    <row r="432" spans="1:57" x14ac:dyDescent="0.35">
      <c r="A432" s="1">
        <v>500112.24489999999</v>
      </c>
      <c r="B432" s="1">
        <v>5999997.4409999996</v>
      </c>
      <c r="C432" s="1">
        <v>174.56299346160199</v>
      </c>
      <c r="D432" s="1">
        <f t="shared" si="77"/>
        <v>112.38582526354234</v>
      </c>
      <c r="E432" s="1">
        <v>0.01</v>
      </c>
      <c r="F432" s="1">
        <v>0.05</v>
      </c>
      <c r="G432" s="1">
        <v>0.1</v>
      </c>
      <c r="H432" s="1">
        <v>9.81</v>
      </c>
      <c r="I432" s="1">
        <v>2650</v>
      </c>
      <c r="J432" s="1">
        <v>1000</v>
      </c>
      <c r="K432" s="1">
        <v>1.65</v>
      </c>
      <c r="L432" s="1">
        <v>6.5</v>
      </c>
      <c r="M432" s="1">
        <v>2.5</v>
      </c>
      <c r="N432" s="6">
        <v>9.9999999999999995E-7</v>
      </c>
      <c r="O432" s="1">
        <f t="shared" si="78"/>
        <v>10.211692861963954</v>
      </c>
      <c r="P432" s="1">
        <f t="shared" si="74"/>
        <v>13.530011313683339</v>
      </c>
      <c r="Q432" s="1">
        <f t="shared" si="75"/>
        <v>12.239120759392609</v>
      </c>
      <c r="R432" s="1">
        <v>125.52909999999997</v>
      </c>
      <c r="S432" s="1" t="e">
        <f t="shared" si="76"/>
        <v>#N/A</v>
      </c>
      <c r="T432" s="1" t="e">
        <v>#N/A</v>
      </c>
    </row>
    <row r="433" spans="1:20" x14ac:dyDescent="0.35">
      <c r="A433" s="1">
        <v>500122.44900000002</v>
      </c>
      <c r="B433" s="1">
        <v>5999997.7379999999</v>
      </c>
      <c r="C433" s="1">
        <v>165.68327835707299</v>
      </c>
      <c r="D433" s="1">
        <f t="shared" si="77"/>
        <v>122.59424658178733</v>
      </c>
      <c r="E433" s="1">
        <v>0.01</v>
      </c>
      <c r="F433" s="1">
        <v>0.05</v>
      </c>
      <c r="G433" s="1">
        <v>0.1</v>
      </c>
      <c r="H433" s="1">
        <v>9.81</v>
      </c>
      <c r="I433" s="1">
        <v>2650</v>
      </c>
      <c r="J433" s="1">
        <v>1000</v>
      </c>
      <c r="K433" s="1">
        <v>1.65</v>
      </c>
      <c r="L433" s="1">
        <v>6.5</v>
      </c>
      <c r="M433" s="1">
        <v>2.5</v>
      </c>
      <c r="N433" s="6">
        <v>9.9999999999999995E-7</v>
      </c>
      <c r="O433" s="1">
        <f t="shared" si="78"/>
        <v>10.212455607463802</v>
      </c>
      <c r="P433" s="1">
        <f t="shared" si="74"/>
        <v>12.917030195420445</v>
      </c>
      <c r="Q433" s="1">
        <f t="shared" si="75"/>
        <v>13.223520754551892</v>
      </c>
      <c r="R433" s="1">
        <v>125.52909999999997</v>
      </c>
      <c r="S433" s="1" t="e">
        <f t="shared" si="76"/>
        <v>#N/A</v>
      </c>
      <c r="T433" s="1" t="e">
        <v>#N/A</v>
      </c>
    </row>
    <row r="434" spans="1:20" x14ac:dyDescent="0.35">
      <c r="A434" s="1">
        <v>500132.6531</v>
      </c>
      <c r="B434" s="1">
        <v>5999997.2350000003</v>
      </c>
      <c r="C434" s="1">
        <v>173.58726489934301</v>
      </c>
      <c r="D434" s="1">
        <f t="shared" si="77"/>
        <v>132.81073647846995</v>
      </c>
      <c r="E434" s="1">
        <v>0.01</v>
      </c>
      <c r="F434" s="1">
        <v>0.05</v>
      </c>
      <c r="G434" s="1">
        <v>0.1</v>
      </c>
      <c r="H434" s="1">
        <v>9.81</v>
      </c>
      <c r="I434" s="1">
        <v>2650</v>
      </c>
      <c r="J434" s="1">
        <v>1000</v>
      </c>
      <c r="K434" s="1">
        <v>1.65</v>
      </c>
      <c r="L434" s="1">
        <v>6.5</v>
      </c>
      <c r="M434" s="1">
        <v>2.5</v>
      </c>
      <c r="N434" s="6">
        <v>9.9999999999999995E-7</v>
      </c>
      <c r="O434" s="1">
        <f t="shared" si="78"/>
        <v>10.225512676353247</v>
      </c>
      <c r="P434" s="1">
        <f t="shared" si="74"/>
        <v>13.492945518552009</v>
      </c>
      <c r="Q434" s="1">
        <f t="shared" si="75"/>
        <v>13.204987856986227</v>
      </c>
      <c r="R434" s="1">
        <v>125.52909999999997</v>
      </c>
      <c r="S434" s="1" t="e">
        <f t="shared" si="76"/>
        <v>#N/A</v>
      </c>
      <c r="T434" s="1" t="e">
        <v>#N/A</v>
      </c>
    </row>
    <row r="435" spans="1:20" x14ac:dyDescent="0.35">
      <c r="A435" s="1">
        <v>500142.85710000002</v>
      </c>
      <c r="B435" s="1">
        <v>5999996.4450000003</v>
      </c>
      <c r="C435" s="1">
        <v>164.79443470844299</v>
      </c>
      <c r="D435" s="1">
        <f t="shared" si="77"/>
        <v>143.04527193449383</v>
      </c>
      <c r="E435" s="1">
        <v>0.01</v>
      </c>
      <c r="F435" s="1">
        <v>0.05</v>
      </c>
      <c r="G435" s="1">
        <v>0.1</v>
      </c>
      <c r="H435" s="1">
        <v>9.81</v>
      </c>
      <c r="I435" s="1">
        <v>2650</v>
      </c>
      <c r="J435" s="1">
        <v>1000</v>
      </c>
      <c r="K435" s="1">
        <v>1.65</v>
      </c>
      <c r="L435" s="1">
        <v>6.5</v>
      </c>
      <c r="M435" s="1">
        <v>2.5</v>
      </c>
      <c r="N435" s="6">
        <v>9.9999999999999995E-7</v>
      </c>
      <c r="O435" s="1">
        <f t="shared" si="78"/>
        <v>10.219577641411078</v>
      </c>
      <c r="P435" s="1">
        <f t="shared" si="74"/>
        <v>10.57052865269438</v>
      </c>
      <c r="Q435" s="1">
        <f t="shared" si="75"/>
        <v>12.031737085623195</v>
      </c>
      <c r="R435" s="1">
        <v>125.52909999999997</v>
      </c>
      <c r="S435" s="1" t="e">
        <f t="shared" si="76"/>
        <v>#N/A</v>
      </c>
      <c r="T435" s="1" t="e">
        <v>#N/A</v>
      </c>
    </row>
    <row r="436" spans="1:20" x14ac:dyDescent="0.35">
      <c r="A436" s="1">
        <v>500153.0612</v>
      </c>
      <c r="B436" s="1">
        <v>5999996.5480000004</v>
      </c>
      <c r="C436" s="1">
        <v>167.55157275140499</v>
      </c>
      <c r="D436" s="1">
        <f t="shared" si="77"/>
        <v>153.2498917612921</v>
      </c>
      <c r="E436" s="1">
        <v>0.01</v>
      </c>
      <c r="F436" s="1">
        <v>0.05</v>
      </c>
      <c r="G436" s="1">
        <v>0.1</v>
      </c>
      <c r="H436" s="1">
        <v>9.81</v>
      </c>
      <c r="I436" s="1">
        <v>2650</v>
      </c>
      <c r="J436" s="1">
        <v>1000</v>
      </c>
      <c r="K436" s="1">
        <v>1.65</v>
      </c>
      <c r="L436" s="1">
        <v>6.5</v>
      </c>
      <c r="M436" s="1">
        <v>2.5</v>
      </c>
      <c r="N436" s="6">
        <v>9.9999999999999995E-7</v>
      </c>
      <c r="O436" s="1">
        <f t="shared" si="78"/>
        <v>10.204940921281036</v>
      </c>
      <c r="P436" s="1">
        <f t="shared" si="74"/>
        <v>10.682627590463349</v>
      </c>
      <c r="Q436" s="1">
        <f t="shared" si="75"/>
        <v>10.626578121578865</v>
      </c>
      <c r="R436" s="1">
        <v>125.52909999999997</v>
      </c>
      <c r="S436" s="1" t="e">
        <f t="shared" si="76"/>
        <v>#N/A</v>
      </c>
      <c r="T436" s="1" t="e">
        <v>#N/A</v>
      </c>
    </row>
    <row r="437" spans="1:20" x14ac:dyDescent="0.35">
      <c r="A437" s="1">
        <v>500163.26530000003</v>
      </c>
      <c r="B437" s="1">
        <v>5999996.7019999996</v>
      </c>
      <c r="C437" s="1">
        <v>164.39385847900201</v>
      </c>
      <c r="D437" s="1">
        <f t="shared" si="77"/>
        <v>163.4551537770559</v>
      </c>
      <c r="E437" s="1">
        <v>0.01</v>
      </c>
      <c r="F437" s="1">
        <v>0.05</v>
      </c>
      <c r="G437" s="1">
        <v>0.1</v>
      </c>
      <c r="H437" s="1">
        <v>9.81</v>
      </c>
      <c r="I437" s="1">
        <v>2650</v>
      </c>
      <c r="J437" s="1">
        <v>1000</v>
      </c>
      <c r="K437" s="1">
        <v>1.65</v>
      </c>
      <c r="L437" s="1">
        <v>6.5</v>
      </c>
      <c r="M437" s="1">
        <v>2.5</v>
      </c>
      <c r="N437" s="6">
        <v>9.9999999999999995E-7</v>
      </c>
      <c r="O437" s="1">
        <f t="shared" si="78"/>
        <v>10.213849082106762</v>
      </c>
      <c r="P437" s="1">
        <f t="shared" si="74"/>
        <v>11.026540308620518</v>
      </c>
      <c r="Q437" s="1">
        <f t="shared" si="75"/>
        <v>10.854583949541933</v>
      </c>
      <c r="R437" s="1">
        <v>125.52909999999997</v>
      </c>
      <c r="S437" s="1" t="e">
        <f t="shared" si="76"/>
        <v>#N/A</v>
      </c>
      <c r="T437" s="1" t="e">
        <v>#N/A</v>
      </c>
    </row>
    <row r="438" spans="1:20" x14ac:dyDescent="0.35">
      <c r="A438" s="1">
        <v>500173.4694</v>
      </c>
      <c r="B438" s="1">
        <v>5999996.0899999999</v>
      </c>
      <c r="C438" s="1">
        <v>168.52742719967199</v>
      </c>
      <c r="D438" s="1">
        <f t="shared" si="77"/>
        <v>173.67758992550563</v>
      </c>
      <c r="E438" s="1">
        <v>0.01</v>
      </c>
      <c r="F438" s="1">
        <v>0.05</v>
      </c>
      <c r="G438" s="1">
        <v>0.1</v>
      </c>
      <c r="H438" s="1">
        <v>9.81</v>
      </c>
      <c r="I438" s="1">
        <v>2650</v>
      </c>
      <c r="J438" s="1">
        <v>1000</v>
      </c>
      <c r="K438" s="1">
        <v>1.65</v>
      </c>
      <c r="L438" s="1">
        <v>6.5</v>
      </c>
      <c r="M438" s="1">
        <v>2.5</v>
      </c>
      <c r="N438" s="6">
        <v>9.9999999999999995E-7</v>
      </c>
      <c r="O438" s="1">
        <f t="shared" si="78"/>
        <v>10.214988293625822</v>
      </c>
      <c r="P438" s="1">
        <f t="shared" si="74"/>
        <v>10.632479456336906</v>
      </c>
      <c r="Q438" s="1">
        <f t="shared" si="75"/>
        <v>10.829509882478712</v>
      </c>
      <c r="R438" s="1">
        <v>125.52909999999997</v>
      </c>
      <c r="S438" s="1" t="e">
        <f t="shared" si="76"/>
        <v>#N/A</v>
      </c>
      <c r="T438" s="1" t="e">
        <v>#N/A</v>
      </c>
    </row>
    <row r="439" spans="1:20" x14ac:dyDescent="0.35">
      <c r="A439" s="1">
        <v>500183.67349999998</v>
      </c>
      <c r="B439" s="1">
        <v>5999996.3550000004</v>
      </c>
      <c r="C439" s="1">
        <v>165.55156806663999</v>
      </c>
      <c r="D439" s="1">
        <f t="shared" si="77"/>
        <v>183.88513036430754</v>
      </c>
      <c r="E439" s="1">
        <v>0.01</v>
      </c>
      <c r="F439" s="1">
        <v>0.05</v>
      </c>
      <c r="G439" s="1">
        <v>0.1</v>
      </c>
      <c r="H439" s="1">
        <v>9.81</v>
      </c>
      <c r="I439" s="1">
        <v>2650</v>
      </c>
      <c r="J439" s="1">
        <v>1000</v>
      </c>
      <c r="K439" s="1">
        <v>1.65</v>
      </c>
      <c r="L439" s="1">
        <v>6.5</v>
      </c>
      <c r="M439" s="1">
        <v>2.5</v>
      </c>
      <c r="N439" s="6">
        <v>9.9999999999999995E-7</v>
      </c>
      <c r="O439" s="1">
        <f t="shared" si="78"/>
        <v>10.210285318026777</v>
      </c>
      <c r="P439" s="1">
        <f t="shared" si="74"/>
        <v>10.217153370786205</v>
      </c>
      <c r="Q439" s="1">
        <f t="shared" si="75"/>
        <v>10.424816413561555</v>
      </c>
      <c r="R439" s="1">
        <v>125.52909999999997</v>
      </c>
      <c r="S439" s="1" t="e">
        <f t="shared" si="76"/>
        <v>#N/A</v>
      </c>
      <c r="T439" s="1" t="e">
        <v>#N/A</v>
      </c>
    </row>
    <row r="440" spans="1:20" x14ac:dyDescent="0.35">
      <c r="A440" s="1">
        <v>500193.87760000001</v>
      </c>
      <c r="B440" s="1">
        <v>5999996.7819999997</v>
      </c>
      <c r="C440" s="1">
        <v>165.84180450851801</v>
      </c>
      <c r="D440" s="1">
        <f t="shared" si="77"/>
        <v>194.09816056155918</v>
      </c>
      <c r="E440" s="1">
        <v>0.01</v>
      </c>
      <c r="F440" s="1">
        <v>0.05</v>
      </c>
      <c r="G440" s="1">
        <v>0.1</v>
      </c>
      <c r="H440" s="1">
        <v>9.81</v>
      </c>
      <c r="I440" s="1">
        <v>2650</v>
      </c>
      <c r="J440" s="1">
        <v>1000</v>
      </c>
      <c r="K440" s="1">
        <v>1.65</v>
      </c>
      <c r="L440" s="1">
        <v>6.5</v>
      </c>
      <c r="M440" s="1">
        <v>2.5</v>
      </c>
      <c r="N440" s="6">
        <v>9.9999999999999995E-7</v>
      </c>
      <c r="O440" s="1">
        <f t="shared" si="78"/>
        <v>10.225732250662787</v>
      </c>
      <c r="P440" s="1">
        <f t="shared" si="74"/>
        <v>11.805317568883225</v>
      </c>
      <c r="Q440" s="1">
        <f t="shared" si="75"/>
        <v>11.011235469834716</v>
      </c>
      <c r="R440" s="1">
        <v>125.52909999999997</v>
      </c>
      <c r="S440" s="1" t="e">
        <f t="shared" si="76"/>
        <v>#N/A</v>
      </c>
      <c r="T440" s="1" t="e">
        <v>#N/A</v>
      </c>
    </row>
    <row r="441" spans="1:20" x14ac:dyDescent="0.35">
      <c r="A441" s="1">
        <v>500204.08159999998</v>
      </c>
      <c r="B441" s="1">
        <v>5999995.943</v>
      </c>
      <c r="C441" s="1">
        <v>159.96473160584401</v>
      </c>
      <c r="D441" s="1">
        <f t="shared" si="77"/>
        <v>204.33659486563312</v>
      </c>
      <c r="E441" s="1">
        <v>0.01</v>
      </c>
      <c r="F441" s="1">
        <v>0.05</v>
      </c>
      <c r="G441" s="1">
        <v>0.1</v>
      </c>
      <c r="H441" s="1">
        <v>9.81</v>
      </c>
      <c r="I441" s="1">
        <v>2650</v>
      </c>
      <c r="J441" s="1">
        <v>1000</v>
      </c>
      <c r="K441" s="1">
        <v>1.65</v>
      </c>
      <c r="L441" s="1">
        <v>6.5</v>
      </c>
      <c r="M441" s="1">
        <v>2.5</v>
      </c>
      <c r="N441" s="6">
        <v>9.9999999999999995E-7</v>
      </c>
      <c r="O441" s="1">
        <f t="shared" si="78"/>
        <v>10.222474465035148</v>
      </c>
      <c r="P441" s="1">
        <f t="shared" si="74"/>
        <v>10.510110351296964</v>
      </c>
      <c r="Q441" s="1">
        <f t="shared" si="75"/>
        <v>11.157713960090096</v>
      </c>
      <c r="R441" s="1">
        <v>125.52909999999997</v>
      </c>
      <c r="S441" s="1" t="e">
        <f t="shared" si="76"/>
        <v>#N/A</v>
      </c>
      <c r="T441" s="1" t="e">
        <v>#N/A</v>
      </c>
    </row>
    <row r="442" spans="1:20" x14ac:dyDescent="0.35">
      <c r="A442" s="1">
        <v>500214.28570000001</v>
      </c>
      <c r="B442" s="1">
        <v>5999995.7209999999</v>
      </c>
      <c r="C442" s="1">
        <v>162.47261493362501</v>
      </c>
      <c r="D442" s="1">
        <f t="shared" si="77"/>
        <v>214.54310949162948</v>
      </c>
      <c r="E442" s="1">
        <v>0.01</v>
      </c>
      <c r="F442" s="1">
        <v>0.05</v>
      </c>
      <c r="G442" s="1">
        <v>0.1</v>
      </c>
      <c r="H442" s="1">
        <v>9.81</v>
      </c>
      <c r="I442" s="1">
        <v>2650</v>
      </c>
      <c r="J442" s="1">
        <v>1000</v>
      </c>
      <c r="K442" s="1">
        <v>1.65</v>
      </c>
      <c r="L442" s="1">
        <v>6.5</v>
      </c>
      <c r="M442" s="1">
        <v>2.5</v>
      </c>
      <c r="N442" s="6">
        <v>9.9999999999999995E-7</v>
      </c>
      <c r="O442" s="1">
        <f t="shared" si="78"/>
        <v>10.209668499185454</v>
      </c>
      <c r="P442" s="1">
        <f t="shared" si="74"/>
        <v>13.932835838967597</v>
      </c>
      <c r="Q442" s="1">
        <f t="shared" si="75"/>
        <v>12.22147309513228</v>
      </c>
      <c r="R442" s="1">
        <v>125.52909999999997</v>
      </c>
      <c r="S442" s="1" t="e">
        <f t="shared" si="76"/>
        <v>#N/A</v>
      </c>
      <c r="T442" s="1" t="e">
        <v>#N/A</v>
      </c>
    </row>
    <row r="443" spans="1:20" x14ac:dyDescent="0.35">
      <c r="A443" s="1">
        <v>500224.48979999998</v>
      </c>
      <c r="B443" s="1">
        <v>5999996.1430000002</v>
      </c>
      <c r="C443" s="1">
        <v>152.99515885586101</v>
      </c>
      <c r="D443" s="1">
        <f t="shared" si="77"/>
        <v>224.75593186400403</v>
      </c>
      <c r="E443" s="1">
        <v>0.01</v>
      </c>
      <c r="F443" s="1">
        <v>0.05</v>
      </c>
      <c r="G443" s="1">
        <v>0.1</v>
      </c>
      <c r="H443" s="1">
        <v>9.81</v>
      </c>
      <c r="I443" s="1">
        <v>2650</v>
      </c>
      <c r="J443" s="1">
        <v>1000</v>
      </c>
      <c r="K443" s="1">
        <v>1.65</v>
      </c>
      <c r="L443" s="1">
        <v>6.5</v>
      </c>
      <c r="M443" s="1">
        <v>2.5</v>
      </c>
      <c r="N443" s="6">
        <v>9.9999999999999995E-7</v>
      </c>
      <c r="O443" s="1">
        <f t="shared" si="78"/>
        <v>10.211706300347956</v>
      </c>
      <c r="P443" s="1">
        <f t="shared" si="74"/>
        <v>10.301820481574744</v>
      </c>
      <c r="Q443" s="1">
        <f t="shared" si="75"/>
        <v>12.117328160271171</v>
      </c>
      <c r="R443" s="1">
        <v>125.52909999999997</v>
      </c>
      <c r="S443" s="1" t="e">
        <f t="shared" si="76"/>
        <v>#N/A</v>
      </c>
      <c r="T443" s="1" t="e">
        <v>#N/A</v>
      </c>
    </row>
    <row r="444" spans="1:20" x14ac:dyDescent="0.35">
      <c r="A444" s="1">
        <v>500234.69390000001</v>
      </c>
      <c r="B444" s="1">
        <v>5999996.5070000002</v>
      </c>
      <c r="C444" s="1">
        <v>151.627185016966</v>
      </c>
      <c r="D444" s="1">
        <f t="shared" si="77"/>
        <v>234.96652209232539</v>
      </c>
      <c r="E444" s="1">
        <v>0.01</v>
      </c>
      <c r="F444" s="1">
        <v>0.05</v>
      </c>
      <c r="G444" s="1">
        <v>0.1</v>
      </c>
      <c r="H444" s="1">
        <v>9.81</v>
      </c>
      <c r="I444" s="1">
        <v>2650</v>
      </c>
      <c r="J444" s="1">
        <v>1000</v>
      </c>
      <c r="K444" s="1">
        <v>1.65</v>
      </c>
      <c r="L444" s="1">
        <v>6.5</v>
      </c>
      <c r="M444" s="1">
        <v>2.5</v>
      </c>
      <c r="N444" s="6">
        <v>9.9999999999999995E-7</v>
      </c>
      <c r="O444" s="1">
        <f t="shared" si="78"/>
        <v>10.212172653557417</v>
      </c>
      <c r="P444" s="1">
        <f t="shared" si="74"/>
        <v>11.089044194999135</v>
      </c>
      <c r="Q444" s="1">
        <f t="shared" si="75"/>
        <v>10.695432338286938</v>
      </c>
      <c r="R444" s="1">
        <v>125.52909999999997</v>
      </c>
      <c r="S444" s="1" t="e">
        <f t="shared" si="76"/>
        <v>#N/A</v>
      </c>
      <c r="T444" s="1" t="e">
        <v>#N/A</v>
      </c>
    </row>
    <row r="445" spans="1:20" x14ac:dyDescent="0.35">
      <c r="A445" s="1">
        <v>500244.89799999999</v>
      </c>
      <c r="B445" s="1">
        <v>5999996.9510000004</v>
      </c>
      <c r="C445" s="1">
        <v>155.94529899752101</v>
      </c>
      <c r="D445" s="1">
        <f t="shared" si="77"/>
        <v>245.18027717111886</v>
      </c>
      <c r="E445" s="1">
        <v>0.01</v>
      </c>
      <c r="F445" s="1">
        <v>0.05</v>
      </c>
      <c r="G445" s="1">
        <v>0.1</v>
      </c>
      <c r="H445" s="1">
        <v>9.81</v>
      </c>
      <c r="I445" s="1">
        <v>2650</v>
      </c>
      <c r="J445" s="1">
        <v>1000</v>
      </c>
      <c r="K445" s="1">
        <v>1.65</v>
      </c>
      <c r="L445" s="1">
        <v>6.5</v>
      </c>
      <c r="M445" s="1">
        <v>2.5</v>
      </c>
      <c r="N445" s="6">
        <v>9.9999999999999995E-7</v>
      </c>
      <c r="O445" s="1">
        <f t="shared" si="78"/>
        <v>10.228334363400478</v>
      </c>
      <c r="P445" s="1">
        <f t="shared" si="74"/>
        <v>11.738479864242503</v>
      </c>
      <c r="Q445" s="1">
        <f t="shared" si="75"/>
        <v>11.41376202962082</v>
      </c>
      <c r="R445" s="1">
        <v>125.52909999999997</v>
      </c>
      <c r="S445" s="1" t="e">
        <f t="shared" si="76"/>
        <v>#N/A</v>
      </c>
      <c r="T445" s="1" t="e">
        <v>#N/A</v>
      </c>
    </row>
    <row r="446" spans="1:20" x14ac:dyDescent="0.35">
      <c r="A446" s="1">
        <v>500255.10200000001</v>
      </c>
      <c r="B446" s="1">
        <v>5999997.8430000003</v>
      </c>
      <c r="C446" s="1">
        <v>150.21165883417899</v>
      </c>
      <c r="D446" s="1">
        <f t="shared" si="77"/>
        <v>255.42319081912635</v>
      </c>
      <c r="E446" s="1">
        <v>0.01</v>
      </c>
      <c r="F446" s="1">
        <v>0.05</v>
      </c>
      <c r="G446" s="1">
        <v>0.1</v>
      </c>
      <c r="H446" s="1">
        <v>9.81</v>
      </c>
      <c r="I446" s="1">
        <v>2650</v>
      </c>
      <c r="J446" s="1">
        <v>1000</v>
      </c>
      <c r="K446" s="1">
        <v>1.65</v>
      </c>
      <c r="L446" s="1">
        <v>6.5</v>
      </c>
      <c r="M446" s="1">
        <v>2.5</v>
      </c>
      <c r="N446" s="6">
        <v>9.9999999999999995E-7</v>
      </c>
      <c r="O446" s="1">
        <f t="shared" si="78"/>
        <v>10.228247812702051</v>
      </c>
      <c r="P446" s="1">
        <f t="shared" si="74"/>
        <v>10.415569048554094</v>
      </c>
      <c r="Q446" s="1">
        <f t="shared" si="75"/>
        <v>11.077024456398298</v>
      </c>
      <c r="R446" s="1">
        <v>125.52909999999997</v>
      </c>
      <c r="S446" s="1" t="e">
        <f t="shared" si="76"/>
        <v>#N/A</v>
      </c>
      <c r="T446" s="1" t="e">
        <v>#N/A</v>
      </c>
    </row>
    <row r="447" spans="1:20" x14ac:dyDescent="0.35">
      <c r="A447" s="1">
        <v>500265.30609999999</v>
      </c>
      <c r="B447" s="1">
        <v>5999998.2829999998</v>
      </c>
      <c r="C447" s="1">
        <v>148.17037938339399</v>
      </c>
      <c r="D447" s="1">
        <f t="shared" si="77"/>
        <v>265.63677279652296</v>
      </c>
      <c r="E447" s="1">
        <v>0.01</v>
      </c>
      <c r="F447" s="1">
        <v>0.05</v>
      </c>
      <c r="G447" s="1">
        <v>0.1</v>
      </c>
      <c r="H447" s="1">
        <v>9.81</v>
      </c>
      <c r="I447" s="1">
        <v>2650</v>
      </c>
      <c r="J447" s="1">
        <v>1000</v>
      </c>
      <c r="K447" s="1">
        <v>1.65</v>
      </c>
      <c r="L447" s="1">
        <v>6.5</v>
      </c>
      <c r="M447" s="1">
        <v>2.5</v>
      </c>
      <c r="N447" s="6">
        <v>9.9999999999999995E-7</v>
      </c>
      <c r="O447" s="1">
        <f t="shared" si="78"/>
        <v>10.23198332194535</v>
      </c>
      <c r="P447" s="1">
        <f t="shared" si="74"/>
        <v>10.753746192038282</v>
      </c>
      <c r="Q447" s="1">
        <f t="shared" si="75"/>
        <v>10.584657620296188</v>
      </c>
      <c r="R447" s="1">
        <v>125.52909999999997</v>
      </c>
      <c r="S447" s="1" t="e">
        <f t="shared" si="76"/>
        <v>#N/A</v>
      </c>
      <c r="T447" s="1" t="e">
        <v>#N/A</v>
      </c>
    </row>
    <row r="448" spans="1:20" x14ac:dyDescent="0.35">
      <c r="A448" s="1">
        <v>500275.51020000002</v>
      </c>
      <c r="B448" s="1">
        <v>5999997.3099999996</v>
      </c>
      <c r="C448" s="1">
        <v>144.91881493659599</v>
      </c>
      <c r="D448" s="1">
        <f t="shared" si="77"/>
        <v>275.88715746301705</v>
      </c>
      <c r="E448" s="1">
        <v>0.01</v>
      </c>
      <c r="F448" s="1">
        <v>0.05</v>
      </c>
      <c r="G448" s="1">
        <v>0.1</v>
      </c>
      <c r="H448" s="1">
        <v>9.81</v>
      </c>
      <c r="I448" s="1">
        <v>2650</v>
      </c>
      <c r="J448" s="1">
        <v>1000</v>
      </c>
      <c r="K448" s="1">
        <v>1.65</v>
      </c>
      <c r="L448" s="1">
        <v>6.5</v>
      </c>
      <c r="M448" s="1">
        <v>2.5</v>
      </c>
      <c r="N448" s="6">
        <v>9.9999999999999995E-7</v>
      </c>
      <c r="O448" s="1">
        <f t="shared" si="78"/>
        <v>10.247668609691146</v>
      </c>
      <c r="P448" s="1">
        <f t="shared" si="74"/>
        <v>10.247801935839309</v>
      </c>
      <c r="Q448" s="1">
        <f t="shared" si="75"/>
        <v>10.500774063938795</v>
      </c>
      <c r="R448" s="1">
        <v>125.52909999999997</v>
      </c>
      <c r="S448" s="1" t="e">
        <f t="shared" si="76"/>
        <v>#N/A</v>
      </c>
      <c r="T448" s="1" t="e">
        <v>#N/A</v>
      </c>
    </row>
    <row r="449" spans="1:20" x14ac:dyDescent="0.35">
      <c r="A449" s="1">
        <v>500285.71429999999</v>
      </c>
      <c r="B449" s="1">
        <v>5999998.2240000004</v>
      </c>
      <c r="C449" s="1">
        <v>144.67717117967001</v>
      </c>
      <c r="D449" s="1">
        <f t="shared" si="77"/>
        <v>286.13211001590525</v>
      </c>
      <c r="E449" s="1">
        <v>0.01</v>
      </c>
      <c r="F449" s="1">
        <v>0.05</v>
      </c>
      <c r="G449" s="1">
        <v>0.1</v>
      </c>
      <c r="H449" s="1">
        <v>9.81</v>
      </c>
      <c r="I449" s="1">
        <v>2650</v>
      </c>
      <c r="J449" s="1">
        <v>1000</v>
      </c>
      <c r="K449" s="1">
        <v>1.65</v>
      </c>
      <c r="L449" s="1">
        <v>6.5</v>
      </c>
      <c r="M449" s="1">
        <v>2.5</v>
      </c>
      <c r="N449" s="6">
        <v>9.9999999999999995E-7</v>
      </c>
      <c r="O449" s="1">
        <f t="shared" si="78"/>
        <v>10.245310960713113</v>
      </c>
      <c r="P449" s="1">
        <f t="shared" si="74"/>
        <v>10.773986209295044</v>
      </c>
      <c r="Q449" s="1">
        <f t="shared" si="75"/>
        <v>10.510894072567176</v>
      </c>
      <c r="R449" s="1">
        <v>125.52909999999997</v>
      </c>
      <c r="S449" s="1" t="e">
        <f t="shared" si="76"/>
        <v>#N/A</v>
      </c>
      <c r="T449" s="1" t="e">
        <v>#N/A</v>
      </c>
    </row>
    <row r="450" spans="1:20" x14ac:dyDescent="0.35">
      <c r="A450" s="1">
        <v>500295.91840000002</v>
      </c>
      <c r="B450" s="1">
        <v>5999999.1459999997</v>
      </c>
      <c r="C450" s="1">
        <v>141.344748933213</v>
      </c>
      <c r="D450" s="1">
        <f t="shared" si="77"/>
        <v>296.37777938444327</v>
      </c>
      <c r="E450" s="1">
        <v>0.01</v>
      </c>
      <c r="F450" s="1">
        <v>0.05</v>
      </c>
      <c r="G450" s="1">
        <v>0.1</v>
      </c>
      <c r="H450" s="1">
        <v>9.81</v>
      </c>
      <c r="I450" s="1">
        <v>2650</v>
      </c>
      <c r="J450" s="1">
        <v>1000</v>
      </c>
      <c r="K450" s="1">
        <v>1.65</v>
      </c>
      <c r="L450" s="1">
        <v>6.5</v>
      </c>
      <c r="M450" s="1">
        <v>2.5</v>
      </c>
      <c r="N450" s="6">
        <v>9.9999999999999995E-7</v>
      </c>
      <c r="O450" s="1">
        <f t="shared" si="78"/>
        <v>10.233098302678485</v>
      </c>
      <c r="P450" s="1">
        <f t="shared" si="74"/>
        <v>10.320041754295742</v>
      </c>
      <c r="Q450" s="1">
        <f t="shared" si="75"/>
        <v>10.547013981795393</v>
      </c>
      <c r="R450" s="1">
        <v>125.52909999999997</v>
      </c>
      <c r="S450" s="1" t="e">
        <f t="shared" si="76"/>
        <v>#N/A</v>
      </c>
      <c r="T450" s="1" t="e">
        <v>#N/A</v>
      </c>
    </row>
    <row r="451" spans="1:20" x14ac:dyDescent="0.35">
      <c r="A451" s="1">
        <v>500306.12239999999</v>
      </c>
      <c r="B451" s="1">
        <v>5999998.5650000004</v>
      </c>
      <c r="C451" s="1">
        <v>139.91503399244701</v>
      </c>
      <c r="D451" s="1">
        <f t="shared" si="77"/>
        <v>306.59830662126222</v>
      </c>
      <c r="E451" s="1">
        <v>0.01</v>
      </c>
      <c r="F451" s="1">
        <v>0.05</v>
      </c>
      <c r="G451" s="1">
        <v>0.1</v>
      </c>
      <c r="H451" s="1">
        <v>9.81</v>
      </c>
      <c r="I451" s="1">
        <v>2650</v>
      </c>
      <c r="J451" s="1">
        <v>1000</v>
      </c>
      <c r="K451" s="1">
        <v>1.65</v>
      </c>
      <c r="L451" s="1">
        <v>6.5</v>
      </c>
      <c r="M451" s="1">
        <v>2.5</v>
      </c>
      <c r="N451" s="6">
        <v>9.9999999999999995E-7</v>
      </c>
      <c r="O451" s="1">
        <f t="shared" si="78"/>
        <v>10.221874954638196</v>
      </c>
      <c r="P451" s="1">
        <f t="shared" si="74"/>
        <v>13.893706980070347</v>
      </c>
      <c r="Q451" s="1">
        <f t="shared" si="75"/>
        <v>12.106874367183044</v>
      </c>
      <c r="R451" s="1">
        <v>125.52909999999997</v>
      </c>
      <c r="S451" s="1" t="e">
        <f t="shared" si="76"/>
        <v>#N/A</v>
      </c>
      <c r="T451" s="1" t="e">
        <v>#N/A</v>
      </c>
    </row>
    <row r="452" spans="1:20" x14ac:dyDescent="0.35">
      <c r="A452" s="1">
        <v>500316.32650000002</v>
      </c>
      <c r="B452" s="1">
        <v>5999999.1900000004</v>
      </c>
      <c r="C452" s="1">
        <v>130.506484059678</v>
      </c>
      <c r="D452" s="1">
        <f t="shared" si="77"/>
        <v>316.82152929371966</v>
      </c>
      <c r="E452" s="1">
        <v>0.01</v>
      </c>
      <c r="F452" s="1">
        <v>0.05</v>
      </c>
      <c r="G452" s="1">
        <v>0.1</v>
      </c>
      <c r="H452" s="1">
        <v>9.81</v>
      </c>
      <c r="I452" s="1">
        <v>2650</v>
      </c>
      <c r="J452" s="1">
        <v>1000</v>
      </c>
      <c r="K452" s="1">
        <v>1.65</v>
      </c>
      <c r="L452" s="1">
        <v>6.5</v>
      </c>
      <c r="M452" s="1">
        <v>2.5</v>
      </c>
      <c r="N452" s="6">
        <v>9.9999999999999995E-7</v>
      </c>
      <c r="O452" s="1">
        <f t="shared" si="78"/>
        <v>10.235493697492075</v>
      </c>
      <c r="P452" s="1">
        <f t="shared" si="74"/>
        <v>10.418299398725649</v>
      </c>
      <c r="Q452" s="1">
        <f t="shared" si="75"/>
        <v>12.156003189397998</v>
      </c>
      <c r="R452" s="1">
        <v>125.52909999999997</v>
      </c>
      <c r="S452" s="1" t="e">
        <f t="shared" si="76"/>
        <v>#N/A</v>
      </c>
      <c r="T452" s="1" t="e">
        <v>#N/A</v>
      </c>
    </row>
    <row r="453" spans="1:20" x14ac:dyDescent="0.35">
      <c r="A453" s="1">
        <v>500326.5306</v>
      </c>
      <c r="B453" s="1">
        <v>6000000.1349999998</v>
      </c>
      <c r="C453" s="1">
        <v>128.62917733108401</v>
      </c>
      <c r="D453" s="1">
        <f t="shared" si="77"/>
        <v>327.06929401624637</v>
      </c>
      <c r="E453" s="1">
        <v>0.01</v>
      </c>
      <c r="F453" s="1">
        <v>0.05</v>
      </c>
      <c r="G453" s="1">
        <v>0.1</v>
      </c>
      <c r="H453" s="1">
        <v>9.81</v>
      </c>
      <c r="I453" s="1">
        <v>2650</v>
      </c>
      <c r="J453" s="1">
        <v>1000</v>
      </c>
      <c r="K453" s="1">
        <v>1.65</v>
      </c>
      <c r="L453" s="1">
        <v>6.5</v>
      </c>
      <c r="M453" s="1">
        <v>2.5</v>
      </c>
      <c r="N453" s="6">
        <v>9.9999999999999995E-7</v>
      </c>
      <c r="O453" s="1">
        <f t="shared" si="78"/>
        <v>10.241238558797846</v>
      </c>
      <c r="P453" s="1">
        <f t="shared" ref="P453:P469" si="79">SQRT((D454 - D453)^2 + (C454 - C453)^2)</f>
        <v>10.787841757464356</v>
      </c>
      <c r="Q453" s="1">
        <f t="shared" ref="Q453:Q469" si="80">IF(ROW()=421, P453/2, (P453 + P452)/2)</f>
        <v>10.603070578095004</v>
      </c>
      <c r="R453" s="1">
        <v>125.52909999999997</v>
      </c>
      <c r="S453" s="1" t="e">
        <f t="shared" ref="S453:S469" si="81">IF(R453 - C453 &lt; 0, NA(), R453 - C453)</f>
        <v>#N/A</v>
      </c>
      <c r="T453" s="1" t="e">
        <v>#N/A</v>
      </c>
    </row>
    <row r="454" spans="1:20" x14ac:dyDescent="0.35">
      <c r="A454" s="1">
        <v>500336.73469999997</v>
      </c>
      <c r="B454" s="1">
        <v>5999999.3439999996</v>
      </c>
      <c r="C454" s="1">
        <v>132.03919081702699</v>
      </c>
      <c r="D454" s="1">
        <f t="shared" ref="D454:D470" si="82">D453 + SQRT((A454 - A453)^2 + (B454 - B453)^2)</f>
        <v>337.30400641131536</v>
      </c>
      <c r="E454" s="1">
        <v>0.01</v>
      </c>
      <c r="F454" s="1">
        <v>0.05</v>
      </c>
      <c r="G454" s="1">
        <v>0.1</v>
      </c>
      <c r="H454" s="1">
        <v>9.81</v>
      </c>
      <c r="I454" s="1">
        <v>2650</v>
      </c>
      <c r="J454" s="1">
        <v>1000</v>
      </c>
      <c r="K454" s="1">
        <v>1.65</v>
      </c>
      <c r="L454" s="1">
        <v>6.5</v>
      </c>
      <c r="M454" s="1">
        <v>2.5</v>
      </c>
      <c r="N454" s="6">
        <v>9.9999999999999995E-7</v>
      </c>
      <c r="O454" s="1">
        <f t="shared" si="78"/>
        <v>10.233949248828765</v>
      </c>
      <c r="P454" s="1">
        <f t="shared" si="79"/>
        <v>11.755266476054745</v>
      </c>
      <c r="Q454" s="1">
        <f t="shared" si="80"/>
        <v>11.27155411675955</v>
      </c>
      <c r="R454" s="1">
        <v>125.52909999999997</v>
      </c>
      <c r="S454" s="1" t="e">
        <f t="shared" si="81"/>
        <v>#N/A</v>
      </c>
      <c r="T454" s="1" t="e">
        <v>#N/A</v>
      </c>
    </row>
    <row r="455" spans="1:20" x14ac:dyDescent="0.35">
      <c r="A455" s="1">
        <v>500346.9388</v>
      </c>
      <c r="B455" s="1">
        <v>5999998.5729999999</v>
      </c>
      <c r="C455" s="1">
        <v>126.254020801129</v>
      </c>
      <c r="D455" s="1">
        <f t="shared" si="82"/>
        <v>347.5371925139039</v>
      </c>
      <c r="E455" s="1">
        <v>0.01</v>
      </c>
      <c r="F455" s="1">
        <v>0.05</v>
      </c>
      <c r="G455" s="1">
        <v>0.1</v>
      </c>
      <c r="H455" s="1">
        <v>9.81</v>
      </c>
      <c r="I455" s="1">
        <v>2650</v>
      </c>
      <c r="J455" s="1">
        <v>1000</v>
      </c>
      <c r="K455" s="1">
        <v>1.65</v>
      </c>
      <c r="L455" s="1">
        <v>6.5</v>
      </c>
      <c r="M455" s="1">
        <v>2.5</v>
      </c>
      <c r="N455" s="6">
        <v>9.9999999999999995E-7</v>
      </c>
      <c r="O455" s="1">
        <f t="shared" si="78"/>
        <v>10.232552707337419</v>
      </c>
      <c r="P455" s="1">
        <f t="shared" si="79"/>
        <v>11.350607222214496</v>
      </c>
      <c r="Q455" s="1">
        <f t="shared" si="80"/>
        <v>11.552936849134621</v>
      </c>
      <c r="R455" s="1">
        <v>125.52909999999997</v>
      </c>
      <c r="S455" s="1" t="e">
        <f t="shared" si="81"/>
        <v>#N/A</v>
      </c>
      <c r="T455" s="1" t="e">
        <v>#N/A</v>
      </c>
    </row>
    <row r="456" spans="1:20" x14ac:dyDescent="0.35">
      <c r="A456" s="1">
        <v>500357.14289999998</v>
      </c>
      <c r="B456" s="1">
        <v>5999999.3269999996</v>
      </c>
      <c r="C456" s="1">
        <v>131.167686591956</v>
      </c>
      <c r="D456" s="1">
        <f t="shared" si="82"/>
        <v>357.76911182599019</v>
      </c>
      <c r="E456" s="1">
        <v>0.01</v>
      </c>
      <c r="F456" s="1">
        <v>0.05</v>
      </c>
      <c r="G456" s="1">
        <v>0.1</v>
      </c>
      <c r="H456" s="1">
        <v>9.81</v>
      </c>
      <c r="I456" s="1">
        <v>2650</v>
      </c>
      <c r="J456" s="1">
        <v>1000</v>
      </c>
      <c r="K456" s="1">
        <v>1.65</v>
      </c>
      <c r="L456" s="1">
        <v>6.5</v>
      </c>
      <c r="M456" s="1">
        <v>2.5</v>
      </c>
      <c r="N456" s="6">
        <v>9.9999999999999995E-7</v>
      </c>
      <c r="O456" s="1">
        <f t="shared" si="78"/>
        <v>10.223838765829584</v>
      </c>
      <c r="P456" s="1">
        <f t="shared" si="79"/>
        <v>10.479732415606993</v>
      </c>
      <c r="Q456" s="1">
        <f t="shared" si="80"/>
        <v>10.915169818910744</v>
      </c>
      <c r="R456" s="1">
        <v>125.52909999999997</v>
      </c>
      <c r="S456" s="1" t="e">
        <f t="shared" si="81"/>
        <v>#N/A</v>
      </c>
      <c r="T456" s="1" t="e">
        <v>#N/A</v>
      </c>
    </row>
    <row r="457" spans="1:20" x14ac:dyDescent="0.35">
      <c r="A457" s="1">
        <v>500367.3469</v>
      </c>
      <c r="B457" s="1">
        <v>5999999.8169999998</v>
      </c>
      <c r="C457" s="1">
        <v>128.83036429882799</v>
      </c>
      <c r="D457" s="1">
        <f t="shared" si="82"/>
        <v>367.98487004556307</v>
      </c>
      <c r="E457" s="1">
        <v>0.01</v>
      </c>
      <c r="F457" s="1">
        <v>0.05</v>
      </c>
      <c r="G457" s="1">
        <v>0.1</v>
      </c>
      <c r="H457" s="1">
        <v>9.81</v>
      </c>
      <c r="I457" s="1">
        <v>2650</v>
      </c>
      <c r="J457" s="1">
        <v>1000</v>
      </c>
      <c r="K457" s="1">
        <v>1.65</v>
      </c>
      <c r="L457" s="1">
        <v>6.5</v>
      </c>
      <c r="M457" s="1">
        <v>2.5</v>
      </c>
      <c r="N457" s="6">
        <v>9.9999999999999995E-7</v>
      </c>
      <c r="O457" s="1">
        <f t="shared" si="78"/>
        <v>10.224509856901079</v>
      </c>
      <c r="P457" s="1">
        <f t="shared" si="79"/>
        <v>10.91645406051112</v>
      </c>
      <c r="Q457" s="1">
        <f t="shared" si="80"/>
        <v>10.698093238059055</v>
      </c>
      <c r="R457" s="1">
        <v>125.52909999999997</v>
      </c>
      <c r="S457" s="1" t="e">
        <f t="shared" si="81"/>
        <v>#N/A</v>
      </c>
      <c r="T457" s="1" t="e">
        <v>#N/A</v>
      </c>
    </row>
    <row r="458" spans="1:20" x14ac:dyDescent="0.35">
      <c r="A458" s="1">
        <v>500377.55099999998</v>
      </c>
      <c r="B458" s="1">
        <v>5999999.0449999999</v>
      </c>
      <c r="C458" s="1">
        <v>125.029137069896</v>
      </c>
      <c r="D458" s="1">
        <f t="shared" si="82"/>
        <v>378.21813153979235</v>
      </c>
      <c r="E458" s="1">
        <v>0.01</v>
      </c>
      <c r="F458" s="1">
        <v>0.05</v>
      </c>
      <c r="G458" s="1">
        <v>0.1</v>
      </c>
      <c r="H458" s="1">
        <v>9.81</v>
      </c>
      <c r="I458" s="1">
        <v>2650</v>
      </c>
      <c r="J458" s="1">
        <v>1000</v>
      </c>
      <c r="K458" s="1">
        <v>1.65</v>
      </c>
      <c r="L458" s="1">
        <v>6.5</v>
      </c>
      <c r="M458" s="1">
        <v>2.5</v>
      </c>
      <c r="N458" s="6">
        <v>9.9999999999999995E-7</v>
      </c>
      <c r="O458" s="1">
        <f t="shared" si="78"/>
        <v>10.221049857319429</v>
      </c>
      <c r="P458" s="1">
        <f t="shared" si="79"/>
        <v>10.237547645163266</v>
      </c>
      <c r="Q458" s="1">
        <f t="shared" si="80"/>
        <v>10.577000852837193</v>
      </c>
      <c r="R458" s="1">
        <v>125.52909999999997</v>
      </c>
      <c r="S458" s="1">
        <f t="shared" si="81"/>
        <v>0.49996293010397608</v>
      </c>
      <c r="T458" s="1">
        <v>0.49996293010397608</v>
      </c>
    </row>
    <row r="459" spans="1:20" x14ac:dyDescent="0.35">
      <c r="A459" s="1">
        <v>500387.75510000001</v>
      </c>
      <c r="B459" s="1">
        <v>5999999.3559999997</v>
      </c>
      <c r="C459" s="1">
        <v>125.795298917349</v>
      </c>
      <c r="D459" s="1">
        <f t="shared" si="82"/>
        <v>388.42696976020193</v>
      </c>
      <c r="E459" s="1">
        <v>0.01</v>
      </c>
      <c r="F459" s="1">
        <v>0.05</v>
      </c>
      <c r="G459" s="1">
        <v>0.1</v>
      </c>
      <c r="H459" s="1">
        <v>9.81</v>
      </c>
      <c r="I459" s="1">
        <v>2650</v>
      </c>
      <c r="J459" s="1">
        <v>1000</v>
      </c>
      <c r="K459" s="1">
        <v>1.65</v>
      </c>
      <c r="L459" s="1">
        <v>6.5</v>
      </c>
      <c r="M459" s="1">
        <v>2.5</v>
      </c>
      <c r="N459" s="6">
        <v>9.9999999999999995E-7</v>
      </c>
      <c r="O459" s="1">
        <f t="shared" si="78"/>
        <v>10.226672955179509</v>
      </c>
      <c r="P459" s="1">
        <f t="shared" si="79"/>
        <v>14.006911426674414</v>
      </c>
      <c r="Q459" s="1">
        <f t="shared" si="80"/>
        <v>12.122229535918841</v>
      </c>
      <c r="R459" s="1">
        <v>125.52909999999997</v>
      </c>
      <c r="S459" s="1" t="e">
        <f t="shared" si="81"/>
        <v>#N/A</v>
      </c>
      <c r="T459" s="1" t="e">
        <v>#N/A</v>
      </c>
    </row>
    <row r="460" spans="1:20" x14ac:dyDescent="0.35">
      <c r="A460" s="1">
        <v>500397.95919999998</v>
      </c>
      <c r="B460" s="1">
        <v>5999998.4469999997</v>
      </c>
      <c r="C460" s="1">
        <v>135.347452072804</v>
      </c>
      <c r="D460" s="1">
        <f t="shared" si="82"/>
        <v>398.67147745015137</v>
      </c>
      <c r="E460" s="1">
        <v>0.01</v>
      </c>
      <c r="F460" s="1">
        <v>0.05</v>
      </c>
      <c r="G460" s="1">
        <v>0.1</v>
      </c>
      <c r="H460" s="1">
        <v>9.81</v>
      </c>
      <c r="I460" s="1">
        <v>2650</v>
      </c>
      <c r="J460" s="1">
        <v>1000</v>
      </c>
      <c r="K460" s="1">
        <v>1.65</v>
      </c>
      <c r="L460" s="1">
        <v>6.5</v>
      </c>
      <c r="M460" s="1">
        <v>2.5</v>
      </c>
      <c r="N460" s="6">
        <v>9.9999999999999995E-7</v>
      </c>
      <c r="O460" s="1">
        <f t="shared" si="78"/>
        <v>10.22650836474881</v>
      </c>
      <c r="P460" s="1">
        <f t="shared" si="79"/>
        <v>12.538849639326756</v>
      </c>
      <c r="Q460" s="1">
        <f t="shared" si="80"/>
        <v>13.272880533000585</v>
      </c>
      <c r="R460" s="1">
        <v>125.52909999999997</v>
      </c>
      <c r="S460" s="1" t="e">
        <f t="shared" si="81"/>
        <v>#N/A</v>
      </c>
      <c r="T460" s="1" t="e">
        <v>#N/A</v>
      </c>
    </row>
    <row r="461" spans="1:20" x14ac:dyDescent="0.35">
      <c r="A461" s="1">
        <v>500408.16330000001</v>
      </c>
      <c r="B461" s="1">
        <v>5999998.1469999999</v>
      </c>
      <c r="C461" s="1">
        <v>128.06671766842501</v>
      </c>
      <c r="D461" s="1">
        <f t="shared" si="82"/>
        <v>408.87998648969955</v>
      </c>
      <c r="E461" s="1">
        <v>0.01</v>
      </c>
      <c r="F461" s="1">
        <v>0.05</v>
      </c>
      <c r="G461" s="1">
        <v>0.1</v>
      </c>
      <c r="H461" s="1">
        <v>9.81</v>
      </c>
      <c r="I461" s="1">
        <v>2650</v>
      </c>
      <c r="J461" s="1">
        <v>1000</v>
      </c>
      <c r="K461" s="1">
        <v>1.65</v>
      </c>
      <c r="L461" s="1">
        <v>6.5</v>
      </c>
      <c r="M461" s="1">
        <v>2.5</v>
      </c>
      <c r="N461" s="6">
        <v>9.9999999999999995E-7</v>
      </c>
      <c r="O461" s="1">
        <f t="shared" si="78"/>
        <v>10.217670819070179</v>
      </c>
      <c r="P461" s="1">
        <f t="shared" si="79"/>
        <v>11.126667604014996</v>
      </c>
      <c r="Q461" s="1">
        <f t="shared" si="80"/>
        <v>11.832758621670877</v>
      </c>
      <c r="R461" s="1">
        <v>125.52909999999997</v>
      </c>
      <c r="S461" s="1" t="e">
        <f t="shared" si="81"/>
        <v>#N/A</v>
      </c>
      <c r="T461" s="1" t="e">
        <v>#N/A</v>
      </c>
    </row>
    <row r="462" spans="1:20" x14ac:dyDescent="0.35">
      <c r="A462" s="1">
        <v>500418.36729999998</v>
      </c>
      <c r="B462" s="1">
        <v>5999997.4639999997</v>
      </c>
      <c r="C462" s="1">
        <v>132.450166877736</v>
      </c>
      <c r="D462" s="1">
        <f t="shared" si="82"/>
        <v>419.10681908829173</v>
      </c>
      <c r="E462" s="1">
        <v>0.01</v>
      </c>
      <c r="F462" s="1">
        <v>0.05</v>
      </c>
      <c r="G462" s="1">
        <v>0.1</v>
      </c>
      <c r="H462" s="1">
        <v>9.81</v>
      </c>
      <c r="I462" s="1">
        <v>2650</v>
      </c>
      <c r="J462" s="1">
        <v>1000</v>
      </c>
      <c r="K462" s="1">
        <v>1.65</v>
      </c>
      <c r="L462" s="1">
        <v>6.5</v>
      </c>
      <c r="M462" s="1">
        <v>2.5</v>
      </c>
      <c r="N462" s="6">
        <v>9.9999999999999995E-7</v>
      </c>
      <c r="O462" s="1">
        <f t="shared" si="78"/>
        <v>10.219153288461655</v>
      </c>
      <c r="P462" s="1">
        <f t="shared" si="79"/>
        <v>12.259823035582844</v>
      </c>
      <c r="Q462" s="1">
        <f t="shared" si="80"/>
        <v>11.693245319798919</v>
      </c>
      <c r="R462" s="1">
        <v>125.52909999999997</v>
      </c>
      <c r="S462" s="1" t="e">
        <f t="shared" si="81"/>
        <v>#N/A</v>
      </c>
      <c r="T462" s="1" t="e">
        <v>#N/A</v>
      </c>
    </row>
    <row r="463" spans="1:20" x14ac:dyDescent="0.35">
      <c r="A463" s="1">
        <v>500428.57140000002</v>
      </c>
      <c r="B463" s="1">
        <v>5999997.0760000004</v>
      </c>
      <c r="C463" s="1">
        <v>139.234638858198</v>
      </c>
      <c r="D463" s="1">
        <f t="shared" si="82"/>
        <v>429.31829306662286</v>
      </c>
      <c r="E463" s="1">
        <v>0.01</v>
      </c>
      <c r="F463" s="1">
        <v>0.05</v>
      </c>
      <c r="G463" s="1">
        <v>0.1</v>
      </c>
      <c r="H463" s="1">
        <v>9.81</v>
      </c>
      <c r="I463" s="1">
        <v>2650</v>
      </c>
      <c r="J463" s="1">
        <v>1000</v>
      </c>
      <c r="K463" s="1">
        <v>1.65</v>
      </c>
      <c r="L463" s="1">
        <v>6.5</v>
      </c>
      <c r="M463" s="1">
        <v>2.5</v>
      </c>
      <c r="N463" s="6">
        <v>9.9999999999999995E-7</v>
      </c>
      <c r="O463" s="1">
        <f t="shared" si="78"/>
        <v>10.213570502749036</v>
      </c>
      <c r="P463" s="1">
        <f t="shared" si="79"/>
        <v>10.221862151517284</v>
      </c>
      <c r="Q463" s="1">
        <f t="shared" si="80"/>
        <v>11.240842593550063</v>
      </c>
      <c r="R463" s="1">
        <v>125.52909999999997</v>
      </c>
      <c r="S463" s="1" t="e">
        <f t="shared" si="81"/>
        <v>#N/A</v>
      </c>
      <c r="T463" s="1" t="e">
        <v>#N/A</v>
      </c>
    </row>
    <row r="464" spans="1:20" x14ac:dyDescent="0.35">
      <c r="A464" s="1">
        <v>500438.77549999999</v>
      </c>
      <c r="B464" s="1">
        <v>5999996.5899999999</v>
      </c>
      <c r="C464" s="1">
        <v>139.590466112179</v>
      </c>
      <c r="D464" s="1">
        <f t="shared" si="82"/>
        <v>439.5339600937898</v>
      </c>
      <c r="E464" s="1">
        <v>0.01</v>
      </c>
      <c r="F464" s="1">
        <v>0.05</v>
      </c>
      <c r="G464" s="1">
        <v>0.1</v>
      </c>
      <c r="H464" s="1">
        <v>9.81</v>
      </c>
      <c r="I464" s="1">
        <v>2650</v>
      </c>
      <c r="J464" s="1">
        <v>1000</v>
      </c>
      <c r="K464" s="1">
        <v>1.65</v>
      </c>
      <c r="L464" s="1">
        <v>6.5</v>
      </c>
      <c r="M464" s="1">
        <v>2.5</v>
      </c>
      <c r="N464" s="6">
        <v>9.9999999999999995E-7</v>
      </c>
      <c r="O464" s="1">
        <f t="shared" si="78"/>
        <v>10.227678867958247</v>
      </c>
      <c r="P464" s="1">
        <f t="shared" si="79"/>
        <v>10.247073843648518</v>
      </c>
      <c r="Q464" s="1">
        <f t="shared" si="80"/>
        <v>10.2344679975829</v>
      </c>
      <c r="R464" s="1">
        <v>125.52909999999997</v>
      </c>
      <c r="S464" s="1" t="e">
        <f t="shared" si="81"/>
        <v>#N/A</v>
      </c>
      <c r="T464" s="1" t="e">
        <v>#N/A</v>
      </c>
    </row>
    <row r="465" spans="1:57" x14ac:dyDescent="0.35">
      <c r="A465" s="1">
        <v>500448.97960000002</v>
      </c>
      <c r="B465" s="1">
        <v>5999995.7369999997</v>
      </c>
      <c r="C465" s="1">
        <v>139.20154896633201</v>
      </c>
      <c r="D465" s="1">
        <f t="shared" si="82"/>
        <v>449.77365080253935</v>
      </c>
      <c r="E465" s="1">
        <v>0.01</v>
      </c>
      <c r="F465" s="1">
        <v>0.05</v>
      </c>
      <c r="G465" s="1">
        <v>0.1</v>
      </c>
      <c r="H465" s="1">
        <v>9.81</v>
      </c>
      <c r="I465" s="1">
        <v>2650</v>
      </c>
      <c r="J465" s="1">
        <v>1000</v>
      </c>
      <c r="K465" s="1">
        <v>1.65</v>
      </c>
      <c r="L465" s="1">
        <v>6.5</v>
      </c>
      <c r="M465" s="1">
        <v>2.5</v>
      </c>
      <c r="N465" s="6">
        <v>9.9999999999999995E-7</v>
      </c>
      <c r="O465" s="1">
        <f t="shared" si="78"/>
        <v>10.226507982984828</v>
      </c>
      <c r="P465" s="1">
        <f t="shared" si="79"/>
        <v>10.216402783069102</v>
      </c>
      <c r="Q465" s="1">
        <f t="shared" si="80"/>
        <v>10.231738313358811</v>
      </c>
      <c r="R465" s="1">
        <v>125.52909999999997</v>
      </c>
      <c r="S465" s="1" t="e">
        <f t="shared" si="81"/>
        <v>#N/A</v>
      </c>
      <c r="T465" s="1" t="e">
        <v>#N/A</v>
      </c>
    </row>
    <row r="466" spans="1:57" x14ac:dyDescent="0.35">
      <c r="A466" s="1">
        <v>500459.18369999999</v>
      </c>
      <c r="B466" s="1">
        <v>5999996.1710000001</v>
      </c>
      <c r="C466" s="1">
        <v>138.95080404388699</v>
      </c>
      <c r="D466" s="1">
        <f t="shared" si="82"/>
        <v>459.98697605975946</v>
      </c>
      <c r="E466" s="1">
        <v>0.01</v>
      </c>
      <c r="F466" s="1">
        <v>0.05</v>
      </c>
      <c r="G466" s="1">
        <v>0.1</v>
      </c>
      <c r="H466" s="1">
        <v>9.81</v>
      </c>
      <c r="I466" s="1">
        <v>2650</v>
      </c>
      <c r="J466" s="1">
        <v>1000</v>
      </c>
      <c r="K466" s="1">
        <v>1.65</v>
      </c>
      <c r="L466" s="1">
        <v>6.5</v>
      </c>
      <c r="M466" s="1">
        <v>2.5</v>
      </c>
      <c r="N466" s="6">
        <v>9.9999999999999995E-7</v>
      </c>
      <c r="O466" s="1">
        <f t="shared" si="78"/>
        <v>10.228563101333435</v>
      </c>
      <c r="P466" s="1">
        <f t="shared" si="79"/>
        <v>10.24381622597874</v>
      </c>
      <c r="Q466" s="1">
        <f t="shared" si="80"/>
        <v>10.23010950452392</v>
      </c>
      <c r="R466" s="1">
        <v>125.52909999999997</v>
      </c>
      <c r="S466" s="1" t="e">
        <f t="shared" si="81"/>
        <v>#N/A</v>
      </c>
      <c r="T466" s="1" t="e">
        <v>#N/A</v>
      </c>
    </row>
    <row r="467" spans="1:57" x14ac:dyDescent="0.35">
      <c r="A467" s="1">
        <v>500469.38780000003</v>
      </c>
      <c r="B467" s="1">
        <v>5999997.0719999997</v>
      </c>
      <c r="C467" s="1">
        <v>138.933110494517</v>
      </c>
      <c r="D467" s="1">
        <f t="shared" si="82"/>
        <v>470.23077700520622</v>
      </c>
      <c r="E467" s="1">
        <v>0.01</v>
      </c>
      <c r="F467" s="1">
        <v>0.05</v>
      </c>
      <c r="G467" s="1">
        <v>0.1</v>
      </c>
      <c r="H467" s="1">
        <v>9.81</v>
      </c>
      <c r="I467" s="1">
        <v>2650</v>
      </c>
      <c r="J467" s="1">
        <v>1000</v>
      </c>
      <c r="K467" s="1">
        <v>1.65</v>
      </c>
      <c r="L467" s="1">
        <v>6.5</v>
      </c>
      <c r="M467" s="1">
        <v>2.5</v>
      </c>
      <c r="N467" s="6">
        <v>9.9999999999999995E-7</v>
      </c>
      <c r="O467" s="1">
        <f t="shared" si="78"/>
        <v>10.235585469869676</v>
      </c>
      <c r="P467" s="1">
        <f t="shared" si="79"/>
        <v>14.038699271405504</v>
      </c>
      <c r="Q467" s="1">
        <f t="shared" si="80"/>
        <v>12.141257748692123</v>
      </c>
      <c r="R467" s="1">
        <v>125.52909999999997</v>
      </c>
      <c r="S467" s="1" t="e">
        <f t="shared" si="81"/>
        <v>#N/A</v>
      </c>
      <c r="T467" s="1" t="e">
        <v>#N/A</v>
      </c>
    </row>
    <row r="468" spans="1:57" x14ac:dyDescent="0.35">
      <c r="A468" s="1">
        <v>500479.59179999999</v>
      </c>
      <c r="B468" s="1">
        <v>5999997.7630000003</v>
      </c>
      <c r="C468" s="1">
        <v>148.55007364474301</v>
      </c>
      <c r="D468" s="1">
        <f t="shared" si="82"/>
        <v>480.45814699949881</v>
      </c>
      <c r="E468" s="1">
        <v>0.01</v>
      </c>
      <c r="F468" s="1">
        <v>0.05</v>
      </c>
      <c r="G468" s="1">
        <v>0.1</v>
      </c>
      <c r="H468" s="1">
        <v>9.81</v>
      </c>
      <c r="I468" s="1">
        <v>2650</v>
      </c>
      <c r="J468" s="1">
        <v>1000</v>
      </c>
      <c r="K468" s="1">
        <v>1.65</v>
      </c>
      <c r="L468" s="1">
        <v>6.5</v>
      </c>
      <c r="M468" s="1">
        <v>2.5</v>
      </c>
      <c r="N468" s="6">
        <v>9.9999999999999995E-7</v>
      </c>
      <c r="O468" s="1">
        <f t="shared" si="78"/>
        <v>10.217030880251457</v>
      </c>
      <c r="P468" s="1">
        <f t="shared" si="79"/>
        <v>10.496604105828091</v>
      </c>
      <c r="Q468" s="1">
        <f t="shared" si="80"/>
        <v>12.267651688616798</v>
      </c>
      <c r="R468" s="1">
        <v>125.52909999999997</v>
      </c>
      <c r="S468" s="1" t="e">
        <f t="shared" si="81"/>
        <v>#N/A</v>
      </c>
      <c r="T468" s="1" t="e">
        <v>#N/A</v>
      </c>
    </row>
    <row r="469" spans="1:57" x14ac:dyDescent="0.35">
      <c r="A469" s="1">
        <v>500489.79590000003</v>
      </c>
      <c r="B469" s="1">
        <v>5999997.9929999998</v>
      </c>
      <c r="C469" s="1">
        <v>146.10014692256101</v>
      </c>
      <c r="D469" s="1">
        <f t="shared" si="82"/>
        <v>490.66483876570913</v>
      </c>
      <c r="E469" s="1">
        <v>0.01</v>
      </c>
      <c r="F469" s="1">
        <v>0.05</v>
      </c>
      <c r="G469" s="1">
        <v>0.1</v>
      </c>
      <c r="H469" s="1">
        <v>9.81</v>
      </c>
      <c r="I469" s="1">
        <v>2650</v>
      </c>
      <c r="J469" s="1">
        <v>1000</v>
      </c>
      <c r="K469" s="1">
        <v>1.65</v>
      </c>
      <c r="L469" s="1">
        <v>6.5</v>
      </c>
      <c r="M469" s="1">
        <v>2.5</v>
      </c>
      <c r="N469" s="6">
        <v>9.9999999999999995E-7</v>
      </c>
      <c r="O469" s="1">
        <f t="shared" si="78"/>
        <v>10.209902888805345</v>
      </c>
      <c r="P469" s="1">
        <f t="shared" si="79"/>
        <v>10.652346301971106</v>
      </c>
      <c r="Q469" s="1">
        <f t="shared" si="80"/>
        <v>10.574475203899599</v>
      </c>
      <c r="R469" s="1">
        <v>125.52909999999997</v>
      </c>
      <c r="S469" s="1" t="e">
        <f t="shared" si="81"/>
        <v>#N/A</v>
      </c>
      <c r="T469" s="1" t="e">
        <v>#N/A</v>
      </c>
    </row>
    <row r="470" spans="1:57" x14ac:dyDescent="0.35">
      <c r="A470" s="1">
        <v>500500</v>
      </c>
      <c r="B470" s="1">
        <v>5999998.4220000003</v>
      </c>
      <c r="C470" s="1">
        <v>149.127486336511</v>
      </c>
      <c r="D470" s="1">
        <f t="shared" si="82"/>
        <v>500.8779527771095</v>
      </c>
      <c r="E470" s="1">
        <v>0.01</v>
      </c>
      <c r="F470" s="1">
        <v>0.05</v>
      </c>
      <c r="G470" s="1">
        <v>0.1</v>
      </c>
      <c r="H470" s="1">
        <v>9.81</v>
      </c>
      <c r="I470" s="1">
        <v>2650</v>
      </c>
      <c r="J470" s="1">
        <v>1000</v>
      </c>
      <c r="K470" s="1">
        <v>1.65</v>
      </c>
      <c r="L470" s="1">
        <v>6.5</v>
      </c>
      <c r="M470" s="1">
        <v>2.5</v>
      </c>
      <c r="N470" s="6">
        <v>9.9999999999999995E-7</v>
      </c>
      <c r="O470" s="1">
        <f xml:space="preserve"> (D470 - D469) / 2</f>
        <v>5.1065570057001821</v>
      </c>
    </row>
    <row r="473" spans="1:57" x14ac:dyDescent="0.35">
      <c r="A473" s="1" t="s">
        <v>0</v>
      </c>
      <c r="B473" s="1" t="s">
        <v>1</v>
      </c>
      <c r="C473" s="1" t="s">
        <v>2</v>
      </c>
      <c r="D473" s="1" t="s">
        <v>18</v>
      </c>
      <c r="E473" s="1" t="s">
        <v>67</v>
      </c>
      <c r="F473" s="1" t="s">
        <v>66</v>
      </c>
      <c r="G473" s="1" t="s">
        <v>65</v>
      </c>
      <c r="H473" s="1" t="s">
        <v>64</v>
      </c>
      <c r="I473" s="1" t="s">
        <v>63</v>
      </c>
      <c r="J473" s="1" t="s">
        <v>62</v>
      </c>
      <c r="K473" s="1" t="s">
        <v>61</v>
      </c>
      <c r="L473" s="1" t="s">
        <v>60</v>
      </c>
      <c r="M473" s="1" t="s">
        <v>59</v>
      </c>
      <c r="N473" s="1" t="s">
        <v>58</v>
      </c>
      <c r="O473" s="1" t="s">
        <v>57</v>
      </c>
      <c r="P473" s="1" t="s">
        <v>56</v>
      </c>
      <c r="Q473" s="1" t="s">
        <v>55</v>
      </c>
      <c r="R473" s="1" t="s">
        <v>54</v>
      </c>
      <c r="S473" s="1" t="s">
        <v>16</v>
      </c>
      <c r="T473" s="1" t="s">
        <v>53</v>
      </c>
      <c r="U473" s="10" t="s">
        <v>52</v>
      </c>
      <c r="V473" s="10" t="s">
        <v>51</v>
      </c>
      <c r="W473" s="10" t="s">
        <v>50</v>
      </c>
      <c r="X473" s="10" t="s">
        <v>49</v>
      </c>
      <c r="Y473" s="1" t="s">
        <v>48</v>
      </c>
      <c r="Z473" s="1" t="s">
        <v>47</v>
      </c>
      <c r="AA473" s="1" t="s">
        <v>46</v>
      </c>
      <c r="AB473" s="1" t="s">
        <v>45</v>
      </c>
      <c r="AC473" s="1" t="s">
        <v>44</v>
      </c>
      <c r="AD473" s="1" t="s">
        <v>43</v>
      </c>
      <c r="AE473" s="1" t="s">
        <v>42</v>
      </c>
      <c r="AF473" s="1" t="s">
        <v>41</v>
      </c>
      <c r="AG473" s="1" t="s">
        <v>40</v>
      </c>
      <c r="AH473" s="1" t="s">
        <v>39</v>
      </c>
      <c r="AI473" s="1" t="s">
        <v>38</v>
      </c>
      <c r="AJ473" s="1" t="s">
        <v>37</v>
      </c>
      <c r="AK473" s="1" t="s">
        <v>36</v>
      </c>
      <c r="AL473" s="1" t="s">
        <v>35</v>
      </c>
      <c r="AM473" s="1" t="s">
        <v>34</v>
      </c>
      <c r="AN473" s="1" t="s">
        <v>34</v>
      </c>
      <c r="AO473" s="7" t="s">
        <v>33</v>
      </c>
      <c r="AP473" s="7" t="s">
        <v>32</v>
      </c>
      <c r="AQ473" s="7" t="s">
        <v>31</v>
      </c>
      <c r="AR473" s="7" t="s">
        <v>30</v>
      </c>
      <c r="AS473" s="7" t="s">
        <v>29</v>
      </c>
      <c r="AT473" s="7" t="s">
        <v>28</v>
      </c>
      <c r="AU473" s="7" t="s">
        <v>27</v>
      </c>
      <c r="AV473" s="7" t="s">
        <v>27</v>
      </c>
      <c r="AW473" s="1" t="s">
        <v>26</v>
      </c>
      <c r="AX473" s="1" t="s">
        <v>25</v>
      </c>
      <c r="AY473" s="1" t="s">
        <v>24</v>
      </c>
      <c r="AZ473" s="1" t="s">
        <v>23</v>
      </c>
      <c r="BA473" s="1" t="s">
        <v>22</v>
      </c>
      <c r="BB473" s="1" t="s">
        <v>21</v>
      </c>
      <c r="BC473" s="1" t="s">
        <v>20</v>
      </c>
      <c r="BD473" s="1" t="s">
        <v>20</v>
      </c>
      <c r="BE473" s="1" t="s">
        <v>19</v>
      </c>
    </row>
    <row r="474" spans="1:57" x14ac:dyDescent="0.35">
      <c r="A474" s="1">
        <v>500000</v>
      </c>
      <c r="B474" s="1">
        <v>5999999.0959999999</v>
      </c>
      <c r="C474" s="1">
        <v>146.95665459614199</v>
      </c>
      <c r="D474" s="1">
        <v>0</v>
      </c>
      <c r="E474" s="1">
        <v>0.01</v>
      </c>
      <c r="F474" s="1">
        <v>0.05</v>
      </c>
      <c r="G474" s="1">
        <v>0.1</v>
      </c>
      <c r="H474" s="1">
        <v>9.81</v>
      </c>
      <c r="I474" s="1">
        <v>2650</v>
      </c>
      <c r="J474" s="1">
        <v>1000</v>
      </c>
      <c r="K474" s="1">
        <v>1.65</v>
      </c>
      <c r="L474" s="1">
        <v>6.5</v>
      </c>
      <c r="M474" s="1">
        <v>2.5</v>
      </c>
      <c r="N474" s="6">
        <v>9.9999999999999995E-7</v>
      </c>
      <c r="O474" s="1">
        <f xml:space="preserve"> (D475 - D474) / 2</f>
        <v>5.1061868798967165</v>
      </c>
      <c r="P474" s="1">
        <f t="shared" ref="P474:P505" si="83">SQRT((D475 - D474)^2 + (C475 - C474)^2)</f>
        <v>12.612081347143071</v>
      </c>
      <c r="Q474" s="1">
        <f t="shared" ref="Q474:Q505" si="84">IF(ROW()=474, P474/2, (P474 + P473)/2)</f>
        <v>6.3060406735715357</v>
      </c>
      <c r="R474" s="1">
        <v>125.57909999999997</v>
      </c>
      <c r="S474" s="1" t="e">
        <f t="shared" ref="S474:S505" si="85">IF(R474 - C474 &lt; 0, NA(), R474 - C474)</f>
        <v>#N/A</v>
      </c>
      <c r="T474" s="1" t="e">
        <v>#N/A</v>
      </c>
      <c r="U474" s="10" cm="1">
        <f t="array" ref="U474">SUMPRODUCT(IF(ISNA(T474:T523), 0, T474:T523), IF(ISNA(O474:O523), 0, O474:O523))</f>
        <v>5.6211985282701908</v>
      </c>
      <c r="V474" s="10">
        <f>SUMIF(S474:S523, "&gt;0", O474:O523)</f>
        <v>10.221049857319429</v>
      </c>
      <c r="W474" s="10">
        <f>SUMIF(S474:S523, "&gt;0", Q474:Q523)</f>
        <v>10.577000852837193</v>
      </c>
      <c r="X474" s="10">
        <f>U474/W474</f>
        <v>0.53145486196707181</v>
      </c>
      <c r="Y474" s="1">
        <f xml:space="preserve"> (6.5 * 2.5 * (X474 / G474)) / SQRT(6.5^2 + 2.5^2 * (X474 / G474)^(5/3))</f>
        <v>7.2116798329127816</v>
      </c>
      <c r="Z474" s="1">
        <f>Y474*SQRT(X474*H474*E474)</f>
        <v>1.64666074967981</v>
      </c>
      <c r="AA474" s="1">
        <f>J474*H474*X474*E474</f>
        <v>52.135721958969746</v>
      </c>
      <c r="AB474" s="1">
        <f>(AA474 / (9.81 * 1000 *1.65 * F474))</f>
        <v>6.4418771147523854E-2</v>
      </c>
      <c r="AC474" s="9">
        <f xml:space="preserve"> F474 * (K474 * H474 / (N474)^2)^(1/3)</f>
        <v>1264.7974700106745</v>
      </c>
      <c r="AD474" s="1">
        <f xml:space="preserve"> 0.3 / (1 + 1.2 * AC474) + 0.055 * (1 - EXP(-0.02 * AC474))</f>
        <v>5.5197529957883754E-2</v>
      </c>
      <c r="AE474" s="1">
        <f>IF(AC474 &lt;= 4, 0.24 * AC474^-1, IF(AC474 &gt; 4, IF(AC474 &lt;= 10, 0.14 * AC474^-0.64, IF(AC474 &lt;= 20, 0.04 * AC474^-0.1, IF(AC474 &lt;= 150, 0.013 * AC474^0.29, 0.056)))))</f>
        <v>5.6000000000000001E-2</v>
      </c>
      <c r="AF474" s="1">
        <f>AB474/AD474-1</f>
        <v>0.16705894623683326</v>
      </c>
      <c r="AG474" s="1">
        <f xml:space="preserve"> 2.45 * SQRT(AD474) / (K474 + 1)^0.4</f>
        <v>0.38978718496890047</v>
      </c>
      <c r="AH474" s="1">
        <f>SQRT(2/3 + 36 / AC474^3) - SQRT(36 / AC474^3)</f>
        <v>0.81636320289979147</v>
      </c>
      <c r="AI474" s="1">
        <f>AA474* Z474 / (J474 * (H474* K474 * F474)^(3/2))</f>
        <v>0.11791120878909235</v>
      </c>
      <c r="AJ474" s="1">
        <f>AD474* K474 * F474 / E474</f>
        <v>0.45537962215254096</v>
      </c>
      <c r="AK474" s="1">
        <f>Y474 * AD474^(3/2)</f>
        <v>9.3522456031326084E-2</v>
      </c>
      <c r="AL474" s="1">
        <f>(0.92 - 0.25 * SQRT(AK474 / AI474))^9</f>
        <v>3.8999928673818476E-2</v>
      </c>
      <c r="AM474" s="1">
        <v>5.2759527000000001E-2</v>
      </c>
      <c r="AN474" s="1">
        <v>4.7434165E-2</v>
      </c>
      <c r="AO474" s="7">
        <f>IF(AB474 &gt; 0.047, 8 * (AB474 - 0.047)^(3/2), 0)</f>
        <v>1.8391462119092903E-2</v>
      </c>
      <c r="AP474" s="7">
        <f>IF(AB474&gt; 0.047, 4 * (AB474 - 0.047)^(3/2), 0)</f>
        <v>9.1957310595464515E-3</v>
      </c>
      <c r="AQ474" s="7">
        <f xml:space="preserve"> (0.053 / AC474^(0.3)) * ((AB474 / AE474) - 1)^2.1</f>
        <v>1.1627785049039408E-4</v>
      </c>
      <c r="AR474" s="7">
        <f xml:space="preserve"> IF(AB474 &gt; AD474, 0.635 * AF474 * SQRT(AB474) * (1 - (1 / (AG474*AF474)) * LOG(1 + AF474*AG474)), 0)</f>
        <v>1.5596365475317829E-2</v>
      </c>
      <c r="AS474" s="8">
        <f>IF(AB474&gt;= 0.19, 40 * AH474 * AB474^3, (AH474 * EXP(-0.391 / AB474)) / 0.465)</f>
        <v>4.0589236527911379E-3</v>
      </c>
      <c r="AT474" s="7">
        <f>AL474* AI474</f>
        <v>4.5985287326183203E-3</v>
      </c>
      <c r="AU474" s="7">
        <f>14 * AB474^2.5 / (1 + (AM474/AB474)^4)</f>
        <v>1.0169727939589148E-2</v>
      </c>
      <c r="AV474" s="7">
        <f>14*AB474^2.5/(1+(AN474/AB474)^4)</f>
        <v>1.1395466988378398E-2</v>
      </c>
      <c r="AW474" s="1">
        <f>AO474*SQRT(1.65*9.81*F474^3)</f>
        <v>8.2727088357284918E-4</v>
      </c>
      <c r="AX474" s="1">
        <f>AP474*SQRT(1.65*9.81*F474^3)</f>
        <v>4.1363544178642459E-4</v>
      </c>
      <c r="AY474" s="1">
        <f>AQ474*SQRT(1.65*9.81*F474^3)</f>
        <v>5.2303226079713326E-6</v>
      </c>
      <c r="AZ474" s="1">
        <f>AR474*SQRT(1.65*9.81*F474^3)</f>
        <v>7.0154395358793952E-4</v>
      </c>
      <c r="BA474" s="1">
        <f>AS474*SQRT(1.65*9.81*F474^3)</f>
        <v>1.8257544369533111E-4</v>
      </c>
      <c r="BB474" s="1">
        <f>AT474*SQRT(1.65*9.81*F474^3)</f>
        <v>2.0684755258359647E-4</v>
      </c>
      <c r="BC474" s="1">
        <f>AU474*SQRT(1.65*9.81*G474^3)</f>
        <v>1.2938556023263505E-3</v>
      </c>
      <c r="BD474" s="1">
        <f>AV474*SQRT(1.65*9.81*G474^3)</f>
        <v>1.4498016949540964E-3</v>
      </c>
      <c r="BE474" s="1">
        <f>U474*Z474</f>
        <v>9.2562069826604372</v>
      </c>
    </row>
    <row r="475" spans="1:57" x14ac:dyDescent="0.35">
      <c r="A475" s="1">
        <v>500010.20409999997</v>
      </c>
      <c r="B475" s="1">
        <v>5999998.6849999996</v>
      </c>
      <c r="C475" s="1">
        <v>154.35746658519</v>
      </c>
      <c r="D475" s="1">
        <f t="shared" ref="D475:D506" si="86">D474 + SQRT((A475 - A474)^2 + (B475 - B474)^2)</f>
        <v>10.212373759793433</v>
      </c>
      <c r="E475" s="1">
        <v>0.01</v>
      </c>
      <c r="F475" s="1">
        <v>0.05</v>
      </c>
      <c r="G475" s="1">
        <v>0.1</v>
      </c>
      <c r="H475" s="1">
        <v>9.81</v>
      </c>
      <c r="I475" s="1">
        <v>2650</v>
      </c>
      <c r="J475" s="1">
        <v>1000</v>
      </c>
      <c r="K475" s="1">
        <v>1.65</v>
      </c>
      <c r="L475" s="1">
        <v>6.5</v>
      </c>
      <c r="M475" s="1">
        <v>2.5</v>
      </c>
      <c r="N475" s="6">
        <v>9.9999999999999995E-7</v>
      </c>
      <c r="O475" s="1">
        <f t="shared" ref="O475:O522" si="87" xml:space="preserve"> (D476 - D475 + D475 - D474) / 2</f>
        <v>10.212934886473896</v>
      </c>
      <c r="P475" s="1">
        <f t="shared" si="83"/>
        <v>10.748393624242958</v>
      </c>
      <c r="Q475" s="1">
        <f t="shared" si="84"/>
        <v>11.680237485693015</v>
      </c>
      <c r="R475" s="1">
        <v>125.57909999999997</v>
      </c>
      <c r="S475" s="1" t="e">
        <f t="shared" si="85"/>
        <v>#N/A</v>
      </c>
      <c r="T475" s="1" t="e">
        <v>#N/A</v>
      </c>
      <c r="AO475" s="7"/>
      <c r="AP475" s="7"/>
      <c r="AQ475" s="7"/>
      <c r="AR475" s="7"/>
      <c r="AS475" s="7"/>
      <c r="AT475" s="7"/>
      <c r="AU475" s="7"/>
      <c r="AV475" s="7"/>
    </row>
    <row r="476" spans="1:57" x14ac:dyDescent="0.35">
      <c r="A476" s="1">
        <v>500020.40820000001</v>
      </c>
      <c r="B476" s="1">
        <v>5999999.1229999997</v>
      </c>
      <c r="C476" s="1">
        <v>151.008964727501</v>
      </c>
      <c r="D476" s="1">
        <f t="shared" si="86"/>
        <v>20.425869772947792</v>
      </c>
      <c r="E476" s="1">
        <v>0.01</v>
      </c>
      <c r="F476" s="1">
        <v>0.05</v>
      </c>
      <c r="G476" s="1">
        <v>0.1</v>
      </c>
      <c r="H476" s="1">
        <v>9.81</v>
      </c>
      <c r="I476" s="1">
        <v>2650</v>
      </c>
      <c r="J476" s="1">
        <v>1000</v>
      </c>
      <c r="K476" s="1">
        <v>1.65</v>
      </c>
      <c r="L476" s="1">
        <v>6.5</v>
      </c>
      <c r="M476" s="1">
        <v>2.5</v>
      </c>
      <c r="N476" s="6">
        <v>9.9999999999999995E-7</v>
      </c>
      <c r="O476" s="1">
        <f t="shared" si="87"/>
        <v>10.21125621009096</v>
      </c>
      <c r="P476" s="1">
        <f t="shared" si="83"/>
        <v>13.985433799960637</v>
      </c>
      <c r="Q476" s="1">
        <f t="shared" si="84"/>
        <v>12.366913712101798</v>
      </c>
      <c r="R476" s="1">
        <v>125.57909999999997</v>
      </c>
      <c r="S476" s="1" t="e">
        <f t="shared" si="85"/>
        <v>#N/A</v>
      </c>
      <c r="T476" s="1" t="e">
        <v>#N/A</v>
      </c>
    </row>
    <row r="477" spans="1:57" x14ac:dyDescent="0.35">
      <c r="A477" s="1">
        <v>500030.61219999997</v>
      </c>
      <c r="B477" s="1">
        <v>5999998.8030000003</v>
      </c>
      <c r="C477" s="1">
        <v>160.567643641144</v>
      </c>
      <c r="D477" s="1">
        <f t="shared" si="86"/>
        <v>30.634886179975354</v>
      </c>
      <c r="E477" s="1">
        <v>0.01</v>
      </c>
      <c r="F477" s="1">
        <v>0.05</v>
      </c>
      <c r="G477" s="1">
        <v>0.1</v>
      </c>
      <c r="H477" s="1">
        <v>9.81</v>
      </c>
      <c r="I477" s="1">
        <v>2650</v>
      </c>
      <c r="J477" s="1">
        <v>1000</v>
      </c>
      <c r="K477" s="1">
        <v>1.65</v>
      </c>
      <c r="L477" s="1">
        <v>6.5</v>
      </c>
      <c r="M477" s="1">
        <v>2.5</v>
      </c>
      <c r="N477" s="6">
        <v>9.9999999999999995E-7</v>
      </c>
      <c r="O477" s="1">
        <f t="shared" si="87"/>
        <v>10.214935822867286</v>
      </c>
      <c r="P477" s="1">
        <f t="shared" si="83"/>
        <v>10.224042445454263</v>
      </c>
      <c r="Q477" s="1">
        <f t="shared" si="84"/>
        <v>12.104738122707449</v>
      </c>
      <c r="R477" s="1">
        <v>125.57909999999997</v>
      </c>
      <c r="S477" s="1" t="e">
        <f t="shared" si="85"/>
        <v>#N/A</v>
      </c>
      <c r="T477" s="1" t="e">
        <v>#N/A</v>
      </c>
    </row>
    <row r="478" spans="1:57" x14ac:dyDescent="0.35">
      <c r="A478" s="1">
        <v>500040.81630000001</v>
      </c>
      <c r="B478" s="1">
        <v>5999998.2180000003</v>
      </c>
      <c r="C478" s="1">
        <v>160.82291235416201</v>
      </c>
      <c r="D478" s="1">
        <f t="shared" si="86"/>
        <v>40.855741418682364</v>
      </c>
      <c r="E478" s="1">
        <v>0.01</v>
      </c>
      <c r="F478" s="1">
        <v>0.05</v>
      </c>
      <c r="G478" s="1">
        <v>0.1</v>
      </c>
      <c r="H478" s="1">
        <v>9.81</v>
      </c>
      <c r="I478" s="1">
        <v>2650</v>
      </c>
      <c r="J478" s="1">
        <v>1000</v>
      </c>
      <c r="K478" s="1">
        <v>1.65</v>
      </c>
      <c r="L478" s="1">
        <v>6.5</v>
      </c>
      <c r="M478" s="1">
        <v>2.5</v>
      </c>
      <c r="N478" s="6">
        <v>9.9999999999999995E-7</v>
      </c>
      <c r="O478" s="1">
        <f t="shared" si="87"/>
        <v>10.231243785008825</v>
      </c>
      <c r="P478" s="1">
        <f t="shared" si="83"/>
        <v>10.333484931908488</v>
      </c>
      <c r="Q478" s="1">
        <f t="shared" si="84"/>
        <v>10.278763688681376</v>
      </c>
      <c r="R478" s="1">
        <v>125.57909999999997</v>
      </c>
      <c r="S478" s="1" t="e">
        <f t="shared" si="85"/>
        <v>#N/A</v>
      </c>
      <c r="T478" s="1" t="e">
        <v>#N/A</v>
      </c>
    </row>
    <row r="479" spans="1:57" x14ac:dyDescent="0.35">
      <c r="A479" s="1">
        <v>500051.02039999998</v>
      </c>
      <c r="B479" s="1">
        <v>5999997.3420000002</v>
      </c>
      <c r="C479" s="1">
        <v>159.448184007094</v>
      </c>
      <c r="D479" s="1">
        <f t="shared" si="86"/>
        <v>51.097373749993004</v>
      </c>
      <c r="E479" s="1">
        <v>0.01</v>
      </c>
      <c r="F479" s="1">
        <v>0.05</v>
      </c>
      <c r="G479" s="1">
        <v>0.1</v>
      </c>
      <c r="H479" s="1">
        <v>9.81</v>
      </c>
      <c r="I479" s="1">
        <v>2650</v>
      </c>
      <c r="J479" s="1">
        <v>1000</v>
      </c>
      <c r="K479" s="1">
        <v>1.65</v>
      </c>
      <c r="L479" s="1">
        <v>6.5</v>
      </c>
      <c r="M479" s="1">
        <v>2.5</v>
      </c>
      <c r="N479" s="6">
        <v>9.9999999999999995E-7</v>
      </c>
      <c r="O479" s="1">
        <f t="shared" si="87"/>
        <v>10.22297614478725</v>
      </c>
      <c r="P479" s="1">
        <f t="shared" si="83"/>
        <v>11.164078602095582</v>
      </c>
      <c r="Q479" s="1">
        <f t="shared" si="84"/>
        <v>10.748781767002036</v>
      </c>
      <c r="R479" s="1">
        <v>125.57909999999997</v>
      </c>
      <c r="S479" s="1" t="e">
        <f t="shared" si="85"/>
        <v>#N/A</v>
      </c>
      <c r="T479" s="1" t="e">
        <v>#N/A</v>
      </c>
    </row>
    <row r="480" spans="1:57" x14ac:dyDescent="0.35">
      <c r="A480" s="1">
        <v>500061.22450000001</v>
      </c>
      <c r="B480" s="1">
        <v>5999997.2750000004</v>
      </c>
      <c r="C480" s="1">
        <v>163.976815723534</v>
      </c>
      <c r="D480" s="1">
        <f t="shared" si="86"/>
        <v>61.301693708256863</v>
      </c>
      <c r="E480" s="1">
        <v>0.01</v>
      </c>
      <c r="F480" s="1">
        <v>0.05</v>
      </c>
      <c r="G480" s="1">
        <v>0.1</v>
      </c>
      <c r="H480" s="1">
        <v>9.81</v>
      </c>
      <c r="I480" s="1">
        <v>2650</v>
      </c>
      <c r="J480" s="1">
        <v>1000</v>
      </c>
      <c r="K480" s="1">
        <v>1.65</v>
      </c>
      <c r="L480" s="1">
        <v>6.5</v>
      </c>
      <c r="M480" s="1">
        <v>2.5</v>
      </c>
      <c r="N480" s="6">
        <v>9.9999999999999995E-7</v>
      </c>
      <c r="O480" s="1">
        <f t="shared" si="87"/>
        <v>10.209391538632293</v>
      </c>
      <c r="P480" s="1">
        <f t="shared" si="83"/>
        <v>11.034750060361873</v>
      </c>
      <c r="Q480" s="1">
        <f t="shared" si="84"/>
        <v>11.099414331228727</v>
      </c>
      <c r="R480" s="1">
        <v>125.57909999999997</v>
      </c>
      <c r="S480" s="1" t="e">
        <f t="shared" si="85"/>
        <v>#N/A</v>
      </c>
      <c r="T480" s="1" t="e">
        <v>#N/A</v>
      </c>
    </row>
    <row r="481" spans="1:20" x14ac:dyDescent="0.35">
      <c r="A481" s="1">
        <v>500071.42859999998</v>
      </c>
      <c r="B481" s="1">
        <v>5999996.8150000004</v>
      </c>
      <c r="C481" s="1">
        <v>168.15179501512699</v>
      </c>
      <c r="D481" s="1">
        <f t="shared" si="86"/>
        <v>71.516156827257589</v>
      </c>
      <c r="E481" s="1">
        <v>0.01</v>
      </c>
      <c r="F481" s="1">
        <v>0.05</v>
      </c>
      <c r="G481" s="1">
        <v>0.1</v>
      </c>
      <c r="H481" s="1">
        <v>9.81</v>
      </c>
      <c r="I481" s="1">
        <v>2650</v>
      </c>
      <c r="J481" s="1">
        <v>1000</v>
      </c>
      <c r="K481" s="1">
        <v>1.65</v>
      </c>
      <c r="L481" s="1">
        <v>6.5</v>
      </c>
      <c r="M481" s="1">
        <v>2.5</v>
      </c>
      <c r="N481" s="6">
        <v>9.9999999999999995E-7</v>
      </c>
      <c r="O481" s="1">
        <f t="shared" si="87"/>
        <v>10.229976351370027</v>
      </c>
      <c r="P481" s="1">
        <f t="shared" si="83"/>
        <v>11.687505241745082</v>
      </c>
      <c r="Q481" s="1">
        <f t="shared" si="84"/>
        <v>11.361127651053478</v>
      </c>
      <c r="R481" s="1">
        <v>125.57909999999997</v>
      </c>
      <c r="S481" s="1" t="e">
        <f t="shared" si="85"/>
        <v>#N/A</v>
      </c>
      <c r="T481" s="1" t="e">
        <v>#N/A</v>
      </c>
    </row>
    <row r="482" spans="1:20" x14ac:dyDescent="0.35">
      <c r="A482" s="1">
        <v>500081.63270000002</v>
      </c>
      <c r="B482" s="1">
        <v>5999997.7350000003</v>
      </c>
      <c r="C482" s="1">
        <v>162.52794206849799</v>
      </c>
      <c r="D482" s="1">
        <f t="shared" si="86"/>
        <v>81.761646410996917</v>
      </c>
      <c r="E482" s="1">
        <v>0.01</v>
      </c>
      <c r="F482" s="1">
        <v>0.05</v>
      </c>
      <c r="G482" s="1">
        <v>0.1</v>
      </c>
      <c r="H482" s="1">
        <v>9.81</v>
      </c>
      <c r="I482" s="1">
        <v>2650</v>
      </c>
      <c r="J482" s="1">
        <v>1000</v>
      </c>
      <c r="K482" s="1">
        <v>1.65</v>
      </c>
      <c r="L482" s="1">
        <v>6.5</v>
      </c>
      <c r="M482" s="1">
        <v>2.5</v>
      </c>
      <c r="N482" s="6">
        <v>9.9999999999999995E-7</v>
      </c>
      <c r="O482" s="1">
        <f t="shared" si="87"/>
        <v>10.224765396477437</v>
      </c>
      <c r="P482" s="1">
        <f t="shared" si="83"/>
        <v>11.652977208096294</v>
      </c>
      <c r="Q482" s="1">
        <f t="shared" si="84"/>
        <v>11.670241224920687</v>
      </c>
      <c r="R482" s="1">
        <v>125.57909999999997</v>
      </c>
      <c r="S482" s="1" t="e">
        <f t="shared" si="85"/>
        <v>#N/A</v>
      </c>
      <c r="T482" s="1" t="e">
        <v>#N/A</v>
      </c>
    </row>
    <row r="483" spans="1:20" x14ac:dyDescent="0.35">
      <c r="A483" s="1">
        <v>500091.83669999999</v>
      </c>
      <c r="B483" s="1">
        <v>5999997.7640000004</v>
      </c>
      <c r="C483" s="1">
        <v>168.15550111421601</v>
      </c>
      <c r="D483" s="1">
        <f t="shared" si="86"/>
        <v>91.965687620212464</v>
      </c>
      <c r="E483" s="1">
        <v>0.01</v>
      </c>
      <c r="F483" s="1">
        <v>0.05</v>
      </c>
      <c r="G483" s="1">
        <v>0.1</v>
      </c>
      <c r="H483" s="1">
        <v>9.81</v>
      </c>
      <c r="I483" s="1">
        <v>2650</v>
      </c>
      <c r="J483" s="1">
        <v>1000</v>
      </c>
      <c r="K483" s="1">
        <v>1.65</v>
      </c>
      <c r="L483" s="1">
        <v>6.5</v>
      </c>
      <c r="M483" s="1">
        <v>2.5</v>
      </c>
      <c r="N483" s="6">
        <v>9.9999999999999995E-7</v>
      </c>
      <c r="O483" s="1">
        <f t="shared" si="87"/>
        <v>10.204607223431253</v>
      </c>
      <c r="P483" s="1">
        <f t="shared" si="83"/>
        <v>10.499401533865951</v>
      </c>
      <c r="Q483" s="1">
        <f t="shared" si="84"/>
        <v>11.076189370981123</v>
      </c>
      <c r="R483" s="1">
        <v>125.57909999999997</v>
      </c>
      <c r="S483" s="1" t="e">
        <f t="shared" si="85"/>
        <v>#N/A</v>
      </c>
      <c r="T483" s="1" t="e">
        <v>#N/A</v>
      </c>
    </row>
    <row r="484" spans="1:20" x14ac:dyDescent="0.35">
      <c r="A484" s="1">
        <v>500102.04080000002</v>
      </c>
      <c r="B484" s="1">
        <v>5999997.9119999995</v>
      </c>
      <c r="C484" s="1">
        <v>170.62367285843499</v>
      </c>
      <c r="D484" s="1">
        <f t="shared" si="86"/>
        <v>102.17086085785942</v>
      </c>
      <c r="E484" s="1">
        <v>0.01</v>
      </c>
      <c r="F484" s="1">
        <v>0.05</v>
      </c>
      <c r="G484" s="1">
        <v>0.1</v>
      </c>
      <c r="H484" s="1">
        <v>9.81</v>
      </c>
      <c r="I484" s="1">
        <v>2650</v>
      </c>
      <c r="J484" s="1">
        <v>1000</v>
      </c>
      <c r="K484" s="1">
        <v>1.65</v>
      </c>
      <c r="L484" s="1">
        <v>6.5</v>
      </c>
      <c r="M484" s="1">
        <v>2.5</v>
      </c>
      <c r="N484" s="6">
        <v>9.9999999999999995E-7</v>
      </c>
      <c r="O484" s="1">
        <f t="shared" si="87"/>
        <v>10.21006882166494</v>
      </c>
      <c r="P484" s="1">
        <f t="shared" si="83"/>
        <v>10.948230205101877</v>
      </c>
      <c r="Q484" s="1">
        <f t="shared" si="84"/>
        <v>10.723815869483914</v>
      </c>
      <c r="R484" s="1">
        <v>125.57909999999997</v>
      </c>
      <c r="S484" s="1" t="e">
        <f t="shared" si="85"/>
        <v>#N/A</v>
      </c>
      <c r="T484" s="1" t="e">
        <v>#N/A</v>
      </c>
    </row>
    <row r="485" spans="1:20" x14ac:dyDescent="0.35">
      <c r="A485" s="1">
        <v>500112.24489999999</v>
      </c>
      <c r="B485" s="1">
        <v>5999997.4409999996</v>
      </c>
      <c r="C485" s="1">
        <v>174.56299346160199</v>
      </c>
      <c r="D485" s="1">
        <f t="shared" si="86"/>
        <v>112.38582526354234</v>
      </c>
      <c r="E485" s="1">
        <v>0.01</v>
      </c>
      <c r="F485" s="1">
        <v>0.05</v>
      </c>
      <c r="G485" s="1">
        <v>0.1</v>
      </c>
      <c r="H485" s="1">
        <v>9.81</v>
      </c>
      <c r="I485" s="1">
        <v>2650</v>
      </c>
      <c r="J485" s="1">
        <v>1000</v>
      </c>
      <c r="K485" s="1">
        <v>1.65</v>
      </c>
      <c r="L485" s="1">
        <v>6.5</v>
      </c>
      <c r="M485" s="1">
        <v>2.5</v>
      </c>
      <c r="N485" s="6">
        <v>9.9999999999999995E-7</v>
      </c>
      <c r="O485" s="1">
        <f t="shared" si="87"/>
        <v>10.211692861963954</v>
      </c>
      <c r="P485" s="1">
        <f t="shared" si="83"/>
        <v>13.530011313683339</v>
      </c>
      <c r="Q485" s="1">
        <f t="shared" si="84"/>
        <v>12.239120759392609</v>
      </c>
      <c r="R485" s="1">
        <v>125.57909999999997</v>
      </c>
      <c r="S485" s="1" t="e">
        <f t="shared" si="85"/>
        <v>#N/A</v>
      </c>
      <c r="T485" s="1" t="e">
        <v>#N/A</v>
      </c>
    </row>
    <row r="486" spans="1:20" x14ac:dyDescent="0.35">
      <c r="A486" s="1">
        <v>500122.44900000002</v>
      </c>
      <c r="B486" s="1">
        <v>5999997.7379999999</v>
      </c>
      <c r="C486" s="1">
        <v>165.68327835707299</v>
      </c>
      <c r="D486" s="1">
        <f t="shared" si="86"/>
        <v>122.59424658178733</v>
      </c>
      <c r="E486" s="1">
        <v>0.01</v>
      </c>
      <c r="F486" s="1">
        <v>0.05</v>
      </c>
      <c r="G486" s="1">
        <v>0.1</v>
      </c>
      <c r="H486" s="1">
        <v>9.81</v>
      </c>
      <c r="I486" s="1">
        <v>2650</v>
      </c>
      <c r="J486" s="1">
        <v>1000</v>
      </c>
      <c r="K486" s="1">
        <v>1.65</v>
      </c>
      <c r="L486" s="1">
        <v>6.5</v>
      </c>
      <c r="M486" s="1">
        <v>2.5</v>
      </c>
      <c r="N486" s="6">
        <v>9.9999999999999995E-7</v>
      </c>
      <c r="O486" s="1">
        <f t="shared" si="87"/>
        <v>10.212455607463802</v>
      </c>
      <c r="P486" s="1">
        <f t="shared" si="83"/>
        <v>12.917030195420445</v>
      </c>
      <c r="Q486" s="1">
        <f t="shared" si="84"/>
        <v>13.223520754551892</v>
      </c>
      <c r="R486" s="1">
        <v>125.57909999999997</v>
      </c>
      <c r="S486" s="1" t="e">
        <f t="shared" si="85"/>
        <v>#N/A</v>
      </c>
      <c r="T486" s="1" t="e">
        <v>#N/A</v>
      </c>
    </row>
    <row r="487" spans="1:20" x14ac:dyDescent="0.35">
      <c r="A487" s="1">
        <v>500132.6531</v>
      </c>
      <c r="B487" s="1">
        <v>5999997.2350000003</v>
      </c>
      <c r="C487" s="1">
        <v>173.58726489934301</v>
      </c>
      <c r="D487" s="1">
        <f t="shared" si="86"/>
        <v>132.81073647846995</v>
      </c>
      <c r="E487" s="1">
        <v>0.01</v>
      </c>
      <c r="F487" s="1">
        <v>0.05</v>
      </c>
      <c r="G487" s="1">
        <v>0.1</v>
      </c>
      <c r="H487" s="1">
        <v>9.81</v>
      </c>
      <c r="I487" s="1">
        <v>2650</v>
      </c>
      <c r="J487" s="1">
        <v>1000</v>
      </c>
      <c r="K487" s="1">
        <v>1.65</v>
      </c>
      <c r="L487" s="1">
        <v>6.5</v>
      </c>
      <c r="M487" s="1">
        <v>2.5</v>
      </c>
      <c r="N487" s="6">
        <v>9.9999999999999995E-7</v>
      </c>
      <c r="O487" s="1">
        <f t="shared" si="87"/>
        <v>10.225512676353247</v>
      </c>
      <c r="P487" s="1">
        <f t="shared" si="83"/>
        <v>13.492945518552009</v>
      </c>
      <c r="Q487" s="1">
        <f t="shared" si="84"/>
        <v>13.204987856986227</v>
      </c>
      <c r="R487" s="1">
        <v>125.57909999999997</v>
      </c>
      <c r="S487" s="1" t="e">
        <f t="shared" si="85"/>
        <v>#N/A</v>
      </c>
      <c r="T487" s="1" t="e">
        <v>#N/A</v>
      </c>
    </row>
    <row r="488" spans="1:20" x14ac:dyDescent="0.35">
      <c r="A488" s="1">
        <v>500142.85710000002</v>
      </c>
      <c r="B488" s="1">
        <v>5999996.4450000003</v>
      </c>
      <c r="C488" s="1">
        <v>164.79443470844299</v>
      </c>
      <c r="D488" s="1">
        <f t="shared" si="86"/>
        <v>143.04527193449383</v>
      </c>
      <c r="E488" s="1">
        <v>0.01</v>
      </c>
      <c r="F488" s="1">
        <v>0.05</v>
      </c>
      <c r="G488" s="1">
        <v>0.1</v>
      </c>
      <c r="H488" s="1">
        <v>9.81</v>
      </c>
      <c r="I488" s="1">
        <v>2650</v>
      </c>
      <c r="J488" s="1">
        <v>1000</v>
      </c>
      <c r="K488" s="1">
        <v>1.65</v>
      </c>
      <c r="L488" s="1">
        <v>6.5</v>
      </c>
      <c r="M488" s="1">
        <v>2.5</v>
      </c>
      <c r="N488" s="6">
        <v>9.9999999999999995E-7</v>
      </c>
      <c r="O488" s="1">
        <f t="shared" si="87"/>
        <v>10.219577641411078</v>
      </c>
      <c r="P488" s="1">
        <f t="shared" si="83"/>
        <v>10.57052865269438</v>
      </c>
      <c r="Q488" s="1">
        <f t="shared" si="84"/>
        <v>12.031737085623195</v>
      </c>
      <c r="R488" s="1">
        <v>125.57909999999997</v>
      </c>
      <c r="S488" s="1" t="e">
        <f t="shared" si="85"/>
        <v>#N/A</v>
      </c>
      <c r="T488" s="1" t="e">
        <v>#N/A</v>
      </c>
    </row>
    <row r="489" spans="1:20" x14ac:dyDescent="0.35">
      <c r="A489" s="1">
        <v>500153.0612</v>
      </c>
      <c r="B489" s="1">
        <v>5999996.5480000004</v>
      </c>
      <c r="C489" s="1">
        <v>167.55157275140499</v>
      </c>
      <c r="D489" s="1">
        <f t="shared" si="86"/>
        <v>153.2498917612921</v>
      </c>
      <c r="E489" s="1">
        <v>0.01</v>
      </c>
      <c r="F489" s="1">
        <v>0.05</v>
      </c>
      <c r="G489" s="1">
        <v>0.1</v>
      </c>
      <c r="H489" s="1">
        <v>9.81</v>
      </c>
      <c r="I489" s="1">
        <v>2650</v>
      </c>
      <c r="J489" s="1">
        <v>1000</v>
      </c>
      <c r="K489" s="1">
        <v>1.65</v>
      </c>
      <c r="L489" s="1">
        <v>6.5</v>
      </c>
      <c r="M489" s="1">
        <v>2.5</v>
      </c>
      <c r="N489" s="6">
        <v>9.9999999999999995E-7</v>
      </c>
      <c r="O489" s="1">
        <f t="shared" si="87"/>
        <v>10.204940921281036</v>
      </c>
      <c r="P489" s="1">
        <f t="shared" si="83"/>
        <v>10.682627590463349</v>
      </c>
      <c r="Q489" s="1">
        <f t="shared" si="84"/>
        <v>10.626578121578865</v>
      </c>
      <c r="R489" s="1">
        <v>125.57909999999997</v>
      </c>
      <c r="S489" s="1" t="e">
        <f t="shared" si="85"/>
        <v>#N/A</v>
      </c>
      <c r="T489" s="1" t="e">
        <v>#N/A</v>
      </c>
    </row>
    <row r="490" spans="1:20" x14ac:dyDescent="0.35">
      <c r="A490" s="1">
        <v>500163.26530000003</v>
      </c>
      <c r="B490" s="1">
        <v>5999996.7019999996</v>
      </c>
      <c r="C490" s="1">
        <v>164.39385847900201</v>
      </c>
      <c r="D490" s="1">
        <f t="shared" si="86"/>
        <v>163.4551537770559</v>
      </c>
      <c r="E490" s="1">
        <v>0.01</v>
      </c>
      <c r="F490" s="1">
        <v>0.05</v>
      </c>
      <c r="G490" s="1">
        <v>0.1</v>
      </c>
      <c r="H490" s="1">
        <v>9.81</v>
      </c>
      <c r="I490" s="1">
        <v>2650</v>
      </c>
      <c r="J490" s="1">
        <v>1000</v>
      </c>
      <c r="K490" s="1">
        <v>1.65</v>
      </c>
      <c r="L490" s="1">
        <v>6.5</v>
      </c>
      <c r="M490" s="1">
        <v>2.5</v>
      </c>
      <c r="N490" s="6">
        <v>9.9999999999999995E-7</v>
      </c>
      <c r="O490" s="1">
        <f t="shared" si="87"/>
        <v>10.213849082106762</v>
      </c>
      <c r="P490" s="1">
        <f t="shared" si="83"/>
        <v>11.026540308620518</v>
      </c>
      <c r="Q490" s="1">
        <f t="shared" si="84"/>
        <v>10.854583949541933</v>
      </c>
      <c r="R490" s="1">
        <v>125.57909999999997</v>
      </c>
      <c r="S490" s="1" t="e">
        <f t="shared" si="85"/>
        <v>#N/A</v>
      </c>
      <c r="T490" s="1" t="e">
        <v>#N/A</v>
      </c>
    </row>
    <row r="491" spans="1:20" x14ac:dyDescent="0.35">
      <c r="A491" s="1">
        <v>500173.4694</v>
      </c>
      <c r="B491" s="1">
        <v>5999996.0899999999</v>
      </c>
      <c r="C491" s="1">
        <v>168.52742719967199</v>
      </c>
      <c r="D491" s="1">
        <f t="shared" si="86"/>
        <v>173.67758992550563</v>
      </c>
      <c r="E491" s="1">
        <v>0.01</v>
      </c>
      <c r="F491" s="1">
        <v>0.05</v>
      </c>
      <c r="G491" s="1">
        <v>0.1</v>
      </c>
      <c r="H491" s="1">
        <v>9.81</v>
      </c>
      <c r="I491" s="1">
        <v>2650</v>
      </c>
      <c r="J491" s="1">
        <v>1000</v>
      </c>
      <c r="K491" s="1">
        <v>1.65</v>
      </c>
      <c r="L491" s="1">
        <v>6.5</v>
      </c>
      <c r="M491" s="1">
        <v>2.5</v>
      </c>
      <c r="N491" s="6">
        <v>9.9999999999999995E-7</v>
      </c>
      <c r="O491" s="1">
        <f t="shared" si="87"/>
        <v>10.214988293625822</v>
      </c>
      <c r="P491" s="1">
        <f t="shared" si="83"/>
        <v>10.632479456336906</v>
      </c>
      <c r="Q491" s="1">
        <f t="shared" si="84"/>
        <v>10.829509882478712</v>
      </c>
      <c r="R491" s="1">
        <v>125.57909999999997</v>
      </c>
      <c r="S491" s="1" t="e">
        <f t="shared" si="85"/>
        <v>#N/A</v>
      </c>
      <c r="T491" s="1" t="e">
        <v>#N/A</v>
      </c>
    </row>
    <row r="492" spans="1:20" x14ac:dyDescent="0.35">
      <c r="A492" s="1">
        <v>500183.67349999998</v>
      </c>
      <c r="B492" s="1">
        <v>5999996.3550000004</v>
      </c>
      <c r="C492" s="1">
        <v>165.55156806663999</v>
      </c>
      <c r="D492" s="1">
        <f t="shared" si="86"/>
        <v>183.88513036430754</v>
      </c>
      <c r="E492" s="1">
        <v>0.01</v>
      </c>
      <c r="F492" s="1">
        <v>0.05</v>
      </c>
      <c r="G492" s="1">
        <v>0.1</v>
      </c>
      <c r="H492" s="1">
        <v>9.81</v>
      </c>
      <c r="I492" s="1">
        <v>2650</v>
      </c>
      <c r="J492" s="1">
        <v>1000</v>
      </c>
      <c r="K492" s="1">
        <v>1.65</v>
      </c>
      <c r="L492" s="1">
        <v>6.5</v>
      </c>
      <c r="M492" s="1">
        <v>2.5</v>
      </c>
      <c r="N492" s="6">
        <v>9.9999999999999995E-7</v>
      </c>
      <c r="O492" s="1">
        <f t="shared" si="87"/>
        <v>10.210285318026777</v>
      </c>
      <c r="P492" s="1">
        <f t="shared" si="83"/>
        <v>10.217153370786205</v>
      </c>
      <c r="Q492" s="1">
        <f t="shared" si="84"/>
        <v>10.424816413561555</v>
      </c>
      <c r="R492" s="1">
        <v>125.57909999999997</v>
      </c>
      <c r="S492" s="1" t="e">
        <f t="shared" si="85"/>
        <v>#N/A</v>
      </c>
      <c r="T492" s="1" t="e">
        <v>#N/A</v>
      </c>
    </row>
    <row r="493" spans="1:20" x14ac:dyDescent="0.35">
      <c r="A493" s="1">
        <v>500193.87760000001</v>
      </c>
      <c r="B493" s="1">
        <v>5999996.7819999997</v>
      </c>
      <c r="C493" s="1">
        <v>165.84180450851801</v>
      </c>
      <c r="D493" s="1">
        <f t="shared" si="86"/>
        <v>194.09816056155918</v>
      </c>
      <c r="E493" s="1">
        <v>0.01</v>
      </c>
      <c r="F493" s="1">
        <v>0.05</v>
      </c>
      <c r="G493" s="1">
        <v>0.1</v>
      </c>
      <c r="H493" s="1">
        <v>9.81</v>
      </c>
      <c r="I493" s="1">
        <v>2650</v>
      </c>
      <c r="J493" s="1">
        <v>1000</v>
      </c>
      <c r="K493" s="1">
        <v>1.65</v>
      </c>
      <c r="L493" s="1">
        <v>6.5</v>
      </c>
      <c r="M493" s="1">
        <v>2.5</v>
      </c>
      <c r="N493" s="6">
        <v>9.9999999999999995E-7</v>
      </c>
      <c r="O493" s="1">
        <f t="shared" si="87"/>
        <v>10.225732250662787</v>
      </c>
      <c r="P493" s="1">
        <f t="shared" si="83"/>
        <v>11.805317568883225</v>
      </c>
      <c r="Q493" s="1">
        <f t="shared" si="84"/>
        <v>11.011235469834716</v>
      </c>
      <c r="R493" s="1">
        <v>125.57909999999997</v>
      </c>
      <c r="S493" s="1" t="e">
        <f t="shared" si="85"/>
        <v>#N/A</v>
      </c>
      <c r="T493" s="1" t="e">
        <v>#N/A</v>
      </c>
    </row>
    <row r="494" spans="1:20" x14ac:dyDescent="0.35">
      <c r="A494" s="1">
        <v>500204.08159999998</v>
      </c>
      <c r="B494" s="1">
        <v>5999995.943</v>
      </c>
      <c r="C494" s="1">
        <v>159.96473160584401</v>
      </c>
      <c r="D494" s="1">
        <f t="shared" si="86"/>
        <v>204.33659486563312</v>
      </c>
      <c r="E494" s="1">
        <v>0.01</v>
      </c>
      <c r="F494" s="1">
        <v>0.05</v>
      </c>
      <c r="G494" s="1">
        <v>0.1</v>
      </c>
      <c r="H494" s="1">
        <v>9.81</v>
      </c>
      <c r="I494" s="1">
        <v>2650</v>
      </c>
      <c r="J494" s="1">
        <v>1000</v>
      </c>
      <c r="K494" s="1">
        <v>1.65</v>
      </c>
      <c r="L494" s="1">
        <v>6.5</v>
      </c>
      <c r="M494" s="1">
        <v>2.5</v>
      </c>
      <c r="N494" s="6">
        <v>9.9999999999999995E-7</v>
      </c>
      <c r="O494" s="1">
        <f t="shared" si="87"/>
        <v>10.222474465035148</v>
      </c>
      <c r="P494" s="1">
        <f t="shared" si="83"/>
        <v>10.510110351296964</v>
      </c>
      <c r="Q494" s="1">
        <f t="shared" si="84"/>
        <v>11.157713960090096</v>
      </c>
      <c r="R494" s="1">
        <v>125.57909999999997</v>
      </c>
      <c r="S494" s="1" t="e">
        <f t="shared" si="85"/>
        <v>#N/A</v>
      </c>
      <c r="T494" s="1" t="e">
        <v>#N/A</v>
      </c>
    </row>
    <row r="495" spans="1:20" x14ac:dyDescent="0.35">
      <c r="A495" s="1">
        <v>500214.28570000001</v>
      </c>
      <c r="B495" s="1">
        <v>5999995.7209999999</v>
      </c>
      <c r="C495" s="1">
        <v>162.47261493362501</v>
      </c>
      <c r="D495" s="1">
        <f t="shared" si="86"/>
        <v>214.54310949162948</v>
      </c>
      <c r="E495" s="1">
        <v>0.01</v>
      </c>
      <c r="F495" s="1">
        <v>0.05</v>
      </c>
      <c r="G495" s="1">
        <v>0.1</v>
      </c>
      <c r="H495" s="1">
        <v>9.81</v>
      </c>
      <c r="I495" s="1">
        <v>2650</v>
      </c>
      <c r="J495" s="1">
        <v>1000</v>
      </c>
      <c r="K495" s="1">
        <v>1.65</v>
      </c>
      <c r="L495" s="1">
        <v>6.5</v>
      </c>
      <c r="M495" s="1">
        <v>2.5</v>
      </c>
      <c r="N495" s="6">
        <v>9.9999999999999995E-7</v>
      </c>
      <c r="O495" s="1">
        <f t="shared" si="87"/>
        <v>10.209668499185454</v>
      </c>
      <c r="P495" s="1">
        <f t="shared" si="83"/>
        <v>13.932835838967597</v>
      </c>
      <c r="Q495" s="1">
        <f t="shared" si="84"/>
        <v>12.22147309513228</v>
      </c>
      <c r="R495" s="1">
        <v>125.57909999999997</v>
      </c>
      <c r="S495" s="1" t="e">
        <f t="shared" si="85"/>
        <v>#N/A</v>
      </c>
      <c r="T495" s="1" t="e">
        <v>#N/A</v>
      </c>
    </row>
    <row r="496" spans="1:20" x14ac:dyDescent="0.35">
      <c r="A496" s="1">
        <v>500224.48979999998</v>
      </c>
      <c r="B496" s="1">
        <v>5999996.1430000002</v>
      </c>
      <c r="C496" s="1">
        <v>152.99515885586101</v>
      </c>
      <c r="D496" s="1">
        <f t="shared" si="86"/>
        <v>224.75593186400403</v>
      </c>
      <c r="E496" s="1">
        <v>0.01</v>
      </c>
      <c r="F496" s="1">
        <v>0.05</v>
      </c>
      <c r="G496" s="1">
        <v>0.1</v>
      </c>
      <c r="H496" s="1">
        <v>9.81</v>
      </c>
      <c r="I496" s="1">
        <v>2650</v>
      </c>
      <c r="J496" s="1">
        <v>1000</v>
      </c>
      <c r="K496" s="1">
        <v>1.65</v>
      </c>
      <c r="L496" s="1">
        <v>6.5</v>
      </c>
      <c r="M496" s="1">
        <v>2.5</v>
      </c>
      <c r="N496" s="6">
        <v>9.9999999999999995E-7</v>
      </c>
      <c r="O496" s="1">
        <f t="shared" si="87"/>
        <v>10.211706300347956</v>
      </c>
      <c r="P496" s="1">
        <f t="shared" si="83"/>
        <v>10.301820481574744</v>
      </c>
      <c r="Q496" s="1">
        <f t="shared" si="84"/>
        <v>12.117328160271171</v>
      </c>
      <c r="R496" s="1">
        <v>125.57909999999997</v>
      </c>
      <c r="S496" s="1" t="e">
        <f t="shared" si="85"/>
        <v>#N/A</v>
      </c>
      <c r="T496" s="1" t="e">
        <v>#N/A</v>
      </c>
    </row>
    <row r="497" spans="1:20" x14ac:dyDescent="0.35">
      <c r="A497" s="1">
        <v>500234.69390000001</v>
      </c>
      <c r="B497" s="1">
        <v>5999996.5070000002</v>
      </c>
      <c r="C497" s="1">
        <v>151.627185016966</v>
      </c>
      <c r="D497" s="1">
        <f t="shared" si="86"/>
        <v>234.96652209232539</v>
      </c>
      <c r="E497" s="1">
        <v>0.01</v>
      </c>
      <c r="F497" s="1">
        <v>0.05</v>
      </c>
      <c r="G497" s="1">
        <v>0.1</v>
      </c>
      <c r="H497" s="1">
        <v>9.81</v>
      </c>
      <c r="I497" s="1">
        <v>2650</v>
      </c>
      <c r="J497" s="1">
        <v>1000</v>
      </c>
      <c r="K497" s="1">
        <v>1.65</v>
      </c>
      <c r="L497" s="1">
        <v>6.5</v>
      </c>
      <c r="M497" s="1">
        <v>2.5</v>
      </c>
      <c r="N497" s="6">
        <v>9.9999999999999995E-7</v>
      </c>
      <c r="O497" s="1">
        <f t="shared" si="87"/>
        <v>10.212172653557417</v>
      </c>
      <c r="P497" s="1">
        <f t="shared" si="83"/>
        <v>11.089044194999135</v>
      </c>
      <c r="Q497" s="1">
        <f t="shared" si="84"/>
        <v>10.695432338286938</v>
      </c>
      <c r="R497" s="1">
        <v>125.57909999999997</v>
      </c>
      <c r="S497" s="1" t="e">
        <f t="shared" si="85"/>
        <v>#N/A</v>
      </c>
      <c r="T497" s="1" t="e">
        <v>#N/A</v>
      </c>
    </row>
    <row r="498" spans="1:20" x14ac:dyDescent="0.35">
      <c r="A498" s="1">
        <v>500244.89799999999</v>
      </c>
      <c r="B498" s="1">
        <v>5999996.9510000004</v>
      </c>
      <c r="C498" s="1">
        <v>155.94529899752101</v>
      </c>
      <c r="D498" s="1">
        <f t="shared" si="86"/>
        <v>245.18027717111886</v>
      </c>
      <c r="E498" s="1">
        <v>0.01</v>
      </c>
      <c r="F498" s="1">
        <v>0.05</v>
      </c>
      <c r="G498" s="1">
        <v>0.1</v>
      </c>
      <c r="H498" s="1">
        <v>9.81</v>
      </c>
      <c r="I498" s="1">
        <v>2650</v>
      </c>
      <c r="J498" s="1">
        <v>1000</v>
      </c>
      <c r="K498" s="1">
        <v>1.65</v>
      </c>
      <c r="L498" s="1">
        <v>6.5</v>
      </c>
      <c r="M498" s="1">
        <v>2.5</v>
      </c>
      <c r="N498" s="6">
        <v>9.9999999999999995E-7</v>
      </c>
      <c r="O498" s="1">
        <f t="shared" si="87"/>
        <v>10.228334363400478</v>
      </c>
      <c r="P498" s="1">
        <f t="shared" si="83"/>
        <v>11.738479864242503</v>
      </c>
      <c r="Q498" s="1">
        <f t="shared" si="84"/>
        <v>11.41376202962082</v>
      </c>
      <c r="R498" s="1">
        <v>125.57909999999997</v>
      </c>
      <c r="S498" s="1" t="e">
        <f t="shared" si="85"/>
        <v>#N/A</v>
      </c>
      <c r="T498" s="1" t="e">
        <v>#N/A</v>
      </c>
    </row>
    <row r="499" spans="1:20" x14ac:dyDescent="0.35">
      <c r="A499" s="1">
        <v>500255.10200000001</v>
      </c>
      <c r="B499" s="1">
        <v>5999997.8430000003</v>
      </c>
      <c r="C499" s="1">
        <v>150.21165883417899</v>
      </c>
      <c r="D499" s="1">
        <f t="shared" si="86"/>
        <v>255.42319081912635</v>
      </c>
      <c r="E499" s="1">
        <v>0.01</v>
      </c>
      <c r="F499" s="1">
        <v>0.05</v>
      </c>
      <c r="G499" s="1">
        <v>0.1</v>
      </c>
      <c r="H499" s="1">
        <v>9.81</v>
      </c>
      <c r="I499" s="1">
        <v>2650</v>
      </c>
      <c r="J499" s="1">
        <v>1000</v>
      </c>
      <c r="K499" s="1">
        <v>1.65</v>
      </c>
      <c r="L499" s="1">
        <v>6.5</v>
      </c>
      <c r="M499" s="1">
        <v>2.5</v>
      </c>
      <c r="N499" s="6">
        <v>9.9999999999999995E-7</v>
      </c>
      <c r="O499" s="1">
        <f t="shared" si="87"/>
        <v>10.228247812702051</v>
      </c>
      <c r="P499" s="1">
        <f t="shared" si="83"/>
        <v>10.415569048554094</v>
      </c>
      <c r="Q499" s="1">
        <f t="shared" si="84"/>
        <v>11.077024456398298</v>
      </c>
      <c r="R499" s="1">
        <v>125.57909999999997</v>
      </c>
      <c r="S499" s="1" t="e">
        <f t="shared" si="85"/>
        <v>#N/A</v>
      </c>
      <c r="T499" s="1" t="e">
        <v>#N/A</v>
      </c>
    </row>
    <row r="500" spans="1:20" x14ac:dyDescent="0.35">
      <c r="A500" s="1">
        <v>500265.30609999999</v>
      </c>
      <c r="B500" s="1">
        <v>5999998.2829999998</v>
      </c>
      <c r="C500" s="1">
        <v>148.17037938339399</v>
      </c>
      <c r="D500" s="1">
        <f t="shared" si="86"/>
        <v>265.63677279652296</v>
      </c>
      <c r="E500" s="1">
        <v>0.01</v>
      </c>
      <c r="F500" s="1">
        <v>0.05</v>
      </c>
      <c r="G500" s="1">
        <v>0.1</v>
      </c>
      <c r="H500" s="1">
        <v>9.81</v>
      </c>
      <c r="I500" s="1">
        <v>2650</v>
      </c>
      <c r="J500" s="1">
        <v>1000</v>
      </c>
      <c r="K500" s="1">
        <v>1.65</v>
      </c>
      <c r="L500" s="1">
        <v>6.5</v>
      </c>
      <c r="M500" s="1">
        <v>2.5</v>
      </c>
      <c r="N500" s="6">
        <v>9.9999999999999995E-7</v>
      </c>
      <c r="O500" s="1">
        <f t="shared" si="87"/>
        <v>10.23198332194535</v>
      </c>
      <c r="P500" s="1">
        <f t="shared" si="83"/>
        <v>10.753746192038282</v>
      </c>
      <c r="Q500" s="1">
        <f t="shared" si="84"/>
        <v>10.584657620296188</v>
      </c>
      <c r="R500" s="1">
        <v>125.57909999999997</v>
      </c>
      <c r="S500" s="1" t="e">
        <f t="shared" si="85"/>
        <v>#N/A</v>
      </c>
      <c r="T500" s="1" t="e">
        <v>#N/A</v>
      </c>
    </row>
    <row r="501" spans="1:20" x14ac:dyDescent="0.35">
      <c r="A501" s="1">
        <v>500275.51020000002</v>
      </c>
      <c r="B501" s="1">
        <v>5999997.3099999996</v>
      </c>
      <c r="C501" s="1">
        <v>144.91881493659599</v>
      </c>
      <c r="D501" s="1">
        <f t="shared" si="86"/>
        <v>275.88715746301705</v>
      </c>
      <c r="E501" s="1">
        <v>0.01</v>
      </c>
      <c r="F501" s="1">
        <v>0.05</v>
      </c>
      <c r="G501" s="1">
        <v>0.1</v>
      </c>
      <c r="H501" s="1">
        <v>9.81</v>
      </c>
      <c r="I501" s="1">
        <v>2650</v>
      </c>
      <c r="J501" s="1">
        <v>1000</v>
      </c>
      <c r="K501" s="1">
        <v>1.65</v>
      </c>
      <c r="L501" s="1">
        <v>6.5</v>
      </c>
      <c r="M501" s="1">
        <v>2.5</v>
      </c>
      <c r="N501" s="6">
        <v>9.9999999999999995E-7</v>
      </c>
      <c r="O501" s="1">
        <f t="shared" si="87"/>
        <v>10.247668609691146</v>
      </c>
      <c r="P501" s="1">
        <f t="shared" si="83"/>
        <v>10.247801935839309</v>
      </c>
      <c r="Q501" s="1">
        <f t="shared" si="84"/>
        <v>10.500774063938795</v>
      </c>
      <c r="R501" s="1">
        <v>125.57909999999997</v>
      </c>
      <c r="S501" s="1" t="e">
        <f t="shared" si="85"/>
        <v>#N/A</v>
      </c>
      <c r="T501" s="1" t="e">
        <v>#N/A</v>
      </c>
    </row>
    <row r="502" spans="1:20" x14ac:dyDescent="0.35">
      <c r="A502" s="1">
        <v>500285.71429999999</v>
      </c>
      <c r="B502" s="1">
        <v>5999998.2240000004</v>
      </c>
      <c r="C502" s="1">
        <v>144.67717117967001</v>
      </c>
      <c r="D502" s="1">
        <f t="shared" si="86"/>
        <v>286.13211001590525</v>
      </c>
      <c r="E502" s="1">
        <v>0.01</v>
      </c>
      <c r="F502" s="1">
        <v>0.05</v>
      </c>
      <c r="G502" s="1">
        <v>0.1</v>
      </c>
      <c r="H502" s="1">
        <v>9.81</v>
      </c>
      <c r="I502" s="1">
        <v>2650</v>
      </c>
      <c r="J502" s="1">
        <v>1000</v>
      </c>
      <c r="K502" s="1">
        <v>1.65</v>
      </c>
      <c r="L502" s="1">
        <v>6.5</v>
      </c>
      <c r="M502" s="1">
        <v>2.5</v>
      </c>
      <c r="N502" s="6">
        <v>9.9999999999999995E-7</v>
      </c>
      <c r="O502" s="1">
        <f t="shared" si="87"/>
        <v>10.245310960713113</v>
      </c>
      <c r="P502" s="1">
        <f t="shared" si="83"/>
        <v>10.773986209295044</v>
      </c>
      <c r="Q502" s="1">
        <f t="shared" si="84"/>
        <v>10.510894072567176</v>
      </c>
      <c r="R502" s="1">
        <v>125.57909999999997</v>
      </c>
      <c r="S502" s="1" t="e">
        <f t="shared" si="85"/>
        <v>#N/A</v>
      </c>
      <c r="T502" s="1" t="e">
        <v>#N/A</v>
      </c>
    </row>
    <row r="503" spans="1:20" x14ac:dyDescent="0.35">
      <c r="A503" s="1">
        <v>500295.91840000002</v>
      </c>
      <c r="B503" s="1">
        <v>5999999.1459999997</v>
      </c>
      <c r="C503" s="1">
        <v>141.344748933213</v>
      </c>
      <c r="D503" s="1">
        <f t="shared" si="86"/>
        <v>296.37777938444327</v>
      </c>
      <c r="E503" s="1">
        <v>0.01</v>
      </c>
      <c r="F503" s="1">
        <v>0.05</v>
      </c>
      <c r="G503" s="1">
        <v>0.1</v>
      </c>
      <c r="H503" s="1">
        <v>9.81</v>
      </c>
      <c r="I503" s="1">
        <v>2650</v>
      </c>
      <c r="J503" s="1">
        <v>1000</v>
      </c>
      <c r="K503" s="1">
        <v>1.65</v>
      </c>
      <c r="L503" s="1">
        <v>6.5</v>
      </c>
      <c r="M503" s="1">
        <v>2.5</v>
      </c>
      <c r="N503" s="6">
        <v>9.9999999999999995E-7</v>
      </c>
      <c r="O503" s="1">
        <f t="shared" si="87"/>
        <v>10.233098302678485</v>
      </c>
      <c r="P503" s="1">
        <f t="shared" si="83"/>
        <v>10.320041754295742</v>
      </c>
      <c r="Q503" s="1">
        <f t="shared" si="84"/>
        <v>10.547013981795393</v>
      </c>
      <c r="R503" s="1">
        <v>125.57909999999997</v>
      </c>
      <c r="S503" s="1" t="e">
        <f t="shared" si="85"/>
        <v>#N/A</v>
      </c>
      <c r="T503" s="1" t="e">
        <v>#N/A</v>
      </c>
    </row>
    <row r="504" spans="1:20" x14ac:dyDescent="0.35">
      <c r="A504" s="1">
        <v>500306.12239999999</v>
      </c>
      <c r="B504" s="1">
        <v>5999998.5650000004</v>
      </c>
      <c r="C504" s="1">
        <v>139.91503399244701</v>
      </c>
      <c r="D504" s="1">
        <f t="shared" si="86"/>
        <v>306.59830662126222</v>
      </c>
      <c r="E504" s="1">
        <v>0.01</v>
      </c>
      <c r="F504" s="1">
        <v>0.05</v>
      </c>
      <c r="G504" s="1">
        <v>0.1</v>
      </c>
      <c r="H504" s="1">
        <v>9.81</v>
      </c>
      <c r="I504" s="1">
        <v>2650</v>
      </c>
      <c r="J504" s="1">
        <v>1000</v>
      </c>
      <c r="K504" s="1">
        <v>1.65</v>
      </c>
      <c r="L504" s="1">
        <v>6.5</v>
      </c>
      <c r="M504" s="1">
        <v>2.5</v>
      </c>
      <c r="N504" s="6">
        <v>9.9999999999999995E-7</v>
      </c>
      <c r="O504" s="1">
        <f t="shared" si="87"/>
        <v>10.221874954638196</v>
      </c>
      <c r="P504" s="1">
        <f t="shared" si="83"/>
        <v>13.893706980070347</v>
      </c>
      <c r="Q504" s="1">
        <f t="shared" si="84"/>
        <v>12.106874367183044</v>
      </c>
      <c r="R504" s="1">
        <v>125.57909999999997</v>
      </c>
      <c r="S504" s="1" t="e">
        <f t="shared" si="85"/>
        <v>#N/A</v>
      </c>
      <c r="T504" s="1" t="e">
        <v>#N/A</v>
      </c>
    </row>
    <row r="505" spans="1:20" x14ac:dyDescent="0.35">
      <c r="A505" s="1">
        <v>500316.32650000002</v>
      </c>
      <c r="B505" s="1">
        <v>5999999.1900000004</v>
      </c>
      <c r="C505" s="1">
        <v>130.506484059678</v>
      </c>
      <c r="D505" s="1">
        <f t="shared" si="86"/>
        <v>316.82152929371966</v>
      </c>
      <c r="E505" s="1">
        <v>0.01</v>
      </c>
      <c r="F505" s="1">
        <v>0.05</v>
      </c>
      <c r="G505" s="1">
        <v>0.1</v>
      </c>
      <c r="H505" s="1">
        <v>9.81</v>
      </c>
      <c r="I505" s="1">
        <v>2650</v>
      </c>
      <c r="J505" s="1">
        <v>1000</v>
      </c>
      <c r="K505" s="1">
        <v>1.65</v>
      </c>
      <c r="L505" s="1">
        <v>6.5</v>
      </c>
      <c r="M505" s="1">
        <v>2.5</v>
      </c>
      <c r="N505" s="6">
        <v>9.9999999999999995E-7</v>
      </c>
      <c r="O505" s="1">
        <f t="shared" si="87"/>
        <v>10.235493697492075</v>
      </c>
      <c r="P505" s="1">
        <f t="shared" si="83"/>
        <v>10.418299398725649</v>
      </c>
      <c r="Q505" s="1">
        <f t="shared" si="84"/>
        <v>12.156003189397998</v>
      </c>
      <c r="R505" s="1">
        <v>125.57909999999997</v>
      </c>
      <c r="S505" s="1" t="e">
        <f t="shared" si="85"/>
        <v>#N/A</v>
      </c>
      <c r="T505" s="1" t="e">
        <v>#N/A</v>
      </c>
    </row>
    <row r="506" spans="1:20" x14ac:dyDescent="0.35">
      <c r="A506" s="1">
        <v>500326.5306</v>
      </c>
      <c r="B506" s="1">
        <v>6000000.1349999998</v>
      </c>
      <c r="C506" s="1">
        <v>128.62917733108401</v>
      </c>
      <c r="D506" s="1">
        <f t="shared" si="86"/>
        <v>327.06929401624637</v>
      </c>
      <c r="E506" s="1">
        <v>0.01</v>
      </c>
      <c r="F506" s="1">
        <v>0.05</v>
      </c>
      <c r="G506" s="1">
        <v>0.1</v>
      </c>
      <c r="H506" s="1">
        <v>9.81</v>
      </c>
      <c r="I506" s="1">
        <v>2650</v>
      </c>
      <c r="J506" s="1">
        <v>1000</v>
      </c>
      <c r="K506" s="1">
        <v>1.65</v>
      </c>
      <c r="L506" s="1">
        <v>6.5</v>
      </c>
      <c r="M506" s="1">
        <v>2.5</v>
      </c>
      <c r="N506" s="6">
        <v>9.9999999999999995E-7</v>
      </c>
      <c r="O506" s="1">
        <f t="shared" si="87"/>
        <v>10.241238558797846</v>
      </c>
      <c r="P506" s="1">
        <f t="shared" ref="P506:P522" si="88">SQRT((D507 - D506)^2 + (C507 - C506)^2)</f>
        <v>10.787841757464356</v>
      </c>
      <c r="Q506" s="1">
        <f t="shared" ref="Q506:Q522" si="89">IF(ROW()=474, P506/2, (P506 + P505)/2)</f>
        <v>10.603070578095004</v>
      </c>
      <c r="R506" s="1">
        <v>125.57909999999997</v>
      </c>
      <c r="S506" s="1" t="e">
        <f t="shared" ref="S506:S522" si="90">IF(R506 - C506 &lt; 0, NA(), R506 - C506)</f>
        <v>#N/A</v>
      </c>
      <c r="T506" s="1" t="e">
        <v>#N/A</v>
      </c>
    </row>
    <row r="507" spans="1:20" x14ac:dyDescent="0.35">
      <c r="A507" s="1">
        <v>500336.73469999997</v>
      </c>
      <c r="B507" s="1">
        <v>5999999.3439999996</v>
      </c>
      <c r="C507" s="1">
        <v>132.03919081702699</v>
      </c>
      <c r="D507" s="1">
        <f t="shared" ref="D507:D523" si="91">D506 + SQRT((A507 - A506)^2 + (B507 - B506)^2)</f>
        <v>337.30400641131536</v>
      </c>
      <c r="E507" s="1">
        <v>0.01</v>
      </c>
      <c r="F507" s="1">
        <v>0.05</v>
      </c>
      <c r="G507" s="1">
        <v>0.1</v>
      </c>
      <c r="H507" s="1">
        <v>9.81</v>
      </c>
      <c r="I507" s="1">
        <v>2650</v>
      </c>
      <c r="J507" s="1">
        <v>1000</v>
      </c>
      <c r="K507" s="1">
        <v>1.65</v>
      </c>
      <c r="L507" s="1">
        <v>6.5</v>
      </c>
      <c r="M507" s="1">
        <v>2.5</v>
      </c>
      <c r="N507" s="6">
        <v>9.9999999999999995E-7</v>
      </c>
      <c r="O507" s="1">
        <f t="shared" si="87"/>
        <v>10.233949248828765</v>
      </c>
      <c r="P507" s="1">
        <f t="shared" si="88"/>
        <v>11.755266476054745</v>
      </c>
      <c r="Q507" s="1">
        <f t="shared" si="89"/>
        <v>11.27155411675955</v>
      </c>
      <c r="R507" s="1">
        <v>125.57909999999997</v>
      </c>
      <c r="S507" s="1" t="e">
        <f t="shared" si="90"/>
        <v>#N/A</v>
      </c>
      <c r="T507" s="1" t="e">
        <v>#N/A</v>
      </c>
    </row>
    <row r="508" spans="1:20" x14ac:dyDescent="0.35">
      <c r="A508" s="1">
        <v>500346.9388</v>
      </c>
      <c r="B508" s="1">
        <v>5999998.5729999999</v>
      </c>
      <c r="C508" s="1">
        <v>126.254020801129</v>
      </c>
      <c r="D508" s="1">
        <f t="shared" si="91"/>
        <v>347.5371925139039</v>
      </c>
      <c r="E508" s="1">
        <v>0.01</v>
      </c>
      <c r="F508" s="1">
        <v>0.05</v>
      </c>
      <c r="G508" s="1">
        <v>0.1</v>
      </c>
      <c r="H508" s="1">
        <v>9.81</v>
      </c>
      <c r="I508" s="1">
        <v>2650</v>
      </c>
      <c r="J508" s="1">
        <v>1000</v>
      </c>
      <c r="K508" s="1">
        <v>1.65</v>
      </c>
      <c r="L508" s="1">
        <v>6.5</v>
      </c>
      <c r="M508" s="1">
        <v>2.5</v>
      </c>
      <c r="N508" s="6">
        <v>9.9999999999999995E-7</v>
      </c>
      <c r="O508" s="1">
        <f t="shared" si="87"/>
        <v>10.232552707337419</v>
      </c>
      <c r="P508" s="1">
        <f t="shared" si="88"/>
        <v>11.350607222214496</v>
      </c>
      <c r="Q508" s="1">
        <f t="shared" si="89"/>
        <v>11.552936849134621</v>
      </c>
      <c r="R508" s="1">
        <v>125.57909999999997</v>
      </c>
      <c r="S508" s="1" t="e">
        <f t="shared" si="90"/>
        <v>#N/A</v>
      </c>
      <c r="T508" s="1" t="e">
        <v>#N/A</v>
      </c>
    </row>
    <row r="509" spans="1:20" x14ac:dyDescent="0.35">
      <c r="A509" s="1">
        <v>500357.14289999998</v>
      </c>
      <c r="B509" s="1">
        <v>5999999.3269999996</v>
      </c>
      <c r="C509" s="1">
        <v>131.167686591956</v>
      </c>
      <c r="D509" s="1">
        <f t="shared" si="91"/>
        <v>357.76911182599019</v>
      </c>
      <c r="E509" s="1">
        <v>0.01</v>
      </c>
      <c r="F509" s="1">
        <v>0.05</v>
      </c>
      <c r="G509" s="1">
        <v>0.1</v>
      </c>
      <c r="H509" s="1">
        <v>9.81</v>
      </c>
      <c r="I509" s="1">
        <v>2650</v>
      </c>
      <c r="J509" s="1">
        <v>1000</v>
      </c>
      <c r="K509" s="1">
        <v>1.65</v>
      </c>
      <c r="L509" s="1">
        <v>6.5</v>
      </c>
      <c r="M509" s="1">
        <v>2.5</v>
      </c>
      <c r="N509" s="6">
        <v>9.9999999999999995E-7</v>
      </c>
      <c r="O509" s="1">
        <f t="shared" si="87"/>
        <v>10.223838765829584</v>
      </c>
      <c r="P509" s="1">
        <f t="shared" si="88"/>
        <v>10.479732415606993</v>
      </c>
      <c r="Q509" s="1">
        <f t="shared" si="89"/>
        <v>10.915169818910744</v>
      </c>
      <c r="R509" s="1">
        <v>125.57909999999997</v>
      </c>
      <c r="S509" s="1" t="e">
        <f t="shared" si="90"/>
        <v>#N/A</v>
      </c>
      <c r="T509" s="1" t="e">
        <v>#N/A</v>
      </c>
    </row>
    <row r="510" spans="1:20" x14ac:dyDescent="0.35">
      <c r="A510" s="1">
        <v>500367.3469</v>
      </c>
      <c r="B510" s="1">
        <v>5999999.8169999998</v>
      </c>
      <c r="C510" s="1">
        <v>128.83036429882799</v>
      </c>
      <c r="D510" s="1">
        <f t="shared" si="91"/>
        <v>367.98487004556307</v>
      </c>
      <c r="E510" s="1">
        <v>0.01</v>
      </c>
      <c r="F510" s="1">
        <v>0.05</v>
      </c>
      <c r="G510" s="1">
        <v>0.1</v>
      </c>
      <c r="H510" s="1">
        <v>9.81</v>
      </c>
      <c r="I510" s="1">
        <v>2650</v>
      </c>
      <c r="J510" s="1">
        <v>1000</v>
      </c>
      <c r="K510" s="1">
        <v>1.65</v>
      </c>
      <c r="L510" s="1">
        <v>6.5</v>
      </c>
      <c r="M510" s="1">
        <v>2.5</v>
      </c>
      <c r="N510" s="6">
        <v>9.9999999999999995E-7</v>
      </c>
      <c r="O510" s="1">
        <f t="shared" si="87"/>
        <v>10.224509856901079</v>
      </c>
      <c r="P510" s="1">
        <f t="shared" si="88"/>
        <v>10.91645406051112</v>
      </c>
      <c r="Q510" s="1">
        <f t="shared" si="89"/>
        <v>10.698093238059055</v>
      </c>
      <c r="R510" s="1">
        <v>125.57909999999997</v>
      </c>
      <c r="S510" s="1" t="e">
        <f t="shared" si="90"/>
        <v>#N/A</v>
      </c>
      <c r="T510" s="1" t="e">
        <v>#N/A</v>
      </c>
    </row>
    <row r="511" spans="1:20" x14ac:dyDescent="0.35">
      <c r="A511" s="1">
        <v>500377.55099999998</v>
      </c>
      <c r="B511" s="1">
        <v>5999999.0449999999</v>
      </c>
      <c r="C511" s="1">
        <v>125.029137069896</v>
      </c>
      <c r="D511" s="1">
        <f t="shared" si="91"/>
        <v>378.21813153979235</v>
      </c>
      <c r="E511" s="1">
        <v>0.01</v>
      </c>
      <c r="F511" s="1">
        <v>0.05</v>
      </c>
      <c r="G511" s="1">
        <v>0.1</v>
      </c>
      <c r="H511" s="1">
        <v>9.81</v>
      </c>
      <c r="I511" s="1">
        <v>2650</v>
      </c>
      <c r="J511" s="1">
        <v>1000</v>
      </c>
      <c r="K511" s="1">
        <v>1.65</v>
      </c>
      <c r="L511" s="1">
        <v>6.5</v>
      </c>
      <c r="M511" s="1">
        <v>2.5</v>
      </c>
      <c r="N511" s="6">
        <v>9.9999999999999995E-7</v>
      </c>
      <c r="O511" s="1">
        <f t="shared" si="87"/>
        <v>10.221049857319429</v>
      </c>
      <c r="P511" s="1">
        <f t="shared" si="88"/>
        <v>10.237547645163266</v>
      </c>
      <c r="Q511" s="1">
        <f t="shared" si="89"/>
        <v>10.577000852837193</v>
      </c>
      <c r="R511" s="1">
        <v>125.57909999999997</v>
      </c>
      <c r="S511" s="1">
        <f t="shared" si="90"/>
        <v>0.54996293010397324</v>
      </c>
      <c r="T511" s="1">
        <v>0.54996293010397324</v>
      </c>
    </row>
    <row r="512" spans="1:20" x14ac:dyDescent="0.35">
      <c r="A512" s="1">
        <v>500387.75510000001</v>
      </c>
      <c r="B512" s="1">
        <v>5999999.3559999997</v>
      </c>
      <c r="C512" s="1">
        <v>125.795298917349</v>
      </c>
      <c r="D512" s="1">
        <f t="shared" si="91"/>
        <v>388.42696976020193</v>
      </c>
      <c r="E512" s="1">
        <v>0.01</v>
      </c>
      <c r="F512" s="1">
        <v>0.05</v>
      </c>
      <c r="G512" s="1">
        <v>0.1</v>
      </c>
      <c r="H512" s="1">
        <v>9.81</v>
      </c>
      <c r="I512" s="1">
        <v>2650</v>
      </c>
      <c r="J512" s="1">
        <v>1000</v>
      </c>
      <c r="K512" s="1">
        <v>1.65</v>
      </c>
      <c r="L512" s="1">
        <v>6.5</v>
      </c>
      <c r="M512" s="1">
        <v>2.5</v>
      </c>
      <c r="N512" s="6">
        <v>9.9999999999999995E-7</v>
      </c>
      <c r="O512" s="1">
        <f t="shared" si="87"/>
        <v>10.226672955179509</v>
      </c>
      <c r="P512" s="1">
        <f t="shared" si="88"/>
        <v>14.006911426674414</v>
      </c>
      <c r="Q512" s="1">
        <f t="shared" si="89"/>
        <v>12.122229535918841</v>
      </c>
      <c r="R512" s="1">
        <v>125.57909999999997</v>
      </c>
      <c r="S512" s="1" t="e">
        <f t="shared" si="90"/>
        <v>#N/A</v>
      </c>
      <c r="T512" s="1" t="e">
        <v>#N/A</v>
      </c>
    </row>
    <row r="513" spans="1:57" x14ac:dyDescent="0.35">
      <c r="A513" s="1">
        <v>500397.95919999998</v>
      </c>
      <c r="B513" s="1">
        <v>5999998.4469999997</v>
      </c>
      <c r="C513" s="1">
        <v>135.347452072804</v>
      </c>
      <c r="D513" s="1">
        <f t="shared" si="91"/>
        <v>398.67147745015137</v>
      </c>
      <c r="E513" s="1">
        <v>0.01</v>
      </c>
      <c r="F513" s="1">
        <v>0.05</v>
      </c>
      <c r="G513" s="1">
        <v>0.1</v>
      </c>
      <c r="H513" s="1">
        <v>9.81</v>
      </c>
      <c r="I513" s="1">
        <v>2650</v>
      </c>
      <c r="J513" s="1">
        <v>1000</v>
      </c>
      <c r="K513" s="1">
        <v>1.65</v>
      </c>
      <c r="L513" s="1">
        <v>6.5</v>
      </c>
      <c r="M513" s="1">
        <v>2.5</v>
      </c>
      <c r="N513" s="6">
        <v>9.9999999999999995E-7</v>
      </c>
      <c r="O513" s="1">
        <f t="shared" si="87"/>
        <v>10.22650836474881</v>
      </c>
      <c r="P513" s="1">
        <f t="shared" si="88"/>
        <v>12.538849639326756</v>
      </c>
      <c r="Q513" s="1">
        <f t="shared" si="89"/>
        <v>13.272880533000585</v>
      </c>
      <c r="R513" s="1">
        <v>125.57909999999997</v>
      </c>
      <c r="S513" s="1" t="e">
        <f t="shared" si="90"/>
        <v>#N/A</v>
      </c>
      <c r="T513" s="1" t="e">
        <v>#N/A</v>
      </c>
    </row>
    <row r="514" spans="1:57" x14ac:dyDescent="0.35">
      <c r="A514" s="1">
        <v>500408.16330000001</v>
      </c>
      <c r="B514" s="1">
        <v>5999998.1469999999</v>
      </c>
      <c r="C514" s="1">
        <v>128.06671766842501</v>
      </c>
      <c r="D514" s="1">
        <f t="shared" si="91"/>
        <v>408.87998648969955</v>
      </c>
      <c r="E514" s="1">
        <v>0.01</v>
      </c>
      <c r="F514" s="1">
        <v>0.05</v>
      </c>
      <c r="G514" s="1">
        <v>0.1</v>
      </c>
      <c r="H514" s="1">
        <v>9.81</v>
      </c>
      <c r="I514" s="1">
        <v>2650</v>
      </c>
      <c r="J514" s="1">
        <v>1000</v>
      </c>
      <c r="K514" s="1">
        <v>1.65</v>
      </c>
      <c r="L514" s="1">
        <v>6.5</v>
      </c>
      <c r="M514" s="1">
        <v>2.5</v>
      </c>
      <c r="N514" s="6">
        <v>9.9999999999999995E-7</v>
      </c>
      <c r="O514" s="1">
        <f t="shared" si="87"/>
        <v>10.217670819070179</v>
      </c>
      <c r="P514" s="1">
        <f t="shared" si="88"/>
        <v>11.126667604014996</v>
      </c>
      <c r="Q514" s="1">
        <f t="shared" si="89"/>
        <v>11.832758621670877</v>
      </c>
      <c r="R514" s="1">
        <v>125.57909999999997</v>
      </c>
      <c r="S514" s="1" t="e">
        <f t="shared" si="90"/>
        <v>#N/A</v>
      </c>
      <c r="T514" s="1" t="e">
        <v>#N/A</v>
      </c>
    </row>
    <row r="515" spans="1:57" x14ac:dyDescent="0.35">
      <c r="A515" s="1">
        <v>500418.36729999998</v>
      </c>
      <c r="B515" s="1">
        <v>5999997.4639999997</v>
      </c>
      <c r="C515" s="1">
        <v>132.450166877736</v>
      </c>
      <c r="D515" s="1">
        <f t="shared" si="91"/>
        <v>419.10681908829173</v>
      </c>
      <c r="E515" s="1">
        <v>0.01</v>
      </c>
      <c r="F515" s="1">
        <v>0.05</v>
      </c>
      <c r="G515" s="1">
        <v>0.1</v>
      </c>
      <c r="H515" s="1">
        <v>9.81</v>
      </c>
      <c r="I515" s="1">
        <v>2650</v>
      </c>
      <c r="J515" s="1">
        <v>1000</v>
      </c>
      <c r="K515" s="1">
        <v>1.65</v>
      </c>
      <c r="L515" s="1">
        <v>6.5</v>
      </c>
      <c r="M515" s="1">
        <v>2.5</v>
      </c>
      <c r="N515" s="6">
        <v>9.9999999999999995E-7</v>
      </c>
      <c r="O515" s="1">
        <f t="shared" si="87"/>
        <v>10.219153288461655</v>
      </c>
      <c r="P515" s="1">
        <f t="shared" si="88"/>
        <v>12.259823035582844</v>
      </c>
      <c r="Q515" s="1">
        <f t="shared" si="89"/>
        <v>11.693245319798919</v>
      </c>
      <c r="R515" s="1">
        <v>125.57909999999997</v>
      </c>
      <c r="S515" s="1" t="e">
        <f t="shared" si="90"/>
        <v>#N/A</v>
      </c>
      <c r="T515" s="1" t="e">
        <v>#N/A</v>
      </c>
    </row>
    <row r="516" spans="1:57" x14ac:dyDescent="0.35">
      <c r="A516" s="1">
        <v>500428.57140000002</v>
      </c>
      <c r="B516" s="1">
        <v>5999997.0760000004</v>
      </c>
      <c r="C516" s="1">
        <v>139.234638858198</v>
      </c>
      <c r="D516" s="1">
        <f t="shared" si="91"/>
        <v>429.31829306662286</v>
      </c>
      <c r="E516" s="1">
        <v>0.01</v>
      </c>
      <c r="F516" s="1">
        <v>0.05</v>
      </c>
      <c r="G516" s="1">
        <v>0.1</v>
      </c>
      <c r="H516" s="1">
        <v>9.81</v>
      </c>
      <c r="I516" s="1">
        <v>2650</v>
      </c>
      <c r="J516" s="1">
        <v>1000</v>
      </c>
      <c r="K516" s="1">
        <v>1.65</v>
      </c>
      <c r="L516" s="1">
        <v>6.5</v>
      </c>
      <c r="M516" s="1">
        <v>2.5</v>
      </c>
      <c r="N516" s="6">
        <v>9.9999999999999995E-7</v>
      </c>
      <c r="O516" s="1">
        <f t="shared" si="87"/>
        <v>10.213570502749036</v>
      </c>
      <c r="P516" s="1">
        <f t="shared" si="88"/>
        <v>10.221862151517284</v>
      </c>
      <c r="Q516" s="1">
        <f t="shared" si="89"/>
        <v>11.240842593550063</v>
      </c>
      <c r="R516" s="1">
        <v>125.57909999999997</v>
      </c>
      <c r="S516" s="1" t="e">
        <f t="shared" si="90"/>
        <v>#N/A</v>
      </c>
      <c r="T516" s="1" t="e">
        <v>#N/A</v>
      </c>
    </row>
    <row r="517" spans="1:57" x14ac:dyDescent="0.35">
      <c r="A517" s="1">
        <v>500438.77549999999</v>
      </c>
      <c r="B517" s="1">
        <v>5999996.5899999999</v>
      </c>
      <c r="C517" s="1">
        <v>139.590466112179</v>
      </c>
      <c r="D517" s="1">
        <f t="shared" si="91"/>
        <v>439.5339600937898</v>
      </c>
      <c r="E517" s="1">
        <v>0.01</v>
      </c>
      <c r="F517" s="1">
        <v>0.05</v>
      </c>
      <c r="G517" s="1">
        <v>0.1</v>
      </c>
      <c r="H517" s="1">
        <v>9.81</v>
      </c>
      <c r="I517" s="1">
        <v>2650</v>
      </c>
      <c r="J517" s="1">
        <v>1000</v>
      </c>
      <c r="K517" s="1">
        <v>1.65</v>
      </c>
      <c r="L517" s="1">
        <v>6.5</v>
      </c>
      <c r="M517" s="1">
        <v>2.5</v>
      </c>
      <c r="N517" s="6">
        <v>9.9999999999999995E-7</v>
      </c>
      <c r="O517" s="1">
        <f t="shared" si="87"/>
        <v>10.227678867958247</v>
      </c>
      <c r="P517" s="1">
        <f t="shared" si="88"/>
        <v>10.247073843648518</v>
      </c>
      <c r="Q517" s="1">
        <f t="shared" si="89"/>
        <v>10.2344679975829</v>
      </c>
      <c r="R517" s="1">
        <v>125.57909999999997</v>
      </c>
      <c r="S517" s="1" t="e">
        <f t="shared" si="90"/>
        <v>#N/A</v>
      </c>
      <c r="T517" s="1" t="e">
        <v>#N/A</v>
      </c>
    </row>
    <row r="518" spans="1:57" x14ac:dyDescent="0.35">
      <c r="A518" s="1">
        <v>500448.97960000002</v>
      </c>
      <c r="B518" s="1">
        <v>5999995.7369999997</v>
      </c>
      <c r="C518" s="1">
        <v>139.20154896633201</v>
      </c>
      <c r="D518" s="1">
        <f t="shared" si="91"/>
        <v>449.77365080253935</v>
      </c>
      <c r="E518" s="1">
        <v>0.01</v>
      </c>
      <c r="F518" s="1">
        <v>0.05</v>
      </c>
      <c r="G518" s="1">
        <v>0.1</v>
      </c>
      <c r="H518" s="1">
        <v>9.81</v>
      </c>
      <c r="I518" s="1">
        <v>2650</v>
      </c>
      <c r="J518" s="1">
        <v>1000</v>
      </c>
      <c r="K518" s="1">
        <v>1.65</v>
      </c>
      <c r="L518" s="1">
        <v>6.5</v>
      </c>
      <c r="M518" s="1">
        <v>2.5</v>
      </c>
      <c r="N518" s="6">
        <v>9.9999999999999995E-7</v>
      </c>
      <c r="O518" s="1">
        <f t="shared" si="87"/>
        <v>10.226507982984828</v>
      </c>
      <c r="P518" s="1">
        <f t="shared" si="88"/>
        <v>10.216402783069102</v>
      </c>
      <c r="Q518" s="1">
        <f t="shared" si="89"/>
        <v>10.231738313358811</v>
      </c>
      <c r="R518" s="1">
        <v>125.57909999999997</v>
      </c>
      <c r="S518" s="1" t="e">
        <f t="shared" si="90"/>
        <v>#N/A</v>
      </c>
      <c r="T518" s="1" t="e">
        <v>#N/A</v>
      </c>
    </row>
    <row r="519" spans="1:57" x14ac:dyDescent="0.35">
      <c r="A519" s="1">
        <v>500459.18369999999</v>
      </c>
      <c r="B519" s="1">
        <v>5999996.1710000001</v>
      </c>
      <c r="C519" s="1">
        <v>138.95080404388699</v>
      </c>
      <c r="D519" s="1">
        <f t="shared" si="91"/>
        <v>459.98697605975946</v>
      </c>
      <c r="E519" s="1">
        <v>0.01</v>
      </c>
      <c r="F519" s="1">
        <v>0.05</v>
      </c>
      <c r="G519" s="1">
        <v>0.1</v>
      </c>
      <c r="H519" s="1">
        <v>9.81</v>
      </c>
      <c r="I519" s="1">
        <v>2650</v>
      </c>
      <c r="J519" s="1">
        <v>1000</v>
      </c>
      <c r="K519" s="1">
        <v>1.65</v>
      </c>
      <c r="L519" s="1">
        <v>6.5</v>
      </c>
      <c r="M519" s="1">
        <v>2.5</v>
      </c>
      <c r="N519" s="6">
        <v>9.9999999999999995E-7</v>
      </c>
      <c r="O519" s="1">
        <f t="shared" si="87"/>
        <v>10.228563101333435</v>
      </c>
      <c r="P519" s="1">
        <f t="shared" si="88"/>
        <v>10.24381622597874</v>
      </c>
      <c r="Q519" s="1">
        <f t="shared" si="89"/>
        <v>10.23010950452392</v>
      </c>
      <c r="R519" s="1">
        <v>125.57909999999997</v>
      </c>
      <c r="S519" s="1" t="e">
        <f t="shared" si="90"/>
        <v>#N/A</v>
      </c>
      <c r="T519" s="1" t="e">
        <v>#N/A</v>
      </c>
    </row>
    <row r="520" spans="1:57" x14ac:dyDescent="0.35">
      <c r="A520" s="1">
        <v>500469.38780000003</v>
      </c>
      <c r="B520" s="1">
        <v>5999997.0719999997</v>
      </c>
      <c r="C520" s="1">
        <v>138.933110494517</v>
      </c>
      <c r="D520" s="1">
        <f t="shared" si="91"/>
        <v>470.23077700520622</v>
      </c>
      <c r="E520" s="1">
        <v>0.01</v>
      </c>
      <c r="F520" s="1">
        <v>0.05</v>
      </c>
      <c r="G520" s="1">
        <v>0.1</v>
      </c>
      <c r="H520" s="1">
        <v>9.81</v>
      </c>
      <c r="I520" s="1">
        <v>2650</v>
      </c>
      <c r="J520" s="1">
        <v>1000</v>
      </c>
      <c r="K520" s="1">
        <v>1.65</v>
      </c>
      <c r="L520" s="1">
        <v>6.5</v>
      </c>
      <c r="M520" s="1">
        <v>2.5</v>
      </c>
      <c r="N520" s="6">
        <v>9.9999999999999995E-7</v>
      </c>
      <c r="O520" s="1">
        <f t="shared" si="87"/>
        <v>10.235585469869676</v>
      </c>
      <c r="P520" s="1">
        <f t="shared" si="88"/>
        <v>14.038699271405504</v>
      </c>
      <c r="Q520" s="1">
        <f t="shared" si="89"/>
        <v>12.141257748692123</v>
      </c>
      <c r="R520" s="1">
        <v>125.57909999999997</v>
      </c>
      <c r="S520" s="1" t="e">
        <f t="shared" si="90"/>
        <v>#N/A</v>
      </c>
      <c r="T520" s="1" t="e">
        <v>#N/A</v>
      </c>
    </row>
    <row r="521" spans="1:57" x14ac:dyDescent="0.35">
      <c r="A521" s="1">
        <v>500479.59179999999</v>
      </c>
      <c r="B521" s="1">
        <v>5999997.7630000003</v>
      </c>
      <c r="C521" s="1">
        <v>148.55007364474301</v>
      </c>
      <c r="D521" s="1">
        <f t="shared" si="91"/>
        <v>480.45814699949881</v>
      </c>
      <c r="E521" s="1">
        <v>0.01</v>
      </c>
      <c r="F521" s="1">
        <v>0.05</v>
      </c>
      <c r="G521" s="1">
        <v>0.1</v>
      </c>
      <c r="H521" s="1">
        <v>9.81</v>
      </c>
      <c r="I521" s="1">
        <v>2650</v>
      </c>
      <c r="J521" s="1">
        <v>1000</v>
      </c>
      <c r="K521" s="1">
        <v>1.65</v>
      </c>
      <c r="L521" s="1">
        <v>6.5</v>
      </c>
      <c r="M521" s="1">
        <v>2.5</v>
      </c>
      <c r="N521" s="6">
        <v>9.9999999999999995E-7</v>
      </c>
      <c r="O521" s="1">
        <f t="shared" si="87"/>
        <v>10.217030880251457</v>
      </c>
      <c r="P521" s="1">
        <f t="shared" si="88"/>
        <v>10.496604105828091</v>
      </c>
      <c r="Q521" s="1">
        <f t="shared" si="89"/>
        <v>12.267651688616798</v>
      </c>
      <c r="R521" s="1">
        <v>125.57909999999997</v>
      </c>
      <c r="S521" s="1" t="e">
        <f t="shared" si="90"/>
        <v>#N/A</v>
      </c>
      <c r="T521" s="1" t="e">
        <v>#N/A</v>
      </c>
    </row>
    <row r="522" spans="1:57" x14ac:dyDescent="0.35">
      <c r="A522" s="1">
        <v>500489.79590000003</v>
      </c>
      <c r="B522" s="1">
        <v>5999997.9929999998</v>
      </c>
      <c r="C522" s="1">
        <v>146.10014692256101</v>
      </c>
      <c r="D522" s="1">
        <f t="shared" si="91"/>
        <v>490.66483876570913</v>
      </c>
      <c r="E522" s="1">
        <v>0.01</v>
      </c>
      <c r="F522" s="1">
        <v>0.05</v>
      </c>
      <c r="G522" s="1">
        <v>0.1</v>
      </c>
      <c r="H522" s="1">
        <v>9.81</v>
      </c>
      <c r="I522" s="1">
        <v>2650</v>
      </c>
      <c r="J522" s="1">
        <v>1000</v>
      </c>
      <c r="K522" s="1">
        <v>1.65</v>
      </c>
      <c r="L522" s="1">
        <v>6.5</v>
      </c>
      <c r="M522" s="1">
        <v>2.5</v>
      </c>
      <c r="N522" s="6">
        <v>9.9999999999999995E-7</v>
      </c>
      <c r="O522" s="1">
        <f t="shared" si="87"/>
        <v>10.209902888805345</v>
      </c>
      <c r="P522" s="1">
        <f t="shared" si="88"/>
        <v>10.652346301971106</v>
      </c>
      <c r="Q522" s="1">
        <f t="shared" si="89"/>
        <v>10.574475203899599</v>
      </c>
      <c r="R522" s="1">
        <v>125.57909999999997</v>
      </c>
      <c r="S522" s="1" t="e">
        <f t="shared" si="90"/>
        <v>#N/A</v>
      </c>
      <c r="T522" s="1" t="e">
        <v>#N/A</v>
      </c>
    </row>
    <row r="523" spans="1:57" x14ac:dyDescent="0.35">
      <c r="A523" s="1">
        <v>500500</v>
      </c>
      <c r="B523" s="1">
        <v>5999998.4220000003</v>
      </c>
      <c r="C523" s="1">
        <v>149.127486336511</v>
      </c>
      <c r="D523" s="1">
        <f t="shared" si="91"/>
        <v>500.8779527771095</v>
      </c>
      <c r="E523" s="1">
        <v>0.01</v>
      </c>
      <c r="F523" s="1">
        <v>0.05</v>
      </c>
      <c r="G523" s="1">
        <v>0.1</v>
      </c>
      <c r="H523" s="1">
        <v>9.81</v>
      </c>
      <c r="I523" s="1">
        <v>2650</v>
      </c>
      <c r="J523" s="1">
        <v>1000</v>
      </c>
      <c r="K523" s="1">
        <v>1.65</v>
      </c>
      <c r="L523" s="1">
        <v>6.5</v>
      </c>
      <c r="M523" s="1">
        <v>2.5</v>
      </c>
      <c r="N523" s="6">
        <v>9.9999999999999995E-7</v>
      </c>
      <c r="O523" s="1">
        <f xml:space="preserve"> (D523 - D522) / 2</f>
        <v>5.1065570057001821</v>
      </c>
    </row>
    <row r="525" spans="1:57" x14ac:dyDescent="0.35">
      <c r="A525" s="1" t="s">
        <v>0</v>
      </c>
      <c r="B525" s="1" t="s">
        <v>1</v>
      </c>
      <c r="C525" s="1" t="s">
        <v>2</v>
      </c>
      <c r="D525" s="1" t="s">
        <v>18</v>
      </c>
      <c r="E525" s="1" t="s">
        <v>67</v>
      </c>
      <c r="F525" s="1" t="s">
        <v>66</v>
      </c>
      <c r="G525" s="1" t="s">
        <v>65</v>
      </c>
      <c r="H525" s="1" t="s">
        <v>64</v>
      </c>
      <c r="I525" s="1" t="s">
        <v>63</v>
      </c>
      <c r="J525" s="1" t="s">
        <v>62</v>
      </c>
      <c r="K525" s="1" t="s">
        <v>61</v>
      </c>
      <c r="L525" s="1" t="s">
        <v>60</v>
      </c>
      <c r="M525" s="1" t="s">
        <v>59</v>
      </c>
      <c r="N525" s="1" t="s">
        <v>58</v>
      </c>
      <c r="O525" s="1" t="s">
        <v>57</v>
      </c>
      <c r="P525" s="1" t="s">
        <v>56</v>
      </c>
      <c r="Q525" s="1" t="s">
        <v>55</v>
      </c>
      <c r="R525" s="1" t="s">
        <v>54</v>
      </c>
      <c r="S525" s="1" t="s">
        <v>16</v>
      </c>
      <c r="T525" s="1" t="s">
        <v>53</v>
      </c>
      <c r="U525" s="10" t="s">
        <v>52</v>
      </c>
      <c r="V525" s="10" t="s">
        <v>51</v>
      </c>
      <c r="W525" s="10" t="s">
        <v>50</v>
      </c>
      <c r="X525" s="10" t="s">
        <v>49</v>
      </c>
      <c r="Y525" s="1" t="s">
        <v>48</v>
      </c>
      <c r="Z525" s="1" t="s">
        <v>47</v>
      </c>
      <c r="AA525" s="1" t="s">
        <v>46</v>
      </c>
      <c r="AB525" s="1" t="s">
        <v>45</v>
      </c>
      <c r="AC525" s="1" t="s">
        <v>44</v>
      </c>
      <c r="AD525" s="1" t="s">
        <v>43</v>
      </c>
      <c r="AE525" s="1" t="s">
        <v>42</v>
      </c>
      <c r="AF525" s="1" t="s">
        <v>41</v>
      </c>
      <c r="AG525" s="1" t="s">
        <v>40</v>
      </c>
      <c r="AH525" s="1" t="s">
        <v>39</v>
      </c>
      <c r="AI525" s="1" t="s">
        <v>38</v>
      </c>
      <c r="AJ525" s="1" t="s">
        <v>37</v>
      </c>
      <c r="AK525" s="1" t="s">
        <v>36</v>
      </c>
      <c r="AL525" s="1" t="s">
        <v>35</v>
      </c>
      <c r="AM525" s="1" t="s">
        <v>34</v>
      </c>
      <c r="AN525" s="1" t="s">
        <v>34</v>
      </c>
      <c r="AO525" s="7" t="s">
        <v>33</v>
      </c>
      <c r="AP525" s="7" t="s">
        <v>32</v>
      </c>
      <c r="AQ525" s="7" t="s">
        <v>31</v>
      </c>
      <c r="AR525" s="7" t="s">
        <v>30</v>
      </c>
      <c r="AS525" s="7" t="s">
        <v>29</v>
      </c>
      <c r="AT525" s="7" t="s">
        <v>28</v>
      </c>
      <c r="AU525" s="7" t="s">
        <v>27</v>
      </c>
      <c r="AV525" s="7" t="s">
        <v>27</v>
      </c>
      <c r="AW525" s="1" t="s">
        <v>26</v>
      </c>
      <c r="AX525" s="1" t="s">
        <v>25</v>
      </c>
      <c r="AY525" s="1" t="s">
        <v>24</v>
      </c>
      <c r="AZ525" s="1" t="s">
        <v>23</v>
      </c>
      <c r="BA525" s="1" t="s">
        <v>22</v>
      </c>
      <c r="BB525" s="1" t="s">
        <v>21</v>
      </c>
      <c r="BC525" s="1" t="s">
        <v>20</v>
      </c>
      <c r="BD525" s="1" t="s">
        <v>20</v>
      </c>
      <c r="BE525" s="1" t="s">
        <v>19</v>
      </c>
    </row>
    <row r="526" spans="1:57" x14ac:dyDescent="0.35">
      <c r="A526" s="1">
        <v>500000</v>
      </c>
      <c r="B526" s="1">
        <v>5999999.0959999999</v>
      </c>
      <c r="C526" s="1">
        <v>146.95665459614199</v>
      </c>
      <c r="D526" s="1">
        <v>0</v>
      </c>
      <c r="E526" s="1">
        <v>0.01</v>
      </c>
      <c r="F526" s="1">
        <v>0.05</v>
      </c>
      <c r="G526" s="1">
        <v>0.1</v>
      </c>
      <c r="H526" s="1">
        <v>9.81</v>
      </c>
      <c r="I526" s="1">
        <v>2650</v>
      </c>
      <c r="J526" s="1">
        <v>1000</v>
      </c>
      <c r="K526" s="1">
        <v>1.65</v>
      </c>
      <c r="L526" s="1">
        <v>6.5</v>
      </c>
      <c r="M526" s="1">
        <v>2.5</v>
      </c>
      <c r="N526" s="6">
        <v>9.9999999999999995E-7</v>
      </c>
      <c r="O526" s="1">
        <f xml:space="preserve"> (D527 - D526) / 2</f>
        <v>5.1061868798967165</v>
      </c>
      <c r="P526" s="1">
        <f t="shared" ref="P526:P557" si="92">SQRT((D527 - D526)^2 + (C527 - C526)^2)</f>
        <v>12.612081347143071</v>
      </c>
      <c r="Q526" s="1">
        <f t="shared" ref="Q526:Q557" si="93">IF(ROW()=526, P526/2, (P526 + P525)/2)</f>
        <v>6.3060406735715357</v>
      </c>
      <c r="R526" s="1">
        <v>125.62909999999997</v>
      </c>
      <c r="S526" s="1" t="e">
        <f t="shared" ref="S526:S557" si="94">IF(R526 - C526 &lt; 0, NA(), R526 - C526)</f>
        <v>#N/A</v>
      </c>
      <c r="T526" s="1" t="e">
        <v>#N/A</v>
      </c>
      <c r="U526" s="10" cm="1">
        <f t="array" ref="U526">SUMPRODUCT(IF(ISNA(T526:T575), 0, T526:T575), IF(ISNA(O526:O575), 0, O526:O575))</f>
        <v>6.132251021136133</v>
      </c>
      <c r="V526" s="10">
        <f>SUMIF(S526:S575, "&gt;0", O526:O575)</f>
        <v>10.221049857319429</v>
      </c>
      <c r="W526" s="10">
        <f>SUMIF(S526:S575, "&gt;0", Q526:Q575)</f>
        <v>10.577000852837193</v>
      </c>
      <c r="X526" s="10">
        <f>U526/W526</f>
        <v>0.57977219690695281</v>
      </c>
      <c r="Y526" s="1">
        <f xml:space="preserve"> (6.5 * 2.5 * (X526 / G526)) / SQRT(6.5^2 + 2.5^2 * (X526 / G526)^(5/3))</f>
        <v>7.4670359479426782</v>
      </c>
      <c r="Z526" s="1">
        <f>Y526*SQRT(X526*H526*E526)</f>
        <v>1.7807847925057854</v>
      </c>
      <c r="AA526" s="1">
        <f>J526*H526*X526*E526</f>
        <v>56.875652516572075</v>
      </c>
      <c r="AB526" s="1">
        <f>(AA526 / (9.81 * 1000 *1.65 * F526))</f>
        <v>7.027541780690337E-2</v>
      </c>
      <c r="AC526" s="9">
        <f xml:space="preserve"> F526 * (K526 * H526 / (N526)^2)^(1/3)</f>
        <v>1264.7974700106745</v>
      </c>
      <c r="AD526" s="1">
        <f xml:space="preserve"> 0.3 / (1 + 1.2 * AC526) + 0.055 * (1 - EXP(-0.02 * AC526))</f>
        <v>5.5197529957883754E-2</v>
      </c>
      <c r="AE526" s="1">
        <f>IF(AC526 &lt;= 4, 0.24 * AC526^-1, IF(AC526 &gt; 4, IF(AC526 &lt;= 10, 0.14 * AC526^-0.64, IF(AC526 &lt;= 20, 0.04 * AC526^-0.1, IF(AC526 &lt;= 150, 0.013 * AC526^0.29, 0.056)))))</f>
        <v>5.6000000000000001E-2</v>
      </c>
      <c r="AF526" s="1">
        <f>AB526/AD526-1</f>
        <v>0.27316236542693462</v>
      </c>
      <c r="AG526" s="1">
        <f xml:space="preserve"> 2.45 * SQRT(AD526) / (K526 + 1)^0.4</f>
        <v>0.38978718496890047</v>
      </c>
      <c r="AH526" s="1">
        <f>SQRT(2/3 + 36 / AC526^3) - SQRT(36 / AC526^3)</f>
        <v>0.81636320289979147</v>
      </c>
      <c r="AI526" s="1">
        <f>AA526* Z526 / (J526 * (H526* K526 * F526)^(3/2))</f>
        <v>0.13910841316092729</v>
      </c>
      <c r="AJ526" s="1">
        <f>AD526* K526 * F526 / E526</f>
        <v>0.45537962215254096</v>
      </c>
      <c r="AK526" s="1">
        <f>Y526 * AD526^(3/2)</f>
        <v>9.6833963418443136E-2</v>
      </c>
      <c r="AL526" s="1">
        <f>(0.92 - 0.25 * SQRT(AK526 / AI526))^9</f>
        <v>4.6679130181480906E-2</v>
      </c>
      <c r="AM526" s="1">
        <v>5.2759527000000001E-2</v>
      </c>
      <c r="AN526" s="1">
        <v>4.7434165E-2</v>
      </c>
      <c r="AO526" s="7">
        <f>IF(AB526 &gt; 0.047, 8 * (AB526 - 0.047)^(3/2), 0)</f>
        <v>2.8407709313276484E-2</v>
      </c>
      <c r="AP526" s="7">
        <f>IF(AB526&gt; 0.047, 4 * (AB526 - 0.047)^(3/2), 0)</f>
        <v>1.4203854656638242E-2</v>
      </c>
      <c r="AQ526" s="7">
        <f xml:space="preserve"> (0.053 / AC526^(0.3)) * ((AB526 / AE526) - 1)^2.1</f>
        <v>3.5246115082962276E-4</v>
      </c>
      <c r="AR526" s="7">
        <f xml:space="preserve"> IF(AB526 &gt; AD526, 0.635 * AF526 * SQRT(AB526) * (1 - (1 / (AG526*AF526)) * LOG(1 + AF526*AG526)), 0)</f>
        <v>2.7006026411969981E-2</v>
      </c>
      <c r="AS526" s="8">
        <f>IF(AB526&gt;= 0.19, 40 * AH526 * AB526^3, (AH526 * EXP(-0.391 / AB526)) / 0.465)</f>
        <v>6.7312040174369731E-3</v>
      </c>
      <c r="AT526" s="7">
        <f>AL526* AI526</f>
        <v>6.4934597272781561E-3</v>
      </c>
      <c r="AU526" s="7">
        <f>14 * AB526^2.5 / (1 + (AM526/AB526)^4)</f>
        <v>1.3909985691632449E-2</v>
      </c>
      <c r="AV526" s="7">
        <f>14*AB526^2.5/(1+(AN526/AB526)^4)</f>
        <v>1.5178421040435165E-2</v>
      </c>
      <c r="AW526" s="1">
        <f>AO526*SQRT(1.65*9.81*F526^3)</f>
        <v>1.2778141635339428E-3</v>
      </c>
      <c r="AX526" s="1">
        <f>AP526*SQRT(1.65*9.81*F526^3)</f>
        <v>6.3890708176697142E-4</v>
      </c>
      <c r="AY526" s="1">
        <f>AQ526*SQRT(1.65*9.81*F526^3)</f>
        <v>1.5854141763379631E-5</v>
      </c>
      <c r="AZ526" s="1">
        <f>AR526*SQRT(1.65*9.81*F526^3)</f>
        <v>1.214764720007156E-3</v>
      </c>
      <c r="BA526" s="1">
        <f>AS526*SQRT(1.65*9.81*F526^3)</f>
        <v>3.027779444046097E-4</v>
      </c>
      <c r="BB526" s="1">
        <f>AT526*SQRT(1.65*9.81*F526^3)</f>
        <v>2.920839099819792E-4</v>
      </c>
      <c r="BC526" s="1">
        <f>AU526*SQRT(1.65*9.81*G526^3)</f>
        <v>1.7697142954372002E-3</v>
      </c>
      <c r="BD526" s="1">
        <f>AV526*SQRT(1.65*9.81*G526^3)</f>
        <v>1.9310924750685697E-3</v>
      </c>
      <c r="BE526" s="1">
        <f>U526*Z526</f>
        <v>10.920219362267298</v>
      </c>
    </row>
    <row r="527" spans="1:57" x14ac:dyDescent="0.35">
      <c r="A527" s="1">
        <v>500010.20409999997</v>
      </c>
      <c r="B527" s="1">
        <v>5999998.6849999996</v>
      </c>
      <c r="C527" s="1">
        <v>154.35746658519</v>
      </c>
      <c r="D527" s="1">
        <f t="shared" ref="D527:D558" si="95">D526 + SQRT((A527 - A526)^2 + (B527 - B526)^2)</f>
        <v>10.212373759793433</v>
      </c>
      <c r="E527" s="1">
        <v>0.01</v>
      </c>
      <c r="F527" s="1">
        <v>0.05</v>
      </c>
      <c r="G527" s="1">
        <v>0.1</v>
      </c>
      <c r="H527" s="1">
        <v>9.81</v>
      </c>
      <c r="I527" s="1">
        <v>2650</v>
      </c>
      <c r="J527" s="1">
        <v>1000</v>
      </c>
      <c r="K527" s="1">
        <v>1.65</v>
      </c>
      <c r="L527" s="1">
        <v>6.5</v>
      </c>
      <c r="M527" s="1">
        <v>2.5</v>
      </c>
      <c r="N527" s="6">
        <v>9.9999999999999995E-7</v>
      </c>
      <c r="O527" s="1">
        <f t="shared" ref="O527:O574" si="96" xml:space="preserve"> (D528 - D527 + D527 - D526) / 2</f>
        <v>10.212934886473896</v>
      </c>
      <c r="P527" s="1">
        <f t="shared" si="92"/>
        <v>10.748393624242958</v>
      </c>
      <c r="Q527" s="1">
        <f t="shared" si="93"/>
        <v>11.680237485693015</v>
      </c>
      <c r="R527" s="1">
        <v>125.62909999999997</v>
      </c>
      <c r="S527" s="1" t="e">
        <f t="shared" si="94"/>
        <v>#N/A</v>
      </c>
      <c r="T527" s="1" t="e">
        <v>#N/A</v>
      </c>
      <c r="AO527" s="7"/>
      <c r="AP527" s="7"/>
      <c r="AQ527" s="7"/>
      <c r="AR527" s="7"/>
      <c r="AS527" s="7"/>
      <c r="AT527" s="7"/>
      <c r="AU527" s="7"/>
      <c r="AV527" s="7"/>
    </row>
    <row r="528" spans="1:57" x14ac:dyDescent="0.35">
      <c r="A528" s="1">
        <v>500020.40820000001</v>
      </c>
      <c r="B528" s="1">
        <v>5999999.1229999997</v>
      </c>
      <c r="C528" s="1">
        <v>151.008964727501</v>
      </c>
      <c r="D528" s="1">
        <f t="shared" si="95"/>
        <v>20.425869772947792</v>
      </c>
      <c r="E528" s="1">
        <v>0.01</v>
      </c>
      <c r="F528" s="1">
        <v>0.05</v>
      </c>
      <c r="G528" s="1">
        <v>0.1</v>
      </c>
      <c r="H528" s="1">
        <v>9.81</v>
      </c>
      <c r="I528" s="1">
        <v>2650</v>
      </c>
      <c r="J528" s="1">
        <v>1000</v>
      </c>
      <c r="K528" s="1">
        <v>1.65</v>
      </c>
      <c r="L528" s="1">
        <v>6.5</v>
      </c>
      <c r="M528" s="1">
        <v>2.5</v>
      </c>
      <c r="N528" s="6">
        <v>9.9999999999999995E-7</v>
      </c>
      <c r="O528" s="1">
        <f t="shared" si="96"/>
        <v>10.21125621009096</v>
      </c>
      <c r="P528" s="1">
        <f t="shared" si="92"/>
        <v>13.985433799960637</v>
      </c>
      <c r="Q528" s="1">
        <f t="shared" si="93"/>
        <v>12.366913712101798</v>
      </c>
      <c r="R528" s="1">
        <v>125.62909999999997</v>
      </c>
      <c r="S528" s="1" t="e">
        <f t="shared" si="94"/>
        <v>#N/A</v>
      </c>
      <c r="T528" s="1" t="e">
        <v>#N/A</v>
      </c>
    </row>
    <row r="529" spans="1:20" x14ac:dyDescent="0.35">
      <c r="A529" s="1">
        <v>500030.61219999997</v>
      </c>
      <c r="B529" s="1">
        <v>5999998.8030000003</v>
      </c>
      <c r="C529" s="1">
        <v>160.567643641144</v>
      </c>
      <c r="D529" s="1">
        <f t="shared" si="95"/>
        <v>30.634886179975354</v>
      </c>
      <c r="E529" s="1">
        <v>0.01</v>
      </c>
      <c r="F529" s="1">
        <v>0.05</v>
      </c>
      <c r="G529" s="1">
        <v>0.1</v>
      </c>
      <c r="H529" s="1">
        <v>9.81</v>
      </c>
      <c r="I529" s="1">
        <v>2650</v>
      </c>
      <c r="J529" s="1">
        <v>1000</v>
      </c>
      <c r="K529" s="1">
        <v>1.65</v>
      </c>
      <c r="L529" s="1">
        <v>6.5</v>
      </c>
      <c r="M529" s="1">
        <v>2.5</v>
      </c>
      <c r="N529" s="6">
        <v>9.9999999999999995E-7</v>
      </c>
      <c r="O529" s="1">
        <f t="shared" si="96"/>
        <v>10.214935822867286</v>
      </c>
      <c r="P529" s="1">
        <f t="shared" si="92"/>
        <v>10.224042445454263</v>
      </c>
      <c r="Q529" s="1">
        <f t="shared" si="93"/>
        <v>12.104738122707449</v>
      </c>
      <c r="R529" s="1">
        <v>125.62909999999997</v>
      </c>
      <c r="S529" s="1" t="e">
        <f t="shared" si="94"/>
        <v>#N/A</v>
      </c>
      <c r="T529" s="1" t="e">
        <v>#N/A</v>
      </c>
    </row>
    <row r="530" spans="1:20" x14ac:dyDescent="0.35">
      <c r="A530" s="1">
        <v>500040.81630000001</v>
      </c>
      <c r="B530" s="1">
        <v>5999998.2180000003</v>
      </c>
      <c r="C530" s="1">
        <v>160.82291235416201</v>
      </c>
      <c r="D530" s="1">
        <f t="shared" si="95"/>
        <v>40.855741418682364</v>
      </c>
      <c r="E530" s="1">
        <v>0.01</v>
      </c>
      <c r="F530" s="1">
        <v>0.05</v>
      </c>
      <c r="G530" s="1">
        <v>0.1</v>
      </c>
      <c r="H530" s="1">
        <v>9.81</v>
      </c>
      <c r="I530" s="1">
        <v>2650</v>
      </c>
      <c r="J530" s="1">
        <v>1000</v>
      </c>
      <c r="K530" s="1">
        <v>1.65</v>
      </c>
      <c r="L530" s="1">
        <v>6.5</v>
      </c>
      <c r="M530" s="1">
        <v>2.5</v>
      </c>
      <c r="N530" s="6">
        <v>9.9999999999999995E-7</v>
      </c>
      <c r="O530" s="1">
        <f t="shared" si="96"/>
        <v>10.231243785008825</v>
      </c>
      <c r="P530" s="1">
        <f t="shared" si="92"/>
        <v>10.333484931908488</v>
      </c>
      <c r="Q530" s="1">
        <f t="shared" si="93"/>
        <v>10.278763688681376</v>
      </c>
      <c r="R530" s="1">
        <v>125.62909999999997</v>
      </c>
      <c r="S530" s="1" t="e">
        <f t="shared" si="94"/>
        <v>#N/A</v>
      </c>
      <c r="T530" s="1" t="e">
        <v>#N/A</v>
      </c>
    </row>
    <row r="531" spans="1:20" x14ac:dyDescent="0.35">
      <c r="A531" s="1">
        <v>500051.02039999998</v>
      </c>
      <c r="B531" s="1">
        <v>5999997.3420000002</v>
      </c>
      <c r="C531" s="1">
        <v>159.448184007094</v>
      </c>
      <c r="D531" s="1">
        <f t="shared" si="95"/>
        <v>51.097373749993004</v>
      </c>
      <c r="E531" s="1">
        <v>0.01</v>
      </c>
      <c r="F531" s="1">
        <v>0.05</v>
      </c>
      <c r="G531" s="1">
        <v>0.1</v>
      </c>
      <c r="H531" s="1">
        <v>9.81</v>
      </c>
      <c r="I531" s="1">
        <v>2650</v>
      </c>
      <c r="J531" s="1">
        <v>1000</v>
      </c>
      <c r="K531" s="1">
        <v>1.65</v>
      </c>
      <c r="L531" s="1">
        <v>6.5</v>
      </c>
      <c r="M531" s="1">
        <v>2.5</v>
      </c>
      <c r="N531" s="6">
        <v>9.9999999999999995E-7</v>
      </c>
      <c r="O531" s="1">
        <f t="shared" si="96"/>
        <v>10.22297614478725</v>
      </c>
      <c r="P531" s="1">
        <f t="shared" si="92"/>
        <v>11.164078602095582</v>
      </c>
      <c r="Q531" s="1">
        <f t="shared" si="93"/>
        <v>10.748781767002036</v>
      </c>
      <c r="R531" s="1">
        <v>125.62909999999997</v>
      </c>
      <c r="S531" s="1" t="e">
        <f t="shared" si="94"/>
        <v>#N/A</v>
      </c>
      <c r="T531" s="1" t="e">
        <v>#N/A</v>
      </c>
    </row>
    <row r="532" spans="1:20" x14ac:dyDescent="0.35">
      <c r="A532" s="1">
        <v>500061.22450000001</v>
      </c>
      <c r="B532" s="1">
        <v>5999997.2750000004</v>
      </c>
      <c r="C532" s="1">
        <v>163.976815723534</v>
      </c>
      <c r="D532" s="1">
        <f t="shared" si="95"/>
        <v>61.301693708256863</v>
      </c>
      <c r="E532" s="1">
        <v>0.01</v>
      </c>
      <c r="F532" s="1">
        <v>0.05</v>
      </c>
      <c r="G532" s="1">
        <v>0.1</v>
      </c>
      <c r="H532" s="1">
        <v>9.81</v>
      </c>
      <c r="I532" s="1">
        <v>2650</v>
      </c>
      <c r="J532" s="1">
        <v>1000</v>
      </c>
      <c r="K532" s="1">
        <v>1.65</v>
      </c>
      <c r="L532" s="1">
        <v>6.5</v>
      </c>
      <c r="M532" s="1">
        <v>2.5</v>
      </c>
      <c r="N532" s="6">
        <v>9.9999999999999995E-7</v>
      </c>
      <c r="O532" s="1">
        <f t="shared" si="96"/>
        <v>10.209391538632293</v>
      </c>
      <c r="P532" s="1">
        <f t="shared" si="92"/>
        <v>11.034750060361873</v>
      </c>
      <c r="Q532" s="1">
        <f t="shared" si="93"/>
        <v>11.099414331228727</v>
      </c>
      <c r="R532" s="1">
        <v>125.62909999999997</v>
      </c>
      <c r="S532" s="1" t="e">
        <f t="shared" si="94"/>
        <v>#N/A</v>
      </c>
      <c r="T532" s="1" t="e">
        <v>#N/A</v>
      </c>
    </row>
    <row r="533" spans="1:20" x14ac:dyDescent="0.35">
      <c r="A533" s="1">
        <v>500071.42859999998</v>
      </c>
      <c r="B533" s="1">
        <v>5999996.8150000004</v>
      </c>
      <c r="C533" s="1">
        <v>168.15179501512699</v>
      </c>
      <c r="D533" s="1">
        <f t="shared" si="95"/>
        <v>71.516156827257589</v>
      </c>
      <c r="E533" s="1">
        <v>0.01</v>
      </c>
      <c r="F533" s="1">
        <v>0.05</v>
      </c>
      <c r="G533" s="1">
        <v>0.1</v>
      </c>
      <c r="H533" s="1">
        <v>9.81</v>
      </c>
      <c r="I533" s="1">
        <v>2650</v>
      </c>
      <c r="J533" s="1">
        <v>1000</v>
      </c>
      <c r="K533" s="1">
        <v>1.65</v>
      </c>
      <c r="L533" s="1">
        <v>6.5</v>
      </c>
      <c r="M533" s="1">
        <v>2.5</v>
      </c>
      <c r="N533" s="6">
        <v>9.9999999999999995E-7</v>
      </c>
      <c r="O533" s="1">
        <f t="shared" si="96"/>
        <v>10.229976351370027</v>
      </c>
      <c r="P533" s="1">
        <f t="shared" si="92"/>
        <v>11.687505241745082</v>
      </c>
      <c r="Q533" s="1">
        <f t="shared" si="93"/>
        <v>11.361127651053478</v>
      </c>
      <c r="R533" s="1">
        <v>125.62909999999997</v>
      </c>
      <c r="S533" s="1" t="e">
        <f t="shared" si="94"/>
        <v>#N/A</v>
      </c>
      <c r="T533" s="1" t="e">
        <v>#N/A</v>
      </c>
    </row>
    <row r="534" spans="1:20" x14ac:dyDescent="0.35">
      <c r="A534" s="1">
        <v>500081.63270000002</v>
      </c>
      <c r="B534" s="1">
        <v>5999997.7350000003</v>
      </c>
      <c r="C534" s="1">
        <v>162.52794206849799</v>
      </c>
      <c r="D534" s="1">
        <f t="shared" si="95"/>
        <v>81.761646410996917</v>
      </c>
      <c r="E534" s="1">
        <v>0.01</v>
      </c>
      <c r="F534" s="1">
        <v>0.05</v>
      </c>
      <c r="G534" s="1">
        <v>0.1</v>
      </c>
      <c r="H534" s="1">
        <v>9.81</v>
      </c>
      <c r="I534" s="1">
        <v>2650</v>
      </c>
      <c r="J534" s="1">
        <v>1000</v>
      </c>
      <c r="K534" s="1">
        <v>1.65</v>
      </c>
      <c r="L534" s="1">
        <v>6.5</v>
      </c>
      <c r="M534" s="1">
        <v>2.5</v>
      </c>
      <c r="N534" s="6">
        <v>9.9999999999999995E-7</v>
      </c>
      <c r="O534" s="1">
        <f t="shared" si="96"/>
        <v>10.224765396477437</v>
      </c>
      <c r="P534" s="1">
        <f t="shared" si="92"/>
        <v>11.652977208096294</v>
      </c>
      <c r="Q534" s="1">
        <f t="shared" si="93"/>
        <v>11.670241224920687</v>
      </c>
      <c r="R534" s="1">
        <v>125.62909999999997</v>
      </c>
      <c r="S534" s="1" t="e">
        <f t="shared" si="94"/>
        <v>#N/A</v>
      </c>
      <c r="T534" s="1" t="e">
        <v>#N/A</v>
      </c>
    </row>
    <row r="535" spans="1:20" x14ac:dyDescent="0.35">
      <c r="A535" s="1">
        <v>500091.83669999999</v>
      </c>
      <c r="B535" s="1">
        <v>5999997.7640000004</v>
      </c>
      <c r="C535" s="1">
        <v>168.15550111421601</v>
      </c>
      <c r="D535" s="1">
        <f t="shared" si="95"/>
        <v>91.965687620212464</v>
      </c>
      <c r="E535" s="1">
        <v>0.01</v>
      </c>
      <c r="F535" s="1">
        <v>0.05</v>
      </c>
      <c r="G535" s="1">
        <v>0.1</v>
      </c>
      <c r="H535" s="1">
        <v>9.81</v>
      </c>
      <c r="I535" s="1">
        <v>2650</v>
      </c>
      <c r="J535" s="1">
        <v>1000</v>
      </c>
      <c r="K535" s="1">
        <v>1.65</v>
      </c>
      <c r="L535" s="1">
        <v>6.5</v>
      </c>
      <c r="M535" s="1">
        <v>2.5</v>
      </c>
      <c r="N535" s="6">
        <v>9.9999999999999995E-7</v>
      </c>
      <c r="O535" s="1">
        <f t="shared" si="96"/>
        <v>10.204607223431253</v>
      </c>
      <c r="P535" s="1">
        <f t="shared" si="92"/>
        <v>10.499401533865951</v>
      </c>
      <c r="Q535" s="1">
        <f t="shared" si="93"/>
        <v>11.076189370981123</v>
      </c>
      <c r="R535" s="1">
        <v>125.62909999999997</v>
      </c>
      <c r="S535" s="1" t="e">
        <f t="shared" si="94"/>
        <v>#N/A</v>
      </c>
      <c r="T535" s="1" t="e">
        <v>#N/A</v>
      </c>
    </row>
    <row r="536" spans="1:20" x14ac:dyDescent="0.35">
      <c r="A536" s="1">
        <v>500102.04080000002</v>
      </c>
      <c r="B536" s="1">
        <v>5999997.9119999995</v>
      </c>
      <c r="C536" s="1">
        <v>170.62367285843499</v>
      </c>
      <c r="D536" s="1">
        <f t="shared" si="95"/>
        <v>102.17086085785942</v>
      </c>
      <c r="E536" s="1">
        <v>0.01</v>
      </c>
      <c r="F536" s="1">
        <v>0.05</v>
      </c>
      <c r="G536" s="1">
        <v>0.1</v>
      </c>
      <c r="H536" s="1">
        <v>9.81</v>
      </c>
      <c r="I536" s="1">
        <v>2650</v>
      </c>
      <c r="J536" s="1">
        <v>1000</v>
      </c>
      <c r="K536" s="1">
        <v>1.65</v>
      </c>
      <c r="L536" s="1">
        <v>6.5</v>
      </c>
      <c r="M536" s="1">
        <v>2.5</v>
      </c>
      <c r="N536" s="6">
        <v>9.9999999999999995E-7</v>
      </c>
      <c r="O536" s="1">
        <f t="shared" si="96"/>
        <v>10.21006882166494</v>
      </c>
      <c r="P536" s="1">
        <f t="shared" si="92"/>
        <v>10.948230205101877</v>
      </c>
      <c r="Q536" s="1">
        <f t="shared" si="93"/>
        <v>10.723815869483914</v>
      </c>
      <c r="R536" s="1">
        <v>125.62909999999997</v>
      </c>
      <c r="S536" s="1" t="e">
        <f t="shared" si="94"/>
        <v>#N/A</v>
      </c>
      <c r="T536" s="1" t="e">
        <v>#N/A</v>
      </c>
    </row>
    <row r="537" spans="1:20" x14ac:dyDescent="0.35">
      <c r="A537" s="1">
        <v>500112.24489999999</v>
      </c>
      <c r="B537" s="1">
        <v>5999997.4409999996</v>
      </c>
      <c r="C537" s="1">
        <v>174.56299346160199</v>
      </c>
      <c r="D537" s="1">
        <f t="shared" si="95"/>
        <v>112.38582526354234</v>
      </c>
      <c r="E537" s="1">
        <v>0.01</v>
      </c>
      <c r="F537" s="1">
        <v>0.05</v>
      </c>
      <c r="G537" s="1">
        <v>0.1</v>
      </c>
      <c r="H537" s="1">
        <v>9.81</v>
      </c>
      <c r="I537" s="1">
        <v>2650</v>
      </c>
      <c r="J537" s="1">
        <v>1000</v>
      </c>
      <c r="K537" s="1">
        <v>1.65</v>
      </c>
      <c r="L537" s="1">
        <v>6.5</v>
      </c>
      <c r="M537" s="1">
        <v>2.5</v>
      </c>
      <c r="N537" s="6">
        <v>9.9999999999999995E-7</v>
      </c>
      <c r="O537" s="1">
        <f t="shared" si="96"/>
        <v>10.211692861963954</v>
      </c>
      <c r="P537" s="1">
        <f t="shared" si="92"/>
        <v>13.530011313683339</v>
      </c>
      <c r="Q537" s="1">
        <f t="shared" si="93"/>
        <v>12.239120759392609</v>
      </c>
      <c r="R537" s="1">
        <v>125.62909999999997</v>
      </c>
      <c r="S537" s="1" t="e">
        <f t="shared" si="94"/>
        <v>#N/A</v>
      </c>
      <c r="T537" s="1" t="e">
        <v>#N/A</v>
      </c>
    </row>
    <row r="538" spans="1:20" x14ac:dyDescent="0.35">
      <c r="A538" s="1">
        <v>500122.44900000002</v>
      </c>
      <c r="B538" s="1">
        <v>5999997.7379999999</v>
      </c>
      <c r="C538" s="1">
        <v>165.68327835707299</v>
      </c>
      <c r="D538" s="1">
        <f t="shared" si="95"/>
        <v>122.59424658178733</v>
      </c>
      <c r="E538" s="1">
        <v>0.01</v>
      </c>
      <c r="F538" s="1">
        <v>0.05</v>
      </c>
      <c r="G538" s="1">
        <v>0.1</v>
      </c>
      <c r="H538" s="1">
        <v>9.81</v>
      </c>
      <c r="I538" s="1">
        <v>2650</v>
      </c>
      <c r="J538" s="1">
        <v>1000</v>
      </c>
      <c r="K538" s="1">
        <v>1.65</v>
      </c>
      <c r="L538" s="1">
        <v>6.5</v>
      </c>
      <c r="M538" s="1">
        <v>2.5</v>
      </c>
      <c r="N538" s="6">
        <v>9.9999999999999995E-7</v>
      </c>
      <c r="O538" s="1">
        <f t="shared" si="96"/>
        <v>10.212455607463802</v>
      </c>
      <c r="P538" s="1">
        <f t="shared" si="92"/>
        <v>12.917030195420445</v>
      </c>
      <c r="Q538" s="1">
        <f t="shared" si="93"/>
        <v>13.223520754551892</v>
      </c>
      <c r="R538" s="1">
        <v>125.62909999999997</v>
      </c>
      <c r="S538" s="1" t="e">
        <f t="shared" si="94"/>
        <v>#N/A</v>
      </c>
      <c r="T538" s="1" t="e">
        <v>#N/A</v>
      </c>
    </row>
    <row r="539" spans="1:20" x14ac:dyDescent="0.35">
      <c r="A539" s="1">
        <v>500132.6531</v>
      </c>
      <c r="B539" s="1">
        <v>5999997.2350000003</v>
      </c>
      <c r="C539" s="1">
        <v>173.58726489934301</v>
      </c>
      <c r="D539" s="1">
        <f t="shared" si="95"/>
        <v>132.81073647846995</v>
      </c>
      <c r="E539" s="1">
        <v>0.01</v>
      </c>
      <c r="F539" s="1">
        <v>0.05</v>
      </c>
      <c r="G539" s="1">
        <v>0.1</v>
      </c>
      <c r="H539" s="1">
        <v>9.81</v>
      </c>
      <c r="I539" s="1">
        <v>2650</v>
      </c>
      <c r="J539" s="1">
        <v>1000</v>
      </c>
      <c r="K539" s="1">
        <v>1.65</v>
      </c>
      <c r="L539" s="1">
        <v>6.5</v>
      </c>
      <c r="M539" s="1">
        <v>2.5</v>
      </c>
      <c r="N539" s="6">
        <v>9.9999999999999995E-7</v>
      </c>
      <c r="O539" s="1">
        <f t="shared" si="96"/>
        <v>10.225512676353247</v>
      </c>
      <c r="P539" s="1">
        <f t="shared" si="92"/>
        <v>13.492945518552009</v>
      </c>
      <c r="Q539" s="1">
        <f t="shared" si="93"/>
        <v>13.204987856986227</v>
      </c>
      <c r="R539" s="1">
        <v>125.62909999999997</v>
      </c>
      <c r="S539" s="1" t="e">
        <f t="shared" si="94"/>
        <v>#N/A</v>
      </c>
      <c r="T539" s="1" t="e">
        <v>#N/A</v>
      </c>
    </row>
    <row r="540" spans="1:20" x14ac:dyDescent="0.35">
      <c r="A540" s="1">
        <v>500142.85710000002</v>
      </c>
      <c r="B540" s="1">
        <v>5999996.4450000003</v>
      </c>
      <c r="C540" s="1">
        <v>164.79443470844299</v>
      </c>
      <c r="D540" s="1">
        <f t="shared" si="95"/>
        <v>143.04527193449383</v>
      </c>
      <c r="E540" s="1">
        <v>0.01</v>
      </c>
      <c r="F540" s="1">
        <v>0.05</v>
      </c>
      <c r="G540" s="1">
        <v>0.1</v>
      </c>
      <c r="H540" s="1">
        <v>9.81</v>
      </c>
      <c r="I540" s="1">
        <v>2650</v>
      </c>
      <c r="J540" s="1">
        <v>1000</v>
      </c>
      <c r="K540" s="1">
        <v>1.65</v>
      </c>
      <c r="L540" s="1">
        <v>6.5</v>
      </c>
      <c r="M540" s="1">
        <v>2.5</v>
      </c>
      <c r="N540" s="6">
        <v>9.9999999999999995E-7</v>
      </c>
      <c r="O540" s="1">
        <f t="shared" si="96"/>
        <v>10.219577641411078</v>
      </c>
      <c r="P540" s="1">
        <f t="shared" si="92"/>
        <v>10.57052865269438</v>
      </c>
      <c r="Q540" s="1">
        <f t="shared" si="93"/>
        <v>12.031737085623195</v>
      </c>
      <c r="R540" s="1">
        <v>125.62909999999997</v>
      </c>
      <c r="S540" s="1" t="e">
        <f t="shared" si="94"/>
        <v>#N/A</v>
      </c>
      <c r="T540" s="1" t="e">
        <v>#N/A</v>
      </c>
    </row>
    <row r="541" spans="1:20" x14ac:dyDescent="0.35">
      <c r="A541" s="1">
        <v>500153.0612</v>
      </c>
      <c r="B541" s="1">
        <v>5999996.5480000004</v>
      </c>
      <c r="C541" s="1">
        <v>167.55157275140499</v>
      </c>
      <c r="D541" s="1">
        <f t="shared" si="95"/>
        <v>153.2498917612921</v>
      </c>
      <c r="E541" s="1">
        <v>0.01</v>
      </c>
      <c r="F541" s="1">
        <v>0.05</v>
      </c>
      <c r="G541" s="1">
        <v>0.1</v>
      </c>
      <c r="H541" s="1">
        <v>9.81</v>
      </c>
      <c r="I541" s="1">
        <v>2650</v>
      </c>
      <c r="J541" s="1">
        <v>1000</v>
      </c>
      <c r="K541" s="1">
        <v>1.65</v>
      </c>
      <c r="L541" s="1">
        <v>6.5</v>
      </c>
      <c r="M541" s="1">
        <v>2.5</v>
      </c>
      <c r="N541" s="6">
        <v>9.9999999999999995E-7</v>
      </c>
      <c r="O541" s="1">
        <f t="shared" si="96"/>
        <v>10.204940921281036</v>
      </c>
      <c r="P541" s="1">
        <f t="shared" si="92"/>
        <v>10.682627590463349</v>
      </c>
      <c r="Q541" s="1">
        <f t="shared" si="93"/>
        <v>10.626578121578865</v>
      </c>
      <c r="R541" s="1">
        <v>125.62909999999997</v>
      </c>
      <c r="S541" s="1" t="e">
        <f t="shared" si="94"/>
        <v>#N/A</v>
      </c>
      <c r="T541" s="1" t="e">
        <v>#N/A</v>
      </c>
    </row>
    <row r="542" spans="1:20" x14ac:dyDescent="0.35">
      <c r="A542" s="1">
        <v>500163.26530000003</v>
      </c>
      <c r="B542" s="1">
        <v>5999996.7019999996</v>
      </c>
      <c r="C542" s="1">
        <v>164.39385847900201</v>
      </c>
      <c r="D542" s="1">
        <f t="shared" si="95"/>
        <v>163.4551537770559</v>
      </c>
      <c r="E542" s="1">
        <v>0.01</v>
      </c>
      <c r="F542" s="1">
        <v>0.05</v>
      </c>
      <c r="G542" s="1">
        <v>0.1</v>
      </c>
      <c r="H542" s="1">
        <v>9.81</v>
      </c>
      <c r="I542" s="1">
        <v>2650</v>
      </c>
      <c r="J542" s="1">
        <v>1000</v>
      </c>
      <c r="K542" s="1">
        <v>1.65</v>
      </c>
      <c r="L542" s="1">
        <v>6.5</v>
      </c>
      <c r="M542" s="1">
        <v>2.5</v>
      </c>
      <c r="N542" s="6">
        <v>9.9999999999999995E-7</v>
      </c>
      <c r="O542" s="1">
        <f t="shared" si="96"/>
        <v>10.213849082106762</v>
      </c>
      <c r="P542" s="1">
        <f t="shared" si="92"/>
        <v>11.026540308620518</v>
      </c>
      <c r="Q542" s="1">
        <f t="shared" si="93"/>
        <v>10.854583949541933</v>
      </c>
      <c r="R542" s="1">
        <v>125.62909999999997</v>
      </c>
      <c r="S542" s="1" t="e">
        <f t="shared" si="94"/>
        <v>#N/A</v>
      </c>
      <c r="T542" s="1" t="e">
        <v>#N/A</v>
      </c>
    </row>
    <row r="543" spans="1:20" x14ac:dyDescent="0.35">
      <c r="A543" s="1">
        <v>500173.4694</v>
      </c>
      <c r="B543" s="1">
        <v>5999996.0899999999</v>
      </c>
      <c r="C543" s="1">
        <v>168.52742719967199</v>
      </c>
      <c r="D543" s="1">
        <f t="shared" si="95"/>
        <v>173.67758992550563</v>
      </c>
      <c r="E543" s="1">
        <v>0.01</v>
      </c>
      <c r="F543" s="1">
        <v>0.05</v>
      </c>
      <c r="G543" s="1">
        <v>0.1</v>
      </c>
      <c r="H543" s="1">
        <v>9.81</v>
      </c>
      <c r="I543" s="1">
        <v>2650</v>
      </c>
      <c r="J543" s="1">
        <v>1000</v>
      </c>
      <c r="K543" s="1">
        <v>1.65</v>
      </c>
      <c r="L543" s="1">
        <v>6.5</v>
      </c>
      <c r="M543" s="1">
        <v>2.5</v>
      </c>
      <c r="N543" s="6">
        <v>9.9999999999999995E-7</v>
      </c>
      <c r="O543" s="1">
        <f t="shared" si="96"/>
        <v>10.214988293625822</v>
      </c>
      <c r="P543" s="1">
        <f t="shared" si="92"/>
        <v>10.632479456336906</v>
      </c>
      <c r="Q543" s="1">
        <f t="shared" si="93"/>
        <v>10.829509882478712</v>
      </c>
      <c r="R543" s="1">
        <v>125.62909999999997</v>
      </c>
      <c r="S543" s="1" t="e">
        <f t="shared" si="94"/>
        <v>#N/A</v>
      </c>
      <c r="T543" s="1" t="e">
        <v>#N/A</v>
      </c>
    </row>
    <row r="544" spans="1:20" x14ac:dyDescent="0.35">
      <c r="A544" s="1">
        <v>500183.67349999998</v>
      </c>
      <c r="B544" s="1">
        <v>5999996.3550000004</v>
      </c>
      <c r="C544" s="1">
        <v>165.55156806663999</v>
      </c>
      <c r="D544" s="1">
        <f t="shared" si="95"/>
        <v>183.88513036430754</v>
      </c>
      <c r="E544" s="1">
        <v>0.01</v>
      </c>
      <c r="F544" s="1">
        <v>0.05</v>
      </c>
      <c r="G544" s="1">
        <v>0.1</v>
      </c>
      <c r="H544" s="1">
        <v>9.81</v>
      </c>
      <c r="I544" s="1">
        <v>2650</v>
      </c>
      <c r="J544" s="1">
        <v>1000</v>
      </c>
      <c r="K544" s="1">
        <v>1.65</v>
      </c>
      <c r="L544" s="1">
        <v>6.5</v>
      </c>
      <c r="M544" s="1">
        <v>2.5</v>
      </c>
      <c r="N544" s="6">
        <v>9.9999999999999995E-7</v>
      </c>
      <c r="O544" s="1">
        <f t="shared" si="96"/>
        <v>10.210285318026777</v>
      </c>
      <c r="P544" s="1">
        <f t="shared" si="92"/>
        <v>10.217153370786205</v>
      </c>
      <c r="Q544" s="1">
        <f t="shared" si="93"/>
        <v>10.424816413561555</v>
      </c>
      <c r="R544" s="1">
        <v>125.62909999999997</v>
      </c>
      <c r="S544" s="1" t="e">
        <f t="shared" si="94"/>
        <v>#N/A</v>
      </c>
      <c r="T544" s="1" t="e">
        <v>#N/A</v>
      </c>
    </row>
    <row r="545" spans="1:20" x14ac:dyDescent="0.35">
      <c r="A545" s="1">
        <v>500193.87760000001</v>
      </c>
      <c r="B545" s="1">
        <v>5999996.7819999997</v>
      </c>
      <c r="C545" s="1">
        <v>165.84180450851801</v>
      </c>
      <c r="D545" s="1">
        <f t="shared" si="95"/>
        <v>194.09816056155918</v>
      </c>
      <c r="E545" s="1">
        <v>0.01</v>
      </c>
      <c r="F545" s="1">
        <v>0.05</v>
      </c>
      <c r="G545" s="1">
        <v>0.1</v>
      </c>
      <c r="H545" s="1">
        <v>9.81</v>
      </c>
      <c r="I545" s="1">
        <v>2650</v>
      </c>
      <c r="J545" s="1">
        <v>1000</v>
      </c>
      <c r="K545" s="1">
        <v>1.65</v>
      </c>
      <c r="L545" s="1">
        <v>6.5</v>
      </c>
      <c r="M545" s="1">
        <v>2.5</v>
      </c>
      <c r="N545" s="6">
        <v>9.9999999999999995E-7</v>
      </c>
      <c r="O545" s="1">
        <f t="shared" si="96"/>
        <v>10.225732250662787</v>
      </c>
      <c r="P545" s="1">
        <f t="shared" si="92"/>
        <v>11.805317568883225</v>
      </c>
      <c r="Q545" s="1">
        <f t="shared" si="93"/>
        <v>11.011235469834716</v>
      </c>
      <c r="R545" s="1">
        <v>125.62909999999997</v>
      </c>
      <c r="S545" s="1" t="e">
        <f t="shared" si="94"/>
        <v>#N/A</v>
      </c>
      <c r="T545" s="1" t="e">
        <v>#N/A</v>
      </c>
    </row>
    <row r="546" spans="1:20" x14ac:dyDescent="0.35">
      <c r="A546" s="1">
        <v>500204.08159999998</v>
      </c>
      <c r="B546" s="1">
        <v>5999995.943</v>
      </c>
      <c r="C546" s="1">
        <v>159.96473160584401</v>
      </c>
      <c r="D546" s="1">
        <f t="shared" si="95"/>
        <v>204.33659486563312</v>
      </c>
      <c r="E546" s="1">
        <v>0.01</v>
      </c>
      <c r="F546" s="1">
        <v>0.05</v>
      </c>
      <c r="G546" s="1">
        <v>0.1</v>
      </c>
      <c r="H546" s="1">
        <v>9.81</v>
      </c>
      <c r="I546" s="1">
        <v>2650</v>
      </c>
      <c r="J546" s="1">
        <v>1000</v>
      </c>
      <c r="K546" s="1">
        <v>1.65</v>
      </c>
      <c r="L546" s="1">
        <v>6.5</v>
      </c>
      <c r="M546" s="1">
        <v>2.5</v>
      </c>
      <c r="N546" s="6">
        <v>9.9999999999999995E-7</v>
      </c>
      <c r="O546" s="1">
        <f t="shared" si="96"/>
        <v>10.222474465035148</v>
      </c>
      <c r="P546" s="1">
        <f t="shared" si="92"/>
        <v>10.510110351296964</v>
      </c>
      <c r="Q546" s="1">
        <f t="shared" si="93"/>
        <v>11.157713960090096</v>
      </c>
      <c r="R546" s="1">
        <v>125.62909999999997</v>
      </c>
      <c r="S546" s="1" t="e">
        <f t="shared" si="94"/>
        <v>#N/A</v>
      </c>
      <c r="T546" s="1" t="e">
        <v>#N/A</v>
      </c>
    </row>
    <row r="547" spans="1:20" x14ac:dyDescent="0.35">
      <c r="A547" s="1">
        <v>500214.28570000001</v>
      </c>
      <c r="B547" s="1">
        <v>5999995.7209999999</v>
      </c>
      <c r="C547" s="1">
        <v>162.47261493362501</v>
      </c>
      <c r="D547" s="1">
        <f t="shared" si="95"/>
        <v>214.54310949162948</v>
      </c>
      <c r="E547" s="1">
        <v>0.01</v>
      </c>
      <c r="F547" s="1">
        <v>0.05</v>
      </c>
      <c r="G547" s="1">
        <v>0.1</v>
      </c>
      <c r="H547" s="1">
        <v>9.81</v>
      </c>
      <c r="I547" s="1">
        <v>2650</v>
      </c>
      <c r="J547" s="1">
        <v>1000</v>
      </c>
      <c r="K547" s="1">
        <v>1.65</v>
      </c>
      <c r="L547" s="1">
        <v>6.5</v>
      </c>
      <c r="M547" s="1">
        <v>2.5</v>
      </c>
      <c r="N547" s="6">
        <v>9.9999999999999995E-7</v>
      </c>
      <c r="O547" s="1">
        <f t="shared" si="96"/>
        <v>10.209668499185454</v>
      </c>
      <c r="P547" s="1">
        <f t="shared" si="92"/>
        <v>13.932835838967597</v>
      </c>
      <c r="Q547" s="1">
        <f t="shared" si="93"/>
        <v>12.22147309513228</v>
      </c>
      <c r="R547" s="1">
        <v>125.62909999999997</v>
      </c>
      <c r="S547" s="1" t="e">
        <f t="shared" si="94"/>
        <v>#N/A</v>
      </c>
      <c r="T547" s="1" t="e">
        <v>#N/A</v>
      </c>
    </row>
    <row r="548" spans="1:20" x14ac:dyDescent="0.35">
      <c r="A548" s="1">
        <v>500224.48979999998</v>
      </c>
      <c r="B548" s="1">
        <v>5999996.1430000002</v>
      </c>
      <c r="C548" s="1">
        <v>152.99515885586101</v>
      </c>
      <c r="D548" s="1">
        <f t="shared" si="95"/>
        <v>224.75593186400403</v>
      </c>
      <c r="E548" s="1">
        <v>0.01</v>
      </c>
      <c r="F548" s="1">
        <v>0.05</v>
      </c>
      <c r="G548" s="1">
        <v>0.1</v>
      </c>
      <c r="H548" s="1">
        <v>9.81</v>
      </c>
      <c r="I548" s="1">
        <v>2650</v>
      </c>
      <c r="J548" s="1">
        <v>1000</v>
      </c>
      <c r="K548" s="1">
        <v>1.65</v>
      </c>
      <c r="L548" s="1">
        <v>6.5</v>
      </c>
      <c r="M548" s="1">
        <v>2.5</v>
      </c>
      <c r="N548" s="6">
        <v>9.9999999999999995E-7</v>
      </c>
      <c r="O548" s="1">
        <f t="shared" si="96"/>
        <v>10.211706300347956</v>
      </c>
      <c r="P548" s="1">
        <f t="shared" si="92"/>
        <v>10.301820481574744</v>
      </c>
      <c r="Q548" s="1">
        <f t="shared" si="93"/>
        <v>12.117328160271171</v>
      </c>
      <c r="R548" s="1">
        <v>125.62909999999997</v>
      </c>
      <c r="S548" s="1" t="e">
        <f t="shared" si="94"/>
        <v>#N/A</v>
      </c>
      <c r="T548" s="1" t="e">
        <v>#N/A</v>
      </c>
    </row>
    <row r="549" spans="1:20" x14ac:dyDescent="0.35">
      <c r="A549" s="1">
        <v>500234.69390000001</v>
      </c>
      <c r="B549" s="1">
        <v>5999996.5070000002</v>
      </c>
      <c r="C549" s="1">
        <v>151.627185016966</v>
      </c>
      <c r="D549" s="1">
        <f t="shared" si="95"/>
        <v>234.96652209232539</v>
      </c>
      <c r="E549" s="1">
        <v>0.01</v>
      </c>
      <c r="F549" s="1">
        <v>0.05</v>
      </c>
      <c r="G549" s="1">
        <v>0.1</v>
      </c>
      <c r="H549" s="1">
        <v>9.81</v>
      </c>
      <c r="I549" s="1">
        <v>2650</v>
      </c>
      <c r="J549" s="1">
        <v>1000</v>
      </c>
      <c r="K549" s="1">
        <v>1.65</v>
      </c>
      <c r="L549" s="1">
        <v>6.5</v>
      </c>
      <c r="M549" s="1">
        <v>2.5</v>
      </c>
      <c r="N549" s="6">
        <v>9.9999999999999995E-7</v>
      </c>
      <c r="O549" s="1">
        <f t="shared" si="96"/>
        <v>10.212172653557417</v>
      </c>
      <c r="P549" s="1">
        <f t="shared" si="92"/>
        <v>11.089044194999135</v>
      </c>
      <c r="Q549" s="1">
        <f t="shared" si="93"/>
        <v>10.695432338286938</v>
      </c>
      <c r="R549" s="1">
        <v>125.62909999999997</v>
      </c>
      <c r="S549" s="1" t="e">
        <f t="shared" si="94"/>
        <v>#N/A</v>
      </c>
      <c r="T549" s="1" t="e">
        <v>#N/A</v>
      </c>
    </row>
    <row r="550" spans="1:20" x14ac:dyDescent="0.35">
      <c r="A550" s="1">
        <v>500244.89799999999</v>
      </c>
      <c r="B550" s="1">
        <v>5999996.9510000004</v>
      </c>
      <c r="C550" s="1">
        <v>155.94529899752101</v>
      </c>
      <c r="D550" s="1">
        <f t="shared" si="95"/>
        <v>245.18027717111886</v>
      </c>
      <c r="E550" s="1">
        <v>0.01</v>
      </c>
      <c r="F550" s="1">
        <v>0.05</v>
      </c>
      <c r="G550" s="1">
        <v>0.1</v>
      </c>
      <c r="H550" s="1">
        <v>9.81</v>
      </c>
      <c r="I550" s="1">
        <v>2650</v>
      </c>
      <c r="J550" s="1">
        <v>1000</v>
      </c>
      <c r="K550" s="1">
        <v>1.65</v>
      </c>
      <c r="L550" s="1">
        <v>6.5</v>
      </c>
      <c r="M550" s="1">
        <v>2.5</v>
      </c>
      <c r="N550" s="6">
        <v>9.9999999999999995E-7</v>
      </c>
      <c r="O550" s="1">
        <f t="shared" si="96"/>
        <v>10.228334363400478</v>
      </c>
      <c r="P550" s="1">
        <f t="shared" si="92"/>
        <v>11.738479864242503</v>
      </c>
      <c r="Q550" s="1">
        <f t="shared" si="93"/>
        <v>11.41376202962082</v>
      </c>
      <c r="R550" s="1">
        <v>125.62909999999997</v>
      </c>
      <c r="S550" s="1" t="e">
        <f t="shared" si="94"/>
        <v>#N/A</v>
      </c>
      <c r="T550" s="1" t="e">
        <v>#N/A</v>
      </c>
    </row>
    <row r="551" spans="1:20" x14ac:dyDescent="0.35">
      <c r="A551" s="1">
        <v>500255.10200000001</v>
      </c>
      <c r="B551" s="1">
        <v>5999997.8430000003</v>
      </c>
      <c r="C551" s="1">
        <v>150.21165883417899</v>
      </c>
      <c r="D551" s="1">
        <f t="shared" si="95"/>
        <v>255.42319081912635</v>
      </c>
      <c r="E551" s="1">
        <v>0.01</v>
      </c>
      <c r="F551" s="1">
        <v>0.05</v>
      </c>
      <c r="G551" s="1">
        <v>0.1</v>
      </c>
      <c r="H551" s="1">
        <v>9.81</v>
      </c>
      <c r="I551" s="1">
        <v>2650</v>
      </c>
      <c r="J551" s="1">
        <v>1000</v>
      </c>
      <c r="K551" s="1">
        <v>1.65</v>
      </c>
      <c r="L551" s="1">
        <v>6.5</v>
      </c>
      <c r="M551" s="1">
        <v>2.5</v>
      </c>
      <c r="N551" s="6">
        <v>9.9999999999999995E-7</v>
      </c>
      <c r="O551" s="1">
        <f t="shared" si="96"/>
        <v>10.228247812702051</v>
      </c>
      <c r="P551" s="1">
        <f t="shared" si="92"/>
        <v>10.415569048554094</v>
      </c>
      <c r="Q551" s="1">
        <f t="shared" si="93"/>
        <v>11.077024456398298</v>
      </c>
      <c r="R551" s="1">
        <v>125.62909999999997</v>
      </c>
      <c r="S551" s="1" t="e">
        <f t="shared" si="94"/>
        <v>#N/A</v>
      </c>
      <c r="T551" s="1" t="e">
        <v>#N/A</v>
      </c>
    </row>
    <row r="552" spans="1:20" x14ac:dyDescent="0.35">
      <c r="A552" s="1">
        <v>500265.30609999999</v>
      </c>
      <c r="B552" s="1">
        <v>5999998.2829999998</v>
      </c>
      <c r="C552" s="1">
        <v>148.17037938339399</v>
      </c>
      <c r="D552" s="1">
        <f t="shared" si="95"/>
        <v>265.63677279652296</v>
      </c>
      <c r="E552" s="1">
        <v>0.01</v>
      </c>
      <c r="F552" s="1">
        <v>0.05</v>
      </c>
      <c r="G552" s="1">
        <v>0.1</v>
      </c>
      <c r="H552" s="1">
        <v>9.81</v>
      </c>
      <c r="I552" s="1">
        <v>2650</v>
      </c>
      <c r="J552" s="1">
        <v>1000</v>
      </c>
      <c r="K552" s="1">
        <v>1.65</v>
      </c>
      <c r="L552" s="1">
        <v>6.5</v>
      </c>
      <c r="M552" s="1">
        <v>2.5</v>
      </c>
      <c r="N552" s="6">
        <v>9.9999999999999995E-7</v>
      </c>
      <c r="O552" s="1">
        <f t="shared" si="96"/>
        <v>10.23198332194535</v>
      </c>
      <c r="P552" s="1">
        <f t="shared" si="92"/>
        <v>10.753746192038282</v>
      </c>
      <c r="Q552" s="1">
        <f t="shared" si="93"/>
        <v>10.584657620296188</v>
      </c>
      <c r="R552" s="1">
        <v>125.62909999999997</v>
      </c>
      <c r="S552" s="1" t="e">
        <f t="shared" si="94"/>
        <v>#N/A</v>
      </c>
      <c r="T552" s="1" t="e">
        <v>#N/A</v>
      </c>
    </row>
    <row r="553" spans="1:20" x14ac:dyDescent="0.35">
      <c r="A553" s="1">
        <v>500275.51020000002</v>
      </c>
      <c r="B553" s="1">
        <v>5999997.3099999996</v>
      </c>
      <c r="C553" s="1">
        <v>144.91881493659599</v>
      </c>
      <c r="D553" s="1">
        <f t="shared" si="95"/>
        <v>275.88715746301705</v>
      </c>
      <c r="E553" s="1">
        <v>0.01</v>
      </c>
      <c r="F553" s="1">
        <v>0.05</v>
      </c>
      <c r="G553" s="1">
        <v>0.1</v>
      </c>
      <c r="H553" s="1">
        <v>9.81</v>
      </c>
      <c r="I553" s="1">
        <v>2650</v>
      </c>
      <c r="J553" s="1">
        <v>1000</v>
      </c>
      <c r="K553" s="1">
        <v>1.65</v>
      </c>
      <c r="L553" s="1">
        <v>6.5</v>
      </c>
      <c r="M553" s="1">
        <v>2.5</v>
      </c>
      <c r="N553" s="6">
        <v>9.9999999999999995E-7</v>
      </c>
      <c r="O553" s="1">
        <f t="shared" si="96"/>
        <v>10.247668609691146</v>
      </c>
      <c r="P553" s="1">
        <f t="shared" si="92"/>
        <v>10.247801935839309</v>
      </c>
      <c r="Q553" s="1">
        <f t="shared" si="93"/>
        <v>10.500774063938795</v>
      </c>
      <c r="R553" s="1">
        <v>125.62909999999997</v>
      </c>
      <c r="S553" s="1" t="e">
        <f t="shared" si="94"/>
        <v>#N/A</v>
      </c>
      <c r="T553" s="1" t="e">
        <v>#N/A</v>
      </c>
    </row>
    <row r="554" spans="1:20" x14ac:dyDescent="0.35">
      <c r="A554" s="1">
        <v>500285.71429999999</v>
      </c>
      <c r="B554" s="1">
        <v>5999998.2240000004</v>
      </c>
      <c r="C554" s="1">
        <v>144.67717117967001</v>
      </c>
      <c r="D554" s="1">
        <f t="shared" si="95"/>
        <v>286.13211001590525</v>
      </c>
      <c r="E554" s="1">
        <v>0.01</v>
      </c>
      <c r="F554" s="1">
        <v>0.05</v>
      </c>
      <c r="G554" s="1">
        <v>0.1</v>
      </c>
      <c r="H554" s="1">
        <v>9.81</v>
      </c>
      <c r="I554" s="1">
        <v>2650</v>
      </c>
      <c r="J554" s="1">
        <v>1000</v>
      </c>
      <c r="K554" s="1">
        <v>1.65</v>
      </c>
      <c r="L554" s="1">
        <v>6.5</v>
      </c>
      <c r="M554" s="1">
        <v>2.5</v>
      </c>
      <c r="N554" s="6">
        <v>9.9999999999999995E-7</v>
      </c>
      <c r="O554" s="1">
        <f t="shared" si="96"/>
        <v>10.245310960713113</v>
      </c>
      <c r="P554" s="1">
        <f t="shared" si="92"/>
        <v>10.773986209295044</v>
      </c>
      <c r="Q554" s="1">
        <f t="shared" si="93"/>
        <v>10.510894072567176</v>
      </c>
      <c r="R554" s="1">
        <v>125.62909999999997</v>
      </c>
      <c r="S554" s="1" t="e">
        <f t="shared" si="94"/>
        <v>#N/A</v>
      </c>
      <c r="T554" s="1" t="e">
        <v>#N/A</v>
      </c>
    </row>
    <row r="555" spans="1:20" x14ac:dyDescent="0.35">
      <c r="A555" s="1">
        <v>500295.91840000002</v>
      </c>
      <c r="B555" s="1">
        <v>5999999.1459999997</v>
      </c>
      <c r="C555" s="1">
        <v>141.344748933213</v>
      </c>
      <c r="D555" s="1">
        <f t="shared" si="95"/>
        <v>296.37777938444327</v>
      </c>
      <c r="E555" s="1">
        <v>0.01</v>
      </c>
      <c r="F555" s="1">
        <v>0.05</v>
      </c>
      <c r="G555" s="1">
        <v>0.1</v>
      </c>
      <c r="H555" s="1">
        <v>9.81</v>
      </c>
      <c r="I555" s="1">
        <v>2650</v>
      </c>
      <c r="J555" s="1">
        <v>1000</v>
      </c>
      <c r="K555" s="1">
        <v>1.65</v>
      </c>
      <c r="L555" s="1">
        <v>6.5</v>
      </c>
      <c r="M555" s="1">
        <v>2.5</v>
      </c>
      <c r="N555" s="6">
        <v>9.9999999999999995E-7</v>
      </c>
      <c r="O555" s="1">
        <f t="shared" si="96"/>
        <v>10.233098302678485</v>
      </c>
      <c r="P555" s="1">
        <f t="shared" si="92"/>
        <v>10.320041754295742</v>
      </c>
      <c r="Q555" s="1">
        <f t="shared" si="93"/>
        <v>10.547013981795393</v>
      </c>
      <c r="R555" s="1">
        <v>125.62909999999997</v>
      </c>
      <c r="S555" s="1" t="e">
        <f t="shared" si="94"/>
        <v>#N/A</v>
      </c>
      <c r="T555" s="1" t="e">
        <v>#N/A</v>
      </c>
    </row>
    <row r="556" spans="1:20" x14ac:dyDescent="0.35">
      <c r="A556" s="1">
        <v>500306.12239999999</v>
      </c>
      <c r="B556" s="1">
        <v>5999998.5650000004</v>
      </c>
      <c r="C556" s="1">
        <v>139.91503399244701</v>
      </c>
      <c r="D556" s="1">
        <f t="shared" si="95"/>
        <v>306.59830662126222</v>
      </c>
      <c r="E556" s="1">
        <v>0.01</v>
      </c>
      <c r="F556" s="1">
        <v>0.05</v>
      </c>
      <c r="G556" s="1">
        <v>0.1</v>
      </c>
      <c r="H556" s="1">
        <v>9.81</v>
      </c>
      <c r="I556" s="1">
        <v>2650</v>
      </c>
      <c r="J556" s="1">
        <v>1000</v>
      </c>
      <c r="K556" s="1">
        <v>1.65</v>
      </c>
      <c r="L556" s="1">
        <v>6.5</v>
      </c>
      <c r="M556" s="1">
        <v>2.5</v>
      </c>
      <c r="N556" s="6">
        <v>9.9999999999999995E-7</v>
      </c>
      <c r="O556" s="1">
        <f t="shared" si="96"/>
        <v>10.221874954638196</v>
      </c>
      <c r="P556" s="1">
        <f t="shared" si="92"/>
        <v>13.893706980070347</v>
      </c>
      <c r="Q556" s="1">
        <f t="shared" si="93"/>
        <v>12.106874367183044</v>
      </c>
      <c r="R556" s="1">
        <v>125.62909999999997</v>
      </c>
      <c r="S556" s="1" t="e">
        <f t="shared" si="94"/>
        <v>#N/A</v>
      </c>
      <c r="T556" s="1" t="e">
        <v>#N/A</v>
      </c>
    </row>
    <row r="557" spans="1:20" x14ac:dyDescent="0.35">
      <c r="A557" s="1">
        <v>500316.32650000002</v>
      </c>
      <c r="B557" s="1">
        <v>5999999.1900000004</v>
      </c>
      <c r="C557" s="1">
        <v>130.506484059678</v>
      </c>
      <c r="D557" s="1">
        <f t="shared" si="95"/>
        <v>316.82152929371966</v>
      </c>
      <c r="E557" s="1">
        <v>0.01</v>
      </c>
      <c r="F557" s="1">
        <v>0.05</v>
      </c>
      <c r="G557" s="1">
        <v>0.1</v>
      </c>
      <c r="H557" s="1">
        <v>9.81</v>
      </c>
      <c r="I557" s="1">
        <v>2650</v>
      </c>
      <c r="J557" s="1">
        <v>1000</v>
      </c>
      <c r="K557" s="1">
        <v>1.65</v>
      </c>
      <c r="L557" s="1">
        <v>6.5</v>
      </c>
      <c r="M557" s="1">
        <v>2.5</v>
      </c>
      <c r="N557" s="6">
        <v>9.9999999999999995E-7</v>
      </c>
      <c r="O557" s="1">
        <f t="shared" si="96"/>
        <v>10.235493697492075</v>
      </c>
      <c r="P557" s="1">
        <f t="shared" si="92"/>
        <v>10.418299398725649</v>
      </c>
      <c r="Q557" s="1">
        <f t="shared" si="93"/>
        <v>12.156003189397998</v>
      </c>
      <c r="R557" s="1">
        <v>125.62909999999997</v>
      </c>
      <c r="S557" s="1" t="e">
        <f t="shared" si="94"/>
        <v>#N/A</v>
      </c>
      <c r="T557" s="1" t="e">
        <v>#N/A</v>
      </c>
    </row>
    <row r="558" spans="1:20" x14ac:dyDescent="0.35">
      <c r="A558" s="1">
        <v>500326.5306</v>
      </c>
      <c r="B558" s="1">
        <v>6000000.1349999998</v>
      </c>
      <c r="C558" s="1">
        <v>128.62917733108401</v>
      </c>
      <c r="D558" s="1">
        <f t="shared" si="95"/>
        <v>327.06929401624637</v>
      </c>
      <c r="E558" s="1">
        <v>0.01</v>
      </c>
      <c r="F558" s="1">
        <v>0.05</v>
      </c>
      <c r="G558" s="1">
        <v>0.1</v>
      </c>
      <c r="H558" s="1">
        <v>9.81</v>
      </c>
      <c r="I558" s="1">
        <v>2650</v>
      </c>
      <c r="J558" s="1">
        <v>1000</v>
      </c>
      <c r="K558" s="1">
        <v>1.65</v>
      </c>
      <c r="L558" s="1">
        <v>6.5</v>
      </c>
      <c r="M558" s="1">
        <v>2.5</v>
      </c>
      <c r="N558" s="6">
        <v>9.9999999999999995E-7</v>
      </c>
      <c r="O558" s="1">
        <f t="shared" si="96"/>
        <v>10.241238558797846</v>
      </c>
      <c r="P558" s="1">
        <f t="shared" ref="P558:P574" si="97">SQRT((D559 - D558)^2 + (C559 - C558)^2)</f>
        <v>10.787841757464356</v>
      </c>
      <c r="Q558" s="1">
        <f t="shared" ref="Q558:Q574" si="98">IF(ROW()=526, P558/2, (P558 + P557)/2)</f>
        <v>10.603070578095004</v>
      </c>
      <c r="R558" s="1">
        <v>125.62909999999997</v>
      </c>
      <c r="S558" s="1" t="e">
        <f t="shared" ref="S558:S574" si="99">IF(R558 - C558 &lt; 0, NA(), R558 - C558)</f>
        <v>#N/A</v>
      </c>
      <c r="T558" s="1" t="e">
        <v>#N/A</v>
      </c>
    </row>
    <row r="559" spans="1:20" x14ac:dyDescent="0.35">
      <c r="A559" s="1">
        <v>500336.73469999997</v>
      </c>
      <c r="B559" s="1">
        <v>5999999.3439999996</v>
      </c>
      <c r="C559" s="1">
        <v>132.03919081702699</v>
      </c>
      <c r="D559" s="1">
        <f t="shared" ref="D559:D575" si="100">D558 + SQRT((A559 - A558)^2 + (B559 - B558)^2)</f>
        <v>337.30400641131536</v>
      </c>
      <c r="E559" s="1">
        <v>0.01</v>
      </c>
      <c r="F559" s="1">
        <v>0.05</v>
      </c>
      <c r="G559" s="1">
        <v>0.1</v>
      </c>
      <c r="H559" s="1">
        <v>9.81</v>
      </c>
      <c r="I559" s="1">
        <v>2650</v>
      </c>
      <c r="J559" s="1">
        <v>1000</v>
      </c>
      <c r="K559" s="1">
        <v>1.65</v>
      </c>
      <c r="L559" s="1">
        <v>6.5</v>
      </c>
      <c r="M559" s="1">
        <v>2.5</v>
      </c>
      <c r="N559" s="6">
        <v>9.9999999999999995E-7</v>
      </c>
      <c r="O559" s="1">
        <f t="shared" si="96"/>
        <v>10.233949248828765</v>
      </c>
      <c r="P559" s="1">
        <f t="shared" si="97"/>
        <v>11.755266476054745</v>
      </c>
      <c r="Q559" s="1">
        <f t="shared" si="98"/>
        <v>11.27155411675955</v>
      </c>
      <c r="R559" s="1">
        <v>125.62909999999997</v>
      </c>
      <c r="S559" s="1" t="e">
        <f t="shared" si="99"/>
        <v>#N/A</v>
      </c>
      <c r="T559" s="1" t="e">
        <v>#N/A</v>
      </c>
    </row>
    <row r="560" spans="1:20" x14ac:dyDescent="0.35">
      <c r="A560" s="1">
        <v>500346.9388</v>
      </c>
      <c r="B560" s="1">
        <v>5999998.5729999999</v>
      </c>
      <c r="C560" s="1">
        <v>126.254020801129</v>
      </c>
      <c r="D560" s="1">
        <f t="shared" si="100"/>
        <v>347.5371925139039</v>
      </c>
      <c r="E560" s="1">
        <v>0.01</v>
      </c>
      <c r="F560" s="1">
        <v>0.05</v>
      </c>
      <c r="G560" s="1">
        <v>0.1</v>
      </c>
      <c r="H560" s="1">
        <v>9.81</v>
      </c>
      <c r="I560" s="1">
        <v>2650</v>
      </c>
      <c r="J560" s="1">
        <v>1000</v>
      </c>
      <c r="K560" s="1">
        <v>1.65</v>
      </c>
      <c r="L560" s="1">
        <v>6.5</v>
      </c>
      <c r="M560" s="1">
        <v>2.5</v>
      </c>
      <c r="N560" s="6">
        <v>9.9999999999999995E-7</v>
      </c>
      <c r="O560" s="1">
        <f t="shared" si="96"/>
        <v>10.232552707337419</v>
      </c>
      <c r="P560" s="1">
        <f t="shared" si="97"/>
        <v>11.350607222214496</v>
      </c>
      <c r="Q560" s="1">
        <f t="shared" si="98"/>
        <v>11.552936849134621</v>
      </c>
      <c r="R560" s="1">
        <v>125.62909999999997</v>
      </c>
      <c r="S560" s="1" t="e">
        <f t="shared" si="99"/>
        <v>#N/A</v>
      </c>
      <c r="T560" s="1" t="e">
        <v>#N/A</v>
      </c>
    </row>
    <row r="561" spans="1:20" x14ac:dyDescent="0.35">
      <c r="A561" s="1">
        <v>500357.14289999998</v>
      </c>
      <c r="B561" s="1">
        <v>5999999.3269999996</v>
      </c>
      <c r="C561" s="1">
        <v>131.167686591956</v>
      </c>
      <c r="D561" s="1">
        <f t="shared" si="100"/>
        <v>357.76911182599019</v>
      </c>
      <c r="E561" s="1">
        <v>0.01</v>
      </c>
      <c r="F561" s="1">
        <v>0.05</v>
      </c>
      <c r="G561" s="1">
        <v>0.1</v>
      </c>
      <c r="H561" s="1">
        <v>9.81</v>
      </c>
      <c r="I561" s="1">
        <v>2650</v>
      </c>
      <c r="J561" s="1">
        <v>1000</v>
      </c>
      <c r="K561" s="1">
        <v>1.65</v>
      </c>
      <c r="L561" s="1">
        <v>6.5</v>
      </c>
      <c r="M561" s="1">
        <v>2.5</v>
      </c>
      <c r="N561" s="6">
        <v>9.9999999999999995E-7</v>
      </c>
      <c r="O561" s="1">
        <f t="shared" si="96"/>
        <v>10.223838765829584</v>
      </c>
      <c r="P561" s="1">
        <f t="shared" si="97"/>
        <v>10.479732415606993</v>
      </c>
      <c r="Q561" s="1">
        <f t="shared" si="98"/>
        <v>10.915169818910744</v>
      </c>
      <c r="R561" s="1">
        <v>125.62909999999997</v>
      </c>
      <c r="S561" s="1" t="e">
        <f t="shared" si="99"/>
        <v>#N/A</v>
      </c>
      <c r="T561" s="1" t="e">
        <v>#N/A</v>
      </c>
    </row>
    <row r="562" spans="1:20" x14ac:dyDescent="0.35">
      <c r="A562" s="1">
        <v>500367.3469</v>
      </c>
      <c r="B562" s="1">
        <v>5999999.8169999998</v>
      </c>
      <c r="C562" s="1">
        <v>128.83036429882799</v>
      </c>
      <c r="D562" s="1">
        <f t="shared" si="100"/>
        <v>367.98487004556307</v>
      </c>
      <c r="E562" s="1">
        <v>0.01</v>
      </c>
      <c r="F562" s="1">
        <v>0.05</v>
      </c>
      <c r="G562" s="1">
        <v>0.1</v>
      </c>
      <c r="H562" s="1">
        <v>9.81</v>
      </c>
      <c r="I562" s="1">
        <v>2650</v>
      </c>
      <c r="J562" s="1">
        <v>1000</v>
      </c>
      <c r="K562" s="1">
        <v>1.65</v>
      </c>
      <c r="L562" s="1">
        <v>6.5</v>
      </c>
      <c r="M562" s="1">
        <v>2.5</v>
      </c>
      <c r="N562" s="6">
        <v>9.9999999999999995E-7</v>
      </c>
      <c r="O562" s="1">
        <f t="shared" si="96"/>
        <v>10.224509856901079</v>
      </c>
      <c r="P562" s="1">
        <f t="shared" si="97"/>
        <v>10.91645406051112</v>
      </c>
      <c r="Q562" s="1">
        <f t="shared" si="98"/>
        <v>10.698093238059055</v>
      </c>
      <c r="R562" s="1">
        <v>125.62909999999997</v>
      </c>
      <c r="S562" s="1" t="e">
        <f t="shared" si="99"/>
        <v>#N/A</v>
      </c>
      <c r="T562" s="1" t="e">
        <v>#N/A</v>
      </c>
    </row>
    <row r="563" spans="1:20" x14ac:dyDescent="0.35">
      <c r="A563" s="1">
        <v>500377.55099999998</v>
      </c>
      <c r="B563" s="1">
        <v>5999999.0449999999</v>
      </c>
      <c r="C563" s="1">
        <v>125.029137069896</v>
      </c>
      <c r="D563" s="1">
        <f t="shared" si="100"/>
        <v>378.21813153979235</v>
      </c>
      <c r="E563" s="1">
        <v>0.01</v>
      </c>
      <c r="F563" s="1">
        <v>0.05</v>
      </c>
      <c r="G563" s="1">
        <v>0.1</v>
      </c>
      <c r="H563" s="1">
        <v>9.81</v>
      </c>
      <c r="I563" s="1">
        <v>2650</v>
      </c>
      <c r="J563" s="1">
        <v>1000</v>
      </c>
      <c r="K563" s="1">
        <v>1.65</v>
      </c>
      <c r="L563" s="1">
        <v>6.5</v>
      </c>
      <c r="M563" s="1">
        <v>2.5</v>
      </c>
      <c r="N563" s="6">
        <v>9.9999999999999995E-7</v>
      </c>
      <c r="O563" s="1">
        <f t="shared" si="96"/>
        <v>10.221049857319429</v>
      </c>
      <c r="P563" s="1">
        <f t="shared" si="97"/>
        <v>10.237547645163266</v>
      </c>
      <c r="Q563" s="1">
        <f t="shared" si="98"/>
        <v>10.577000852837193</v>
      </c>
      <c r="R563" s="1">
        <v>125.62909999999997</v>
      </c>
      <c r="S563" s="1">
        <f t="shared" si="99"/>
        <v>0.59996293010397039</v>
      </c>
      <c r="T563" s="1">
        <v>0.59996293010397039</v>
      </c>
    </row>
    <row r="564" spans="1:20" x14ac:dyDescent="0.35">
      <c r="A564" s="1">
        <v>500387.75510000001</v>
      </c>
      <c r="B564" s="1">
        <v>5999999.3559999997</v>
      </c>
      <c r="C564" s="1">
        <v>125.795298917349</v>
      </c>
      <c r="D564" s="1">
        <f t="shared" si="100"/>
        <v>388.42696976020193</v>
      </c>
      <c r="E564" s="1">
        <v>0.01</v>
      </c>
      <c r="F564" s="1">
        <v>0.05</v>
      </c>
      <c r="G564" s="1">
        <v>0.1</v>
      </c>
      <c r="H564" s="1">
        <v>9.81</v>
      </c>
      <c r="I564" s="1">
        <v>2650</v>
      </c>
      <c r="J564" s="1">
        <v>1000</v>
      </c>
      <c r="K564" s="1">
        <v>1.65</v>
      </c>
      <c r="L564" s="1">
        <v>6.5</v>
      </c>
      <c r="M564" s="1">
        <v>2.5</v>
      </c>
      <c r="N564" s="6">
        <v>9.9999999999999995E-7</v>
      </c>
      <c r="O564" s="1">
        <f t="shared" si="96"/>
        <v>10.226672955179509</v>
      </c>
      <c r="P564" s="1">
        <f t="shared" si="97"/>
        <v>14.006911426674414</v>
      </c>
      <c r="Q564" s="1">
        <f t="shared" si="98"/>
        <v>12.122229535918841</v>
      </c>
      <c r="R564" s="1">
        <v>125.62909999999997</v>
      </c>
      <c r="S564" s="1" t="e">
        <f t="shared" si="99"/>
        <v>#N/A</v>
      </c>
      <c r="T564" s="1" t="e">
        <v>#N/A</v>
      </c>
    </row>
    <row r="565" spans="1:20" x14ac:dyDescent="0.35">
      <c r="A565" s="1">
        <v>500397.95919999998</v>
      </c>
      <c r="B565" s="1">
        <v>5999998.4469999997</v>
      </c>
      <c r="C565" s="1">
        <v>135.347452072804</v>
      </c>
      <c r="D565" s="1">
        <f t="shared" si="100"/>
        <v>398.67147745015137</v>
      </c>
      <c r="E565" s="1">
        <v>0.01</v>
      </c>
      <c r="F565" s="1">
        <v>0.05</v>
      </c>
      <c r="G565" s="1">
        <v>0.1</v>
      </c>
      <c r="H565" s="1">
        <v>9.81</v>
      </c>
      <c r="I565" s="1">
        <v>2650</v>
      </c>
      <c r="J565" s="1">
        <v>1000</v>
      </c>
      <c r="K565" s="1">
        <v>1.65</v>
      </c>
      <c r="L565" s="1">
        <v>6.5</v>
      </c>
      <c r="M565" s="1">
        <v>2.5</v>
      </c>
      <c r="N565" s="6">
        <v>9.9999999999999995E-7</v>
      </c>
      <c r="O565" s="1">
        <f t="shared" si="96"/>
        <v>10.22650836474881</v>
      </c>
      <c r="P565" s="1">
        <f t="shared" si="97"/>
        <v>12.538849639326756</v>
      </c>
      <c r="Q565" s="1">
        <f t="shared" si="98"/>
        <v>13.272880533000585</v>
      </c>
      <c r="R565" s="1">
        <v>125.62909999999997</v>
      </c>
      <c r="S565" s="1" t="e">
        <f t="shared" si="99"/>
        <v>#N/A</v>
      </c>
      <c r="T565" s="1" t="e">
        <v>#N/A</v>
      </c>
    </row>
    <row r="566" spans="1:20" x14ac:dyDescent="0.35">
      <c r="A566" s="1">
        <v>500408.16330000001</v>
      </c>
      <c r="B566" s="1">
        <v>5999998.1469999999</v>
      </c>
      <c r="C566" s="1">
        <v>128.06671766842501</v>
      </c>
      <c r="D566" s="1">
        <f t="shared" si="100"/>
        <v>408.87998648969955</v>
      </c>
      <c r="E566" s="1">
        <v>0.01</v>
      </c>
      <c r="F566" s="1">
        <v>0.05</v>
      </c>
      <c r="G566" s="1">
        <v>0.1</v>
      </c>
      <c r="H566" s="1">
        <v>9.81</v>
      </c>
      <c r="I566" s="1">
        <v>2650</v>
      </c>
      <c r="J566" s="1">
        <v>1000</v>
      </c>
      <c r="K566" s="1">
        <v>1.65</v>
      </c>
      <c r="L566" s="1">
        <v>6.5</v>
      </c>
      <c r="M566" s="1">
        <v>2.5</v>
      </c>
      <c r="N566" s="6">
        <v>9.9999999999999995E-7</v>
      </c>
      <c r="O566" s="1">
        <f t="shared" si="96"/>
        <v>10.217670819070179</v>
      </c>
      <c r="P566" s="1">
        <f t="shared" si="97"/>
        <v>11.126667604014996</v>
      </c>
      <c r="Q566" s="1">
        <f t="shared" si="98"/>
        <v>11.832758621670877</v>
      </c>
      <c r="R566" s="1">
        <v>125.62909999999997</v>
      </c>
      <c r="S566" s="1" t="e">
        <f t="shared" si="99"/>
        <v>#N/A</v>
      </c>
      <c r="T566" s="1" t="e">
        <v>#N/A</v>
      </c>
    </row>
    <row r="567" spans="1:20" x14ac:dyDescent="0.35">
      <c r="A567" s="1">
        <v>500418.36729999998</v>
      </c>
      <c r="B567" s="1">
        <v>5999997.4639999997</v>
      </c>
      <c r="C567" s="1">
        <v>132.450166877736</v>
      </c>
      <c r="D567" s="1">
        <f t="shared" si="100"/>
        <v>419.10681908829173</v>
      </c>
      <c r="E567" s="1">
        <v>0.01</v>
      </c>
      <c r="F567" s="1">
        <v>0.05</v>
      </c>
      <c r="G567" s="1">
        <v>0.1</v>
      </c>
      <c r="H567" s="1">
        <v>9.81</v>
      </c>
      <c r="I567" s="1">
        <v>2650</v>
      </c>
      <c r="J567" s="1">
        <v>1000</v>
      </c>
      <c r="K567" s="1">
        <v>1.65</v>
      </c>
      <c r="L567" s="1">
        <v>6.5</v>
      </c>
      <c r="M567" s="1">
        <v>2.5</v>
      </c>
      <c r="N567" s="6">
        <v>9.9999999999999995E-7</v>
      </c>
      <c r="O567" s="1">
        <f t="shared" si="96"/>
        <v>10.219153288461655</v>
      </c>
      <c r="P567" s="1">
        <f t="shared" si="97"/>
        <v>12.259823035582844</v>
      </c>
      <c r="Q567" s="1">
        <f t="shared" si="98"/>
        <v>11.693245319798919</v>
      </c>
      <c r="R567" s="1">
        <v>125.62909999999997</v>
      </c>
      <c r="S567" s="1" t="e">
        <f t="shared" si="99"/>
        <v>#N/A</v>
      </c>
      <c r="T567" s="1" t="e">
        <v>#N/A</v>
      </c>
    </row>
    <row r="568" spans="1:20" x14ac:dyDescent="0.35">
      <c r="A568" s="1">
        <v>500428.57140000002</v>
      </c>
      <c r="B568" s="1">
        <v>5999997.0760000004</v>
      </c>
      <c r="C568" s="1">
        <v>139.234638858198</v>
      </c>
      <c r="D568" s="1">
        <f t="shared" si="100"/>
        <v>429.31829306662286</v>
      </c>
      <c r="E568" s="1">
        <v>0.01</v>
      </c>
      <c r="F568" s="1">
        <v>0.05</v>
      </c>
      <c r="G568" s="1">
        <v>0.1</v>
      </c>
      <c r="H568" s="1">
        <v>9.81</v>
      </c>
      <c r="I568" s="1">
        <v>2650</v>
      </c>
      <c r="J568" s="1">
        <v>1000</v>
      </c>
      <c r="K568" s="1">
        <v>1.65</v>
      </c>
      <c r="L568" s="1">
        <v>6.5</v>
      </c>
      <c r="M568" s="1">
        <v>2.5</v>
      </c>
      <c r="N568" s="6">
        <v>9.9999999999999995E-7</v>
      </c>
      <c r="O568" s="1">
        <f t="shared" si="96"/>
        <v>10.213570502749036</v>
      </c>
      <c r="P568" s="1">
        <f t="shared" si="97"/>
        <v>10.221862151517284</v>
      </c>
      <c r="Q568" s="1">
        <f t="shared" si="98"/>
        <v>11.240842593550063</v>
      </c>
      <c r="R568" s="1">
        <v>125.62909999999997</v>
      </c>
      <c r="S568" s="1" t="e">
        <f t="shared" si="99"/>
        <v>#N/A</v>
      </c>
      <c r="T568" s="1" t="e">
        <v>#N/A</v>
      </c>
    </row>
    <row r="569" spans="1:20" x14ac:dyDescent="0.35">
      <c r="A569" s="1">
        <v>500438.77549999999</v>
      </c>
      <c r="B569" s="1">
        <v>5999996.5899999999</v>
      </c>
      <c r="C569" s="1">
        <v>139.590466112179</v>
      </c>
      <c r="D569" s="1">
        <f t="shared" si="100"/>
        <v>439.5339600937898</v>
      </c>
      <c r="E569" s="1">
        <v>0.01</v>
      </c>
      <c r="F569" s="1">
        <v>0.05</v>
      </c>
      <c r="G569" s="1">
        <v>0.1</v>
      </c>
      <c r="H569" s="1">
        <v>9.81</v>
      </c>
      <c r="I569" s="1">
        <v>2650</v>
      </c>
      <c r="J569" s="1">
        <v>1000</v>
      </c>
      <c r="K569" s="1">
        <v>1.65</v>
      </c>
      <c r="L569" s="1">
        <v>6.5</v>
      </c>
      <c r="M569" s="1">
        <v>2.5</v>
      </c>
      <c r="N569" s="6">
        <v>9.9999999999999995E-7</v>
      </c>
      <c r="O569" s="1">
        <f t="shared" si="96"/>
        <v>10.227678867958247</v>
      </c>
      <c r="P569" s="1">
        <f t="shared" si="97"/>
        <v>10.247073843648518</v>
      </c>
      <c r="Q569" s="1">
        <f t="shared" si="98"/>
        <v>10.2344679975829</v>
      </c>
      <c r="R569" s="1">
        <v>125.62909999999997</v>
      </c>
      <c r="S569" s="1" t="e">
        <f t="shared" si="99"/>
        <v>#N/A</v>
      </c>
      <c r="T569" s="1" t="e">
        <v>#N/A</v>
      </c>
    </row>
    <row r="570" spans="1:20" x14ac:dyDescent="0.35">
      <c r="A570" s="1">
        <v>500448.97960000002</v>
      </c>
      <c r="B570" s="1">
        <v>5999995.7369999997</v>
      </c>
      <c r="C570" s="1">
        <v>139.20154896633201</v>
      </c>
      <c r="D570" s="1">
        <f t="shared" si="100"/>
        <v>449.77365080253935</v>
      </c>
      <c r="E570" s="1">
        <v>0.01</v>
      </c>
      <c r="F570" s="1">
        <v>0.05</v>
      </c>
      <c r="G570" s="1">
        <v>0.1</v>
      </c>
      <c r="H570" s="1">
        <v>9.81</v>
      </c>
      <c r="I570" s="1">
        <v>2650</v>
      </c>
      <c r="J570" s="1">
        <v>1000</v>
      </c>
      <c r="K570" s="1">
        <v>1.65</v>
      </c>
      <c r="L570" s="1">
        <v>6.5</v>
      </c>
      <c r="M570" s="1">
        <v>2.5</v>
      </c>
      <c r="N570" s="6">
        <v>9.9999999999999995E-7</v>
      </c>
      <c r="O570" s="1">
        <f t="shared" si="96"/>
        <v>10.226507982984828</v>
      </c>
      <c r="P570" s="1">
        <f t="shared" si="97"/>
        <v>10.216402783069102</v>
      </c>
      <c r="Q570" s="1">
        <f t="shared" si="98"/>
        <v>10.231738313358811</v>
      </c>
      <c r="R570" s="1">
        <v>125.62909999999997</v>
      </c>
      <c r="S570" s="1" t="e">
        <f t="shared" si="99"/>
        <v>#N/A</v>
      </c>
      <c r="T570" s="1" t="e">
        <v>#N/A</v>
      </c>
    </row>
    <row r="571" spans="1:20" x14ac:dyDescent="0.35">
      <c r="A571" s="1">
        <v>500459.18369999999</v>
      </c>
      <c r="B571" s="1">
        <v>5999996.1710000001</v>
      </c>
      <c r="C571" s="1">
        <v>138.95080404388699</v>
      </c>
      <c r="D571" s="1">
        <f t="shared" si="100"/>
        <v>459.98697605975946</v>
      </c>
      <c r="E571" s="1">
        <v>0.01</v>
      </c>
      <c r="F571" s="1">
        <v>0.05</v>
      </c>
      <c r="G571" s="1">
        <v>0.1</v>
      </c>
      <c r="H571" s="1">
        <v>9.81</v>
      </c>
      <c r="I571" s="1">
        <v>2650</v>
      </c>
      <c r="J571" s="1">
        <v>1000</v>
      </c>
      <c r="K571" s="1">
        <v>1.65</v>
      </c>
      <c r="L571" s="1">
        <v>6.5</v>
      </c>
      <c r="M571" s="1">
        <v>2.5</v>
      </c>
      <c r="N571" s="6">
        <v>9.9999999999999995E-7</v>
      </c>
      <c r="O571" s="1">
        <f t="shared" si="96"/>
        <v>10.228563101333435</v>
      </c>
      <c r="P571" s="1">
        <f t="shared" si="97"/>
        <v>10.24381622597874</v>
      </c>
      <c r="Q571" s="1">
        <f t="shared" si="98"/>
        <v>10.23010950452392</v>
      </c>
      <c r="R571" s="1">
        <v>125.62909999999997</v>
      </c>
      <c r="S571" s="1" t="e">
        <f t="shared" si="99"/>
        <v>#N/A</v>
      </c>
      <c r="T571" s="1" t="e">
        <v>#N/A</v>
      </c>
    </row>
    <row r="572" spans="1:20" x14ac:dyDescent="0.35">
      <c r="A572" s="1">
        <v>500469.38780000003</v>
      </c>
      <c r="B572" s="1">
        <v>5999997.0719999997</v>
      </c>
      <c r="C572" s="1">
        <v>138.933110494517</v>
      </c>
      <c r="D572" s="1">
        <f t="shared" si="100"/>
        <v>470.23077700520622</v>
      </c>
      <c r="E572" s="1">
        <v>0.01</v>
      </c>
      <c r="F572" s="1">
        <v>0.05</v>
      </c>
      <c r="G572" s="1">
        <v>0.1</v>
      </c>
      <c r="H572" s="1">
        <v>9.81</v>
      </c>
      <c r="I572" s="1">
        <v>2650</v>
      </c>
      <c r="J572" s="1">
        <v>1000</v>
      </c>
      <c r="K572" s="1">
        <v>1.65</v>
      </c>
      <c r="L572" s="1">
        <v>6.5</v>
      </c>
      <c r="M572" s="1">
        <v>2.5</v>
      </c>
      <c r="N572" s="6">
        <v>9.9999999999999995E-7</v>
      </c>
      <c r="O572" s="1">
        <f t="shared" si="96"/>
        <v>10.235585469869676</v>
      </c>
      <c r="P572" s="1">
        <f t="shared" si="97"/>
        <v>14.038699271405504</v>
      </c>
      <c r="Q572" s="1">
        <f t="shared" si="98"/>
        <v>12.141257748692123</v>
      </c>
      <c r="R572" s="1">
        <v>125.62909999999997</v>
      </c>
      <c r="S572" s="1" t="e">
        <f t="shared" si="99"/>
        <v>#N/A</v>
      </c>
      <c r="T572" s="1" t="e">
        <v>#N/A</v>
      </c>
    </row>
    <row r="573" spans="1:20" x14ac:dyDescent="0.35">
      <c r="A573" s="1">
        <v>500479.59179999999</v>
      </c>
      <c r="B573" s="1">
        <v>5999997.7630000003</v>
      </c>
      <c r="C573" s="1">
        <v>148.55007364474301</v>
      </c>
      <c r="D573" s="1">
        <f t="shared" si="100"/>
        <v>480.45814699949881</v>
      </c>
      <c r="E573" s="1">
        <v>0.01</v>
      </c>
      <c r="F573" s="1">
        <v>0.05</v>
      </c>
      <c r="G573" s="1">
        <v>0.1</v>
      </c>
      <c r="H573" s="1">
        <v>9.81</v>
      </c>
      <c r="I573" s="1">
        <v>2650</v>
      </c>
      <c r="J573" s="1">
        <v>1000</v>
      </c>
      <c r="K573" s="1">
        <v>1.65</v>
      </c>
      <c r="L573" s="1">
        <v>6.5</v>
      </c>
      <c r="M573" s="1">
        <v>2.5</v>
      </c>
      <c r="N573" s="6">
        <v>9.9999999999999995E-7</v>
      </c>
      <c r="O573" s="1">
        <f t="shared" si="96"/>
        <v>10.217030880251457</v>
      </c>
      <c r="P573" s="1">
        <f t="shared" si="97"/>
        <v>10.496604105828091</v>
      </c>
      <c r="Q573" s="1">
        <f t="shared" si="98"/>
        <v>12.267651688616798</v>
      </c>
      <c r="R573" s="1">
        <v>125.62909999999997</v>
      </c>
      <c r="S573" s="1" t="e">
        <f t="shared" si="99"/>
        <v>#N/A</v>
      </c>
      <c r="T573" s="1" t="e">
        <v>#N/A</v>
      </c>
    </row>
    <row r="574" spans="1:20" x14ac:dyDescent="0.35">
      <c r="A574" s="1">
        <v>500489.79590000003</v>
      </c>
      <c r="B574" s="1">
        <v>5999997.9929999998</v>
      </c>
      <c r="C574" s="1">
        <v>146.10014692256101</v>
      </c>
      <c r="D574" s="1">
        <f t="shared" si="100"/>
        <v>490.66483876570913</v>
      </c>
      <c r="E574" s="1">
        <v>0.01</v>
      </c>
      <c r="F574" s="1">
        <v>0.05</v>
      </c>
      <c r="G574" s="1">
        <v>0.1</v>
      </c>
      <c r="H574" s="1">
        <v>9.81</v>
      </c>
      <c r="I574" s="1">
        <v>2650</v>
      </c>
      <c r="J574" s="1">
        <v>1000</v>
      </c>
      <c r="K574" s="1">
        <v>1.65</v>
      </c>
      <c r="L574" s="1">
        <v>6.5</v>
      </c>
      <c r="M574" s="1">
        <v>2.5</v>
      </c>
      <c r="N574" s="6">
        <v>9.9999999999999995E-7</v>
      </c>
      <c r="O574" s="1">
        <f t="shared" si="96"/>
        <v>10.209902888805345</v>
      </c>
      <c r="P574" s="1">
        <f t="shared" si="97"/>
        <v>10.652346301971106</v>
      </c>
      <c r="Q574" s="1">
        <f t="shared" si="98"/>
        <v>10.574475203899599</v>
      </c>
      <c r="R574" s="1">
        <v>125.62909999999997</v>
      </c>
      <c r="S574" s="1" t="e">
        <f t="shared" si="99"/>
        <v>#N/A</v>
      </c>
      <c r="T574" s="1" t="e">
        <v>#N/A</v>
      </c>
    </row>
    <row r="575" spans="1:20" x14ac:dyDescent="0.35">
      <c r="A575" s="1">
        <v>500500</v>
      </c>
      <c r="B575" s="1">
        <v>5999998.4220000003</v>
      </c>
      <c r="C575" s="1">
        <v>149.127486336511</v>
      </c>
      <c r="D575" s="1">
        <f t="shared" si="100"/>
        <v>500.8779527771095</v>
      </c>
      <c r="E575" s="1">
        <v>0.01</v>
      </c>
      <c r="F575" s="1">
        <v>0.05</v>
      </c>
      <c r="G575" s="1">
        <v>0.1</v>
      </c>
      <c r="H575" s="1">
        <v>9.81</v>
      </c>
      <c r="I575" s="1">
        <v>2650</v>
      </c>
      <c r="J575" s="1">
        <v>1000</v>
      </c>
      <c r="K575" s="1">
        <v>1.65</v>
      </c>
      <c r="L575" s="1">
        <v>6.5</v>
      </c>
      <c r="M575" s="1">
        <v>2.5</v>
      </c>
      <c r="N575" s="6">
        <v>9.9999999999999995E-7</v>
      </c>
      <c r="O575" s="1">
        <f xml:space="preserve"> (D575 - D574) / 2</f>
        <v>5.1065570057001821</v>
      </c>
    </row>
    <row r="578" spans="1:57" x14ac:dyDescent="0.35">
      <c r="A578" s="1" t="s">
        <v>0</v>
      </c>
      <c r="B578" s="1" t="s">
        <v>1</v>
      </c>
      <c r="C578" s="1" t="s">
        <v>2</v>
      </c>
      <c r="D578" s="1" t="s">
        <v>18</v>
      </c>
      <c r="E578" s="1" t="s">
        <v>67</v>
      </c>
      <c r="F578" s="1" t="s">
        <v>66</v>
      </c>
      <c r="G578" s="1" t="s">
        <v>65</v>
      </c>
      <c r="H578" s="1" t="s">
        <v>64</v>
      </c>
      <c r="I578" s="1" t="s">
        <v>63</v>
      </c>
      <c r="J578" s="1" t="s">
        <v>62</v>
      </c>
      <c r="K578" s="1" t="s">
        <v>61</v>
      </c>
      <c r="L578" s="1" t="s">
        <v>60</v>
      </c>
      <c r="M578" s="1" t="s">
        <v>59</v>
      </c>
      <c r="N578" s="1" t="s">
        <v>58</v>
      </c>
      <c r="O578" s="1" t="s">
        <v>57</v>
      </c>
      <c r="P578" s="1" t="s">
        <v>56</v>
      </c>
      <c r="Q578" s="1" t="s">
        <v>55</v>
      </c>
      <c r="R578" s="1" t="s">
        <v>54</v>
      </c>
      <c r="S578" s="1" t="s">
        <v>16</v>
      </c>
      <c r="T578" s="1" t="s">
        <v>53</v>
      </c>
      <c r="U578" s="10" t="s">
        <v>52</v>
      </c>
      <c r="V578" s="10" t="s">
        <v>51</v>
      </c>
      <c r="W578" s="10" t="s">
        <v>50</v>
      </c>
      <c r="X578" s="10" t="s">
        <v>49</v>
      </c>
      <c r="Y578" s="1" t="s">
        <v>48</v>
      </c>
      <c r="Z578" s="1" t="s">
        <v>47</v>
      </c>
      <c r="AA578" s="1" t="s">
        <v>46</v>
      </c>
      <c r="AB578" s="1" t="s">
        <v>45</v>
      </c>
      <c r="AC578" s="1" t="s">
        <v>44</v>
      </c>
      <c r="AD578" s="1" t="s">
        <v>43</v>
      </c>
      <c r="AE578" s="1" t="s">
        <v>42</v>
      </c>
      <c r="AF578" s="1" t="s">
        <v>41</v>
      </c>
      <c r="AG578" s="1" t="s">
        <v>40</v>
      </c>
      <c r="AH578" s="1" t="s">
        <v>39</v>
      </c>
      <c r="AI578" s="1" t="s">
        <v>38</v>
      </c>
      <c r="AJ578" s="1" t="s">
        <v>37</v>
      </c>
      <c r="AK578" s="1" t="s">
        <v>36</v>
      </c>
      <c r="AL578" s="1" t="s">
        <v>35</v>
      </c>
      <c r="AM578" s="1" t="s">
        <v>34</v>
      </c>
      <c r="AN578" s="1" t="s">
        <v>34</v>
      </c>
      <c r="AO578" s="7" t="s">
        <v>33</v>
      </c>
      <c r="AP578" s="7" t="s">
        <v>32</v>
      </c>
      <c r="AQ578" s="7" t="s">
        <v>31</v>
      </c>
      <c r="AR578" s="7" t="s">
        <v>30</v>
      </c>
      <c r="AS578" s="7" t="s">
        <v>29</v>
      </c>
      <c r="AT578" s="7" t="s">
        <v>28</v>
      </c>
      <c r="AU578" s="7" t="s">
        <v>27</v>
      </c>
      <c r="AV578" s="7" t="s">
        <v>27</v>
      </c>
      <c r="AW578" s="1" t="s">
        <v>26</v>
      </c>
      <c r="AX578" s="1" t="s">
        <v>25</v>
      </c>
      <c r="AY578" s="1" t="s">
        <v>24</v>
      </c>
      <c r="AZ578" s="1" t="s">
        <v>23</v>
      </c>
      <c r="BA578" s="1" t="s">
        <v>22</v>
      </c>
      <c r="BB578" s="1" t="s">
        <v>21</v>
      </c>
      <c r="BC578" s="1" t="s">
        <v>20</v>
      </c>
      <c r="BD578" s="1" t="s">
        <v>20</v>
      </c>
      <c r="BE578" s="1" t="s">
        <v>19</v>
      </c>
    </row>
    <row r="579" spans="1:57" x14ac:dyDescent="0.35">
      <c r="A579" s="1">
        <v>500000</v>
      </c>
      <c r="B579" s="1">
        <v>5999999.0959999999</v>
      </c>
      <c r="C579" s="1">
        <v>146.95665459614199</v>
      </c>
      <c r="D579" s="1">
        <v>0</v>
      </c>
      <c r="E579" s="1">
        <v>0.01</v>
      </c>
      <c r="F579" s="1">
        <v>0.05</v>
      </c>
      <c r="G579" s="1">
        <v>0.1</v>
      </c>
      <c r="H579" s="1">
        <v>9.81</v>
      </c>
      <c r="I579" s="1">
        <v>2650</v>
      </c>
      <c r="J579" s="1">
        <v>1000</v>
      </c>
      <c r="K579" s="1">
        <v>1.65</v>
      </c>
      <c r="L579" s="1">
        <v>6.5</v>
      </c>
      <c r="M579" s="1">
        <v>2.5</v>
      </c>
      <c r="N579" s="6">
        <v>9.9999999999999995E-7</v>
      </c>
      <c r="O579" s="1">
        <f xml:space="preserve"> (D580 - D579) / 2</f>
        <v>5.1061868798967165</v>
      </c>
      <c r="P579" s="1">
        <f t="shared" ref="P579:P610" si="101">SQRT((D580 - D579)^2 + (C580 - C579)^2)</f>
        <v>12.612081347143071</v>
      </c>
      <c r="Q579" s="1">
        <f t="shared" ref="Q579:Q610" si="102">IF(ROW()=579, P579/2, (P579 + P578)/2)</f>
        <v>6.3060406735715357</v>
      </c>
      <c r="R579" s="1">
        <v>125.67909999999996</v>
      </c>
      <c r="S579" s="1" t="e">
        <f t="shared" ref="S579:S610" si="103">IF(R579 - C579 &lt; 0, NA(), R579 - C579)</f>
        <v>#N/A</v>
      </c>
      <c r="T579" s="1" t="e">
        <v>#N/A</v>
      </c>
      <c r="U579" s="10" cm="1">
        <f t="array" ref="U579">SUMPRODUCT(IF(ISNA(T579:T628), 0, T579:T628), IF(ISNA(O579:O628), 0, O579:O628))</f>
        <v>6.6433035140020751</v>
      </c>
      <c r="V579" s="10">
        <f>SUMIF(S579:S628, "&gt;0", O579:O628)</f>
        <v>10.221049857319429</v>
      </c>
      <c r="W579" s="10">
        <f>SUMIF(S579:S628, "&gt;0", Q579:Q628)</f>
        <v>10.577000852837193</v>
      </c>
      <c r="X579" s="10">
        <f>U579/W579</f>
        <v>0.62808953184683392</v>
      </c>
      <c r="Y579" s="1">
        <f xml:space="preserve"> (6.5 * 2.5 * (X579 / G579)) / SQRT(6.5^2 + 2.5^2 * (X579 / G579)^(5/3))</f>
        <v>7.6959483284793322</v>
      </c>
      <c r="Z579" s="1">
        <f>Y579*SQRT(X579*H579*E579)</f>
        <v>1.9103257266662601</v>
      </c>
      <c r="AA579" s="1">
        <f>J579*H579*X579*E579</f>
        <v>61.61558307417441</v>
      </c>
      <c r="AB579" s="1">
        <f>(AA579 / (9.81 * 1000 *1.65 * F579))</f>
        <v>7.61320644662829E-2</v>
      </c>
      <c r="AC579" s="9">
        <f xml:space="preserve"> F579 * (K579 * H579 / (N579)^2)^(1/3)</f>
        <v>1264.7974700106745</v>
      </c>
      <c r="AD579" s="1">
        <f xml:space="preserve"> 0.3 / (1 + 1.2 * AC579) + 0.055 * (1 - EXP(-0.02 * AC579))</f>
        <v>5.5197529957883754E-2</v>
      </c>
      <c r="AE579" s="1">
        <f>IF(AC579 &lt;= 4, 0.24 * AC579^-1, IF(AC579 &gt; 4, IF(AC579 &lt;= 10, 0.14 * AC579^-0.64, IF(AC579 &lt;= 20, 0.04 * AC579^-0.1, IF(AC579 &lt;= 150, 0.013 * AC579^0.29, 0.056)))))</f>
        <v>5.6000000000000001E-2</v>
      </c>
      <c r="AF579" s="1">
        <f>AB579/AD579-1</f>
        <v>0.37926578461703619</v>
      </c>
      <c r="AG579" s="1">
        <f xml:space="preserve"> 2.45 * SQRT(AD579) / (K579 + 1)^0.4</f>
        <v>0.38978718496890047</v>
      </c>
      <c r="AH579" s="1">
        <f>SQRT(2/3 + 36 / AC579^3) - SQRT(36 / AC579^3)</f>
        <v>0.81636320289979147</v>
      </c>
      <c r="AI579" s="1">
        <f>AA579* Z579 / (J579 * (H579* K579 * F579)^(3/2))</f>
        <v>0.16166408671327107</v>
      </c>
      <c r="AJ579" s="1">
        <f>AD579* K579 * F579 / E579</f>
        <v>0.45537962215254096</v>
      </c>
      <c r="AK579" s="1">
        <f>Y579 * AD579^(3/2)</f>
        <v>9.9802543352630071E-2</v>
      </c>
      <c r="AL579" s="1">
        <f>(0.92 - 0.25 * SQRT(AK579 / AI579))^9</f>
        <v>5.4366854382485022E-2</v>
      </c>
      <c r="AM579" s="1">
        <v>5.2759527000000001E-2</v>
      </c>
      <c r="AN579" s="1">
        <v>4.7434165E-2</v>
      </c>
      <c r="AO579" s="7">
        <f>IF(AB579 &gt; 0.047, 8 * (AB579 - 0.047)^(3/2), 0)</f>
        <v>3.9778360606375372E-2</v>
      </c>
      <c r="AP579" s="7">
        <f>IF(AB579&gt; 0.047, 4 * (AB579 - 0.047)^(3/2), 0)</f>
        <v>1.9889180303187686E-2</v>
      </c>
      <c r="AQ579" s="7">
        <f xml:space="preserve"> (0.053 / AC579^(0.3)) * ((AB579 / AE579) - 1)^2.1</f>
        <v>7.2550460351302121E-4</v>
      </c>
      <c r="AR579" s="7">
        <f xml:space="preserve"> IF(AB579 &gt; AD579, 0.635 * AF579 * SQRT(AB579) * (1 - (1 / (AG579*AF579)) * LOG(1 + AF579*AG579)), 0)</f>
        <v>3.9535463991848825E-2</v>
      </c>
      <c r="AS579" s="8">
        <f>IF(AB579&gt;= 0.19, 40 * AH579 * AB579^3, (AH579 * EXP(-0.391 / AB579)) / 0.465)</f>
        <v>1.0327031143571806E-2</v>
      </c>
      <c r="AT579" s="7">
        <f>AL579* AI579</f>
        <v>8.7891678612178389E-3</v>
      </c>
      <c r="AU579" s="7">
        <f>14 * AB579^2.5 / (1 + (AM579/AB579)^4)</f>
        <v>1.8193502015127868E-2</v>
      </c>
      <c r="AV579" s="7">
        <f>14*AB579^2.5/(1+(AN579/AB579)^4)</f>
        <v>1.9457515285487975E-2</v>
      </c>
      <c r="AW579" s="1">
        <f>AO579*SQRT(1.65*9.81*F579^3)</f>
        <v>1.7892802275765239E-3</v>
      </c>
      <c r="AX579" s="1">
        <f>AP579*SQRT(1.65*9.81*F579^3)</f>
        <v>8.9464011378826195E-4</v>
      </c>
      <c r="AY579" s="1">
        <f>AQ579*SQRT(1.65*9.81*F579^3)</f>
        <v>3.263410111158628E-5</v>
      </c>
      <c r="AZ579" s="1">
        <f>AR579*SQRT(1.65*9.81*F579^3)</f>
        <v>1.7783544351835621E-3</v>
      </c>
      <c r="BA579" s="1">
        <f>AS579*SQRT(1.65*9.81*F579^3)</f>
        <v>4.6452272927000683E-4</v>
      </c>
      <c r="BB579" s="1">
        <f>AT579*SQRT(1.65*9.81*F579^3)</f>
        <v>3.9534772251040523E-4</v>
      </c>
      <c r="BC579" s="1">
        <f>AU579*SQRT(1.65*9.81*G579^3)</f>
        <v>2.3146896994729179E-3</v>
      </c>
      <c r="BD579" s="1">
        <f>AV579*SQRT(1.65*9.81*G579^3)</f>
        <v>2.4755052749716217E-3</v>
      </c>
      <c r="BE579" s="1">
        <f>U579*Z579</f>
        <v>12.690873612850533</v>
      </c>
    </row>
    <row r="580" spans="1:57" x14ac:dyDescent="0.35">
      <c r="A580" s="1">
        <v>500010.20409999997</v>
      </c>
      <c r="B580" s="1">
        <v>5999998.6849999996</v>
      </c>
      <c r="C580" s="1">
        <v>154.35746658519</v>
      </c>
      <c r="D580" s="1">
        <f t="shared" ref="D580:D611" si="104">D579 + SQRT((A580 - A579)^2 + (B580 - B579)^2)</f>
        <v>10.212373759793433</v>
      </c>
      <c r="E580" s="1">
        <v>0.01</v>
      </c>
      <c r="F580" s="1">
        <v>0.05</v>
      </c>
      <c r="G580" s="1">
        <v>0.1</v>
      </c>
      <c r="H580" s="1">
        <v>9.81</v>
      </c>
      <c r="I580" s="1">
        <v>2650</v>
      </c>
      <c r="J580" s="1">
        <v>1000</v>
      </c>
      <c r="K580" s="1">
        <v>1.65</v>
      </c>
      <c r="L580" s="1">
        <v>6.5</v>
      </c>
      <c r="M580" s="1">
        <v>2.5</v>
      </c>
      <c r="N580" s="6">
        <v>9.9999999999999995E-7</v>
      </c>
      <c r="O580" s="1">
        <f t="shared" ref="O580:O627" si="105" xml:space="preserve"> (D581 - D580 + D580 - D579) / 2</f>
        <v>10.212934886473896</v>
      </c>
      <c r="P580" s="1">
        <f t="shared" si="101"/>
        <v>10.748393624242958</v>
      </c>
      <c r="Q580" s="1">
        <f t="shared" si="102"/>
        <v>11.680237485693015</v>
      </c>
      <c r="R580" s="1">
        <v>125.67909999999996</v>
      </c>
      <c r="S580" s="1" t="e">
        <f t="shared" si="103"/>
        <v>#N/A</v>
      </c>
      <c r="T580" s="1" t="e">
        <v>#N/A</v>
      </c>
      <c r="AO580" s="7"/>
      <c r="AP580" s="7"/>
      <c r="AQ580" s="7"/>
      <c r="AR580" s="7"/>
      <c r="AS580" s="7"/>
      <c r="AT580" s="7"/>
      <c r="AU580" s="7"/>
      <c r="AV580" s="7"/>
    </row>
    <row r="581" spans="1:57" x14ac:dyDescent="0.35">
      <c r="A581" s="1">
        <v>500020.40820000001</v>
      </c>
      <c r="B581" s="1">
        <v>5999999.1229999997</v>
      </c>
      <c r="C581" s="1">
        <v>151.008964727501</v>
      </c>
      <c r="D581" s="1">
        <f t="shared" si="104"/>
        <v>20.425869772947792</v>
      </c>
      <c r="E581" s="1">
        <v>0.01</v>
      </c>
      <c r="F581" s="1">
        <v>0.05</v>
      </c>
      <c r="G581" s="1">
        <v>0.1</v>
      </c>
      <c r="H581" s="1">
        <v>9.81</v>
      </c>
      <c r="I581" s="1">
        <v>2650</v>
      </c>
      <c r="J581" s="1">
        <v>1000</v>
      </c>
      <c r="K581" s="1">
        <v>1.65</v>
      </c>
      <c r="L581" s="1">
        <v>6.5</v>
      </c>
      <c r="M581" s="1">
        <v>2.5</v>
      </c>
      <c r="N581" s="6">
        <v>9.9999999999999995E-7</v>
      </c>
      <c r="O581" s="1">
        <f t="shared" si="105"/>
        <v>10.21125621009096</v>
      </c>
      <c r="P581" s="1">
        <f t="shared" si="101"/>
        <v>13.985433799960637</v>
      </c>
      <c r="Q581" s="1">
        <f t="shared" si="102"/>
        <v>12.366913712101798</v>
      </c>
      <c r="R581" s="1">
        <v>125.67909999999996</v>
      </c>
      <c r="S581" s="1" t="e">
        <f t="shared" si="103"/>
        <v>#N/A</v>
      </c>
      <c r="T581" s="1" t="e">
        <v>#N/A</v>
      </c>
    </row>
    <row r="582" spans="1:57" x14ac:dyDescent="0.35">
      <c r="A582" s="1">
        <v>500030.61219999997</v>
      </c>
      <c r="B582" s="1">
        <v>5999998.8030000003</v>
      </c>
      <c r="C582" s="1">
        <v>160.567643641144</v>
      </c>
      <c r="D582" s="1">
        <f t="shared" si="104"/>
        <v>30.634886179975354</v>
      </c>
      <c r="E582" s="1">
        <v>0.01</v>
      </c>
      <c r="F582" s="1">
        <v>0.05</v>
      </c>
      <c r="G582" s="1">
        <v>0.1</v>
      </c>
      <c r="H582" s="1">
        <v>9.81</v>
      </c>
      <c r="I582" s="1">
        <v>2650</v>
      </c>
      <c r="J582" s="1">
        <v>1000</v>
      </c>
      <c r="K582" s="1">
        <v>1.65</v>
      </c>
      <c r="L582" s="1">
        <v>6.5</v>
      </c>
      <c r="M582" s="1">
        <v>2.5</v>
      </c>
      <c r="N582" s="6">
        <v>9.9999999999999995E-7</v>
      </c>
      <c r="O582" s="1">
        <f t="shared" si="105"/>
        <v>10.214935822867286</v>
      </c>
      <c r="P582" s="1">
        <f t="shared" si="101"/>
        <v>10.224042445454263</v>
      </c>
      <c r="Q582" s="1">
        <f t="shared" si="102"/>
        <v>12.104738122707449</v>
      </c>
      <c r="R582" s="1">
        <v>125.67909999999996</v>
      </c>
      <c r="S582" s="1" t="e">
        <f t="shared" si="103"/>
        <v>#N/A</v>
      </c>
      <c r="T582" s="1" t="e">
        <v>#N/A</v>
      </c>
    </row>
    <row r="583" spans="1:57" x14ac:dyDescent="0.35">
      <c r="A583" s="1">
        <v>500040.81630000001</v>
      </c>
      <c r="B583" s="1">
        <v>5999998.2180000003</v>
      </c>
      <c r="C583" s="1">
        <v>160.82291235416201</v>
      </c>
      <c r="D583" s="1">
        <f t="shared" si="104"/>
        <v>40.855741418682364</v>
      </c>
      <c r="E583" s="1">
        <v>0.01</v>
      </c>
      <c r="F583" s="1">
        <v>0.05</v>
      </c>
      <c r="G583" s="1">
        <v>0.1</v>
      </c>
      <c r="H583" s="1">
        <v>9.81</v>
      </c>
      <c r="I583" s="1">
        <v>2650</v>
      </c>
      <c r="J583" s="1">
        <v>1000</v>
      </c>
      <c r="K583" s="1">
        <v>1.65</v>
      </c>
      <c r="L583" s="1">
        <v>6.5</v>
      </c>
      <c r="M583" s="1">
        <v>2.5</v>
      </c>
      <c r="N583" s="6">
        <v>9.9999999999999995E-7</v>
      </c>
      <c r="O583" s="1">
        <f t="shared" si="105"/>
        <v>10.231243785008825</v>
      </c>
      <c r="P583" s="1">
        <f t="shared" si="101"/>
        <v>10.333484931908488</v>
      </c>
      <c r="Q583" s="1">
        <f t="shared" si="102"/>
        <v>10.278763688681376</v>
      </c>
      <c r="R583" s="1">
        <v>125.67909999999996</v>
      </c>
      <c r="S583" s="1" t="e">
        <f t="shared" si="103"/>
        <v>#N/A</v>
      </c>
      <c r="T583" s="1" t="e">
        <v>#N/A</v>
      </c>
    </row>
    <row r="584" spans="1:57" x14ac:dyDescent="0.35">
      <c r="A584" s="1">
        <v>500051.02039999998</v>
      </c>
      <c r="B584" s="1">
        <v>5999997.3420000002</v>
      </c>
      <c r="C584" s="1">
        <v>159.448184007094</v>
      </c>
      <c r="D584" s="1">
        <f t="shared" si="104"/>
        <v>51.097373749993004</v>
      </c>
      <c r="E584" s="1">
        <v>0.01</v>
      </c>
      <c r="F584" s="1">
        <v>0.05</v>
      </c>
      <c r="G584" s="1">
        <v>0.1</v>
      </c>
      <c r="H584" s="1">
        <v>9.81</v>
      </c>
      <c r="I584" s="1">
        <v>2650</v>
      </c>
      <c r="J584" s="1">
        <v>1000</v>
      </c>
      <c r="K584" s="1">
        <v>1.65</v>
      </c>
      <c r="L584" s="1">
        <v>6.5</v>
      </c>
      <c r="M584" s="1">
        <v>2.5</v>
      </c>
      <c r="N584" s="6">
        <v>9.9999999999999995E-7</v>
      </c>
      <c r="O584" s="1">
        <f t="shared" si="105"/>
        <v>10.22297614478725</v>
      </c>
      <c r="P584" s="1">
        <f t="shared" si="101"/>
        <v>11.164078602095582</v>
      </c>
      <c r="Q584" s="1">
        <f t="shared" si="102"/>
        <v>10.748781767002036</v>
      </c>
      <c r="R584" s="1">
        <v>125.67909999999996</v>
      </c>
      <c r="S584" s="1" t="e">
        <f t="shared" si="103"/>
        <v>#N/A</v>
      </c>
      <c r="T584" s="1" t="e">
        <v>#N/A</v>
      </c>
    </row>
    <row r="585" spans="1:57" x14ac:dyDescent="0.35">
      <c r="A585" s="1">
        <v>500061.22450000001</v>
      </c>
      <c r="B585" s="1">
        <v>5999997.2750000004</v>
      </c>
      <c r="C585" s="1">
        <v>163.976815723534</v>
      </c>
      <c r="D585" s="1">
        <f t="shared" si="104"/>
        <v>61.301693708256863</v>
      </c>
      <c r="E585" s="1">
        <v>0.01</v>
      </c>
      <c r="F585" s="1">
        <v>0.05</v>
      </c>
      <c r="G585" s="1">
        <v>0.1</v>
      </c>
      <c r="H585" s="1">
        <v>9.81</v>
      </c>
      <c r="I585" s="1">
        <v>2650</v>
      </c>
      <c r="J585" s="1">
        <v>1000</v>
      </c>
      <c r="K585" s="1">
        <v>1.65</v>
      </c>
      <c r="L585" s="1">
        <v>6.5</v>
      </c>
      <c r="M585" s="1">
        <v>2.5</v>
      </c>
      <c r="N585" s="6">
        <v>9.9999999999999995E-7</v>
      </c>
      <c r="O585" s="1">
        <f t="shared" si="105"/>
        <v>10.209391538632293</v>
      </c>
      <c r="P585" s="1">
        <f t="shared" si="101"/>
        <v>11.034750060361873</v>
      </c>
      <c r="Q585" s="1">
        <f t="shared" si="102"/>
        <v>11.099414331228727</v>
      </c>
      <c r="R585" s="1">
        <v>125.67909999999996</v>
      </c>
      <c r="S585" s="1" t="e">
        <f t="shared" si="103"/>
        <v>#N/A</v>
      </c>
      <c r="T585" s="1" t="e">
        <v>#N/A</v>
      </c>
    </row>
    <row r="586" spans="1:57" x14ac:dyDescent="0.35">
      <c r="A586" s="1">
        <v>500071.42859999998</v>
      </c>
      <c r="B586" s="1">
        <v>5999996.8150000004</v>
      </c>
      <c r="C586" s="1">
        <v>168.15179501512699</v>
      </c>
      <c r="D586" s="1">
        <f t="shared" si="104"/>
        <v>71.516156827257589</v>
      </c>
      <c r="E586" s="1">
        <v>0.01</v>
      </c>
      <c r="F586" s="1">
        <v>0.05</v>
      </c>
      <c r="G586" s="1">
        <v>0.1</v>
      </c>
      <c r="H586" s="1">
        <v>9.81</v>
      </c>
      <c r="I586" s="1">
        <v>2650</v>
      </c>
      <c r="J586" s="1">
        <v>1000</v>
      </c>
      <c r="K586" s="1">
        <v>1.65</v>
      </c>
      <c r="L586" s="1">
        <v>6.5</v>
      </c>
      <c r="M586" s="1">
        <v>2.5</v>
      </c>
      <c r="N586" s="6">
        <v>9.9999999999999995E-7</v>
      </c>
      <c r="O586" s="1">
        <f t="shared" si="105"/>
        <v>10.229976351370027</v>
      </c>
      <c r="P586" s="1">
        <f t="shared" si="101"/>
        <v>11.687505241745082</v>
      </c>
      <c r="Q586" s="1">
        <f t="shared" si="102"/>
        <v>11.361127651053478</v>
      </c>
      <c r="R586" s="1">
        <v>125.67909999999996</v>
      </c>
      <c r="S586" s="1" t="e">
        <f t="shared" si="103"/>
        <v>#N/A</v>
      </c>
      <c r="T586" s="1" t="e">
        <v>#N/A</v>
      </c>
    </row>
    <row r="587" spans="1:57" x14ac:dyDescent="0.35">
      <c r="A587" s="1">
        <v>500081.63270000002</v>
      </c>
      <c r="B587" s="1">
        <v>5999997.7350000003</v>
      </c>
      <c r="C587" s="1">
        <v>162.52794206849799</v>
      </c>
      <c r="D587" s="1">
        <f t="shared" si="104"/>
        <v>81.761646410996917</v>
      </c>
      <c r="E587" s="1">
        <v>0.01</v>
      </c>
      <c r="F587" s="1">
        <v>0.05</v>
      </c>
      <c r="G587" s="1">
        <v>0.1</v>
      </c>
      <c r="H587" s="1">
        <v>9.81</v>
      </c>
      <c r="I587" s="1">
        <v>2650</v>
      </c>
      <c r="J587" s="1">
        <v>1000</v>
      </c>
      <c r="K587" s="1">
        <v>1.65</v>
      </c>
      <c r="L587" s="1">
        <v>6.5</v>
      </c>
      <c r="M587" s="1">
        <v>2.5</v>
      </c>
      <c r="N587" s="6">
        <v>9.9999999999999995E-7</v>
      </c>
      <c r="O587" s="1">
        <f t="shared" si="105"/>
        <v>10.224765396477437</v>
      </c>
      <c r="P587" s="1">
        <f t="shared" si="101"/>
        <v>11.652977208096294</v>
      </c>
      <c r="Q587" s="1">
        <f t="shared" si="102"/>
        <v>11.670241224920687</v>
      </c>
      <c r="R587" s="1">
        <v>125.67909999999996</v>
      </c>
      <c r="S587" s="1" t="e">
        <f t="shared" si="103"/>
        <v>#N/A</v>
      </c>
      <c r="T587" s="1" t="e">
        <v>#N/A</v>
      </c>
    </row>
    <row r="588" spans="1:57" x14ac:dyDescent="0.35">
      <c r="A588" s="1">
        <v>500091.83669999999</v>
      </c>
      <c r="B588" s="1">
        <v>5999997.7640000004</v>
      </c>
      <c r="C588" s="1">
        <v>168.15550111421601</v>
      </c>
      <c r="D588" s="1">
        <f t="shared" si="104"/>
        <v>91.965687620212464</v>
      </c>
      <c r="E588" s="1">
        <v>0.01</v>
      </c>
      <c r="F588" s="1">
        <v>0.05</v>
      </c>
      <c r="G588" s="1">
        <v>0.1</v>
      </c>
      <c r="H588" s="1">
        <v>9.81</v>
      </c>
      <c r="I588" s="1">
        <v>2650</v>
      </c>
      <c r="J588" s="1">
        <v>1000</v>
      </c>
      <c r="K588" s="1">
        <v>1.65</v>
      </c>
      <c r="L588" s="1">
        <v>6.5</v>
      </c>
      <c r="M588" s="1">
        <v>2.5</v>
      </c>
      <c r="N588" s="6">
        <v>9.9999999999999995E-7</v>
      </c>
      <c r="O588" s="1">
        <f t="shared" si="105"/>
        <v>10.204607223431253</v>
      </c>
      <c r="P588" s="1">
        <f t="shared" si="101"/>
        <v>10.499401533865951</v>
      </c>
      <c r="Q588" s="1">
        <f t="shared" si="102"/>
        <v>11.076189370981123</v>
      </c>
      <c r="R588" s="1">
        <v>125.67909999999996</v>
      </c>
      <c r="S588" s="1" t="e">
        <f t="shared" si="103"/>
        <v>#N/A</v>
      </c>
      <c r="T588" s="1" t="e">
        <v>#N/A</v>
      </c>
    </row>
    <row r="589" spans="1:57" x14ac:dyDescent="0.35">
      <c r="A589" s="1">
        <v>500102.04080000002</v>
      </c>
      <c r="B589" s="1">
        <v>5999997.9119999995</v>
      </c>
      <c r="C589" s="1">
        <v>170.62367285843499</v>
      </c>
      <c r="D589" s="1">
        <f t="shared" si="104"/>
        <v>102.17086085785942</v>
      </c>
      <c r="E589" s="1">
        <v>0.01</v>
      </c>
      <c r="F589" s="1">
        <v>0.05</v>
      </c>
      <c r="G589" s="1">
        <v>0.1</v>
      </c>
      <c r="H589" s="1">
        <v>9.81</v>
      </c>
      <c r="I589" s="1">
        <v>2650</v>
      </c>
      <c r="J589" s="1">
        <v>1000</v>
      </c>
      <c r="K589" s="1">
        <v>1.65</v>
      </c>
      <c r="L589" s="1">
        <v>6.5</v>
      </c>
      <c r="M589" s="1">
        <v>2.5</v>
      </c>
      <c r="N589" s="6">
        <v>9.9999999999999995E-7</v>
      </c>
      <c r="O589" s="1">
        <f t="shared" si="105"/>
        <v>10.21006882166494</v>
      </c>
      <c r="P589" s="1">
        <f t="shared" si="101"/>
        <v>10.948230205101877</v>
      </c>
      <c r="Q589" s="1">
        <f t="shared" si="102"/>
        <v>10.723815869483914</v>
      </c>
      <c r="R589" s="1">
        <v>125.67909999999996</v>
      </c>
      <c r="S589" s="1" t="e">
        <f t="shared" si="103"/>
        <v>#N/A</v>
      </c>
      <c r="T589" s="1" t="e">
        <v>#N/A</v>
      </c>
    </row>
    <row r="590" spans="1:57" x14ac:dyDescent="0.35">
      <c r="A590" s="1">
        <v>500112.24489999999</v>
      </c>
      <c r="B590" s="1">
        <v>5999997.4409999996</v>
      </c>
      <c r="C590" s="1">
        <v>174.56299346160199</v>
      </c>
      <c r="D590" s="1">
        <f t="shared" si="104"/>
        <v>112.38582526354234</v>
      </c>
      <c r="E590" s="1">
        <v>0.01</v>
      </c>
      <c r="F590" s="1">
        <v>0.05</v>
      </c>
      <c r="G590" s="1">
        <v>0.1</v>
      </c>
      <c r="H590" s="1">
        <v>9.81</v>
      </c>
      <c r="I590" s="1">
        <v>2650</v>
      </c>
      <c r="J590" s="1">
        <v>1000</v>
      </c>
      <c r="K590" s="1">
        <v>1.65</v>
      </c>
      <c r="L590" s="1">
        <v>6.5</v>
      </c>
      <c r="M590" s="1">
        <v>2.5</v>
      </c>
      <c r="N590" s="6">
        <v>9.9999999999999995E-7</v>
      </c>
      <c r="O590" s="1">
        <f t="shared" si="105"/>
        <v>10.211692861963954</v>
      </c>
      <c r="P590" s="1">
        <f t="shared" si="101"/>
        <v>13.530011313683339</v>
      </c>
      <c r="Q590" s="1">
        <f t="shared" si="102"/>
        <v>12.239120759392609</v>
      </c>
      <c r="R590" s="1">
        <v>125.67909999999996</v>
      </c>
      <c r="S590" s="1" t="e">
        <f t="shared" si="103"/>
        <v>#N/A</v>
      </c>
      <c r="T590" s="1" t="e">
        <v>#N/A</v>
      </c>
    </row>
    <row r="591" spans="1:57" x14ac:dyDescent="0.35">
      <c r="A591" s="1">
        <v>500122.44900000002</v>
      </c>
      <c r="B591" s="1">
        <v>5999997.7379999999</v>
      </c>
      <c r="C591" s="1">
        <v>165.68327835707299</v>
      </c>
      <c r="D591" s="1">
        <f t="shared" si="104"/>
        <v>122.59424658178733</v>
      </c>
      <c r="E591" s="1">
        <v>0.01</v>
      </c>
      <c r="F591" s="1">
        <v>0.05</v>
      </c>
      <c r="G591" s="1">
        <v>0.1</v>
      </c>
      <c r="H591" s="1">
        <v>9.81</v>
      </c>
      <c r="I591" s="1">
        <v>2650</v>
      </c>
      <c r="J591" s="1">
        <v>1000</v>
      </c>
      <c r="K591" s="1">
        <v>1.65</v>
      </c>
      <c r="L591" s="1">
        <v>6.5</v>
      </c>
      <c r="M591" s="1">
        <v>2.5</v>
      </c>
      <c r="N591" s="6">
        <v>9.9999999999999995E-7</v>
      </c>
      <c r="O591" s="1">
        <f t="shared" si="105"/>
        <v>10.212455607463802</v>
      </c>
      <c r="P591" s="1">
        <f t="shared" si="101"/>
        <v>12.917030195420445</v>
      </c>
      <c r="Q591" s="1">
        <f t="shared" si="102"/>
        <v>13.223520754551892</v>
      </c>
      <c r="R591" s="1">
        <v>125.67909999999996</v>
      </c>
      <c r="S591" s="1" t="e">
        <f t="shared" si="103"/>
        <v>#N/A</v>
      </c>
      <c r="T591" s="1" t="e">
        <v>#N/A</v>
      </c>
    </row>
    <row r="592" spans="1:57" x14ac:dyDescent="0.35">
      <c r="A592" s="1">
        <v>500132.6531</v>
      </c>
      <c r="B592" s="1">
        <v>5999997.2350000003</v>
      </c>
      <c r="C592" s="1">
        <v>173.58726489934301</v>
      </c>
      <c r="D592" s="1">
        <f t="shared" si="104"/>
        <v>132.81073647846995</v>
      </c>
      <c r="E592" s="1">
        <v>0.01</v>
      </c>
      <c r="F592" s="1">
        <v>0.05</v>
      </c>
      <c r="G592" s="1">
        <v>0.1</v>
      </c>
      <c r="H592" s="1">
        <v>9.81</v>
      </c>
      <c r="I592" s="1">
        <v>2650</v>
      </c>
      <c r="J592" s="1">
        <v>1000</v>
      </c>
      <c r="K592" s="1">
        <v>1.65</v>
      </c>
      <c r="L592" s="1">
        <v>6.5</v>
      </c>
      <c r="M592" s="1">
        <v>2.5</v>
      </c>
      <c r="N592" s="6">
        <v>9.9999999999999995E-7</v>
      </c>
      <c r="O592" s="1">
        <f t="shared" si="105"/>
        <v>10.225512676353247</v>
      </c>
      <c r="P592" s="1">
        <f t="shared" si="101"/>
        <v>13.492945518552009</v>
      </c>
      <c r="Q592" s="1">
        <f t="shared" si="102"/>
        <v>13.204987856986227</v>
      </c>
      <c r="R592" s="1">
        <v>125.67909999999996</v>
      </c>
      <c r="S592" s="1" t="e">
        <f t="shared" si="103"/>
        <v>#N/A</v>
      </c>
      <c r="T592" s="1" t="e">
        <v>#N/A</v>
      </c>
    </row>
    <row r="593" spans="1:20" x14ac:dyDescent="0.35">
      <c r="A593" s="1">
        <v>500142.85710000002</v>
      </c>
      <c r="B593" s="1">
        <v>5999996.4450000003</v>
      </c>
      <c r="C593" s="1">
        <v>164.79443470844299</v>
      </c>
      <c r="D593" s="1">
        <f t="shared" si="104"/>
        <v>143.04527193449383</v>
      </c>
      <c r="E593" s="1">
        <v>0.01</v>
      </c>
      <c r="F593" s="1">
        <v>0.05</v>
      </c>
      <c r="G593" s="1">
        <v>0.1</v>
      </c>
      <c r="H593" s="1">
        <v>9.81</v>
      </c>
      <c r="I593" s="1">
        <v>2650</v>
      </c>
      <c r="J593" s="1">
        <v>1000</v>
      </c>
      <c r="K593" s="1">
        <v>1.65</v>
      </c>
      <c r="L593" s="1">
        <v>6.5</v>
      </c>
      <c r="M593" s="1">
        <v>2.5</v>
      </c>
      <c r="N593" s="6">
        <v>9.9999999999999995E-7</v>
      </c>
      <c r="O593" s="1">
        <f t="shared" si="105"/>
        <v>10.219577641411078</v>
      </c>
      <c r="P593" s="1">
        <f t="shared" si="101"/>
        <v>10.57052865269438</v>
      </c>
      <c r="Q593" s="1">
        <f t="shared" si="102"/>
        <v>12.031737085623195</v>
      </c>
      <c r="R593" s="1">
        <v>125.67909999999996</v>
      </c>
      <c r="S593" s="1" t="e">
        <f t="shared" si="103"/>
        <v>#N/A</v>
      </c>
      <c r="T593" s="1" t="e">
        <v>#N/A</v>
      </c>
    </row>
    <row r="594" spans="1:20" x14ac:dyDescent="0.35">
      <c r="A594" s="1">
        <v>500153.0612</v>
      </c>
      <c r="B594" s="1">
        <v>5999996.5480000004</v>
      </c>
      <c r="C594" s="1">
        <v>167.55157275140499</v>
      </c>
      <c r="D594" s="1">
        <f t="shared" si="104"/>
        <v>153.2498917612921</v>
      </c>
      <c r="E594" s="1">
        <v>0.01</v>
      </c>
      <c r="F594" s="1">
        <v>0.05</v>
      </c>
      <c r="G594" s="1">
        <v>0.1</v>
      </c>
      <c r="H594" s="1">
        <v>9.81</v>
      </c>
      <c r="I594" s="1">
        <v>2650</v>
      </c>
      <c r="J594" s="1">
        <v>1000</v>
      </c>
      <c r="K594" s="1">
        <v>1.65</v>
      </c>
      <c r="L594" s="1">
        <v>6.5</v>
      </c>
      <c r="M594" s="1">
        <v>2.5</v>
      </c>
      <c r="N594" s="6">
        <v>9.9999999999999995E-7</v>
      </c>
      <c r="O594" s="1">
        <f t="shared" si="105"/>
        <v>10.204940921281036</v>
      </c>
      <c r="P594" s="1">
        <f t="shared" si="101"/>
        <v>10.682627590463349</v>
      </c>
      <c r="Q594" s="1">
        <f t="shared" si="102"/>
        <v>10.626578121578865</v>
      </c>
      <c r="R594" s="1">
        <v>125.67909999999996</v>
      </c>
      <c r="S594" s="1" t="e">
        <f t="shared" si="103"/>
        <v>#N/A</v>
      </c>
      <c r="T594" s="1" t="e">
        <v>#N/A</v>
      </c>
    </row>
    <row r="595" spans="1:20" x14ac:dyDescent="0.35">
      <c r="A595" s="1">
        <v>500163.26530000003</v>
      </c>
      <c r="B595" s="1">
        <v>5999996.7019999996</v>
      </c>
      <c r="C595" s="1">
        <v>164.39385847900201</v>
      </c>
      <c r="D595" s="1">
        <f t="shared" si="104"/>
        <v>163.4551537770559</v>
      </c>
      <c r="E595" s="1">
        <v>0.01</v>
      </c>
      <c r="F595" s="1">
        <v>0.05</v>
      </c>
      <c r="G595" s="1">
        <v>0.1</v>
      </c>
      <c r="H595" s="1">
        <v>9.81</v>
      </c>
      <c r="I595" s="1">
        <v>2650</v>
      </c>
      <c r="J595" s="1">
        <v>1000</v>
      </c>
      <c r="K595" s="1">
        <v>1.65</v>
      </c>
      <c r="L595" s="1">
        <v>6.5</v>
      </c>
      <c r="M595" s="1">
        <v>2.5</v>
      </c>
      <c r="N595" s="6">
        <v>9.9999999999999995E-7</v>
      </c>
      <c r="O595" s="1">
        <f t="shared" si="105"/>
        <v>10.213849082106762</v>
      </c>
      <c r="P595" s="1">
        <f t="shared" si="101"/>
        <v>11.026540308620518</v>
      </c>
      <c r="Q595" s="1">
        <f t="shared" si="102"/>
        <v>10.854583949541933</v>
      </c>
      <c r="R595" s="1">
        <v>125.67909999999996</v>
      </c>
      <c r="S595" s="1" t="e">
        <f t="shared" si="103"/>
        <v>#N/A</v>
      </c>
      <c r="T595" s="1" t="e">
        <v>#N/A</v>
      </c>
    </row>
    <row r="596" spans="1:20" x14ac:dyDescent="0.35">
      <c r="A596" s="1">
        <v>500173.4694</v>
      </c>
      <c r="B596" s="1">
        <v>5999996.0899999999</v>
      </c>
      <c r="C596" s="1">
        <v>168.52742719967199</v>
      </c>
      <c r="D596" s="1">
        <f t="shared" si="104"/>
        <v>173.67758992550563</v>
      </c>
      <c r="E596" s="1">
        <v>0.01</v>
      </c>
      <c r="F596" s="1">
        <v>0.05</v>
      </c>
      <c r="G596" s="1">
        <v>0.1</v>
      </c>
      <c r="H596" s="1">
        <v>9.81</v>
      </c>
      <c r="I596" s="1">
        <v>2650</v>
      </c>
      <c r="J596" s="1">
        <v>1000</v>
      </c>
      <c r="K596" s="1">
        <v>1.65</v>
      </c>
      <c r="L596" s="1">
        <v>6.5</v>
      </c>
      <c r="M596" s="1">
        <v>2.5</v>
      </c>
      <c r="N596" s="6">
        <v>9.9999999999999995E-7</v>
      </c>
      <c r="O596" s="1">
        <f t="shared" si="105"/>
        <v>10.214988293625822</v>
      </c>
      <c r="P596" s="1">
        <f t="shared" si="101"/>
        <v>10.632479456336906</v>
      </c>
      <c r="Q596" s="1">
        <f t="shared" si="102"/>
        <v>10.829509882478712</v>
      </c>
      <c r="R596" s="1">
        <v>125.67909999999996</v>
      </c>
      <c r="S596" s="1" t="e">
        <f t="shared" si="103"/>
        <v>#N/A</v>
      </c>
      <c r="T596" s="1" t="e">
        <v>#N/A</v>
      </c>
    </row>
    <row r="597" spans="1:20" x14ac:dyDescent="0.35">
      <c r="A597" s="1">
        <v>500183.67349999998</v>
      </c>
      <c r="B597" s="1">
        <v>5999996.3550000004</v>
      </c>
      <c r="C597" s="1">
        <v>165.55156806663999</v>
      </c>
      <c r="D597" s="1">
        <f t="shared" si="104"/>
        <v>183.88513036430754</v>
      </c>
      <c r="E597" s="1">
        <v>0.01</v>
      </c>
      <c r="F597" s="1">
        <v>0.05</v>
      </c>
      <c r="G597" s="1">
        <v>0.1</v>
      </c>
      <c r="H597" s="1">
        <v>9.81</v>
      </c>
      <c r="I597" s="1">
        <v>2650</v>
      </c>
      <c r="J597" s="1">
        <v>1000</v>
      </c>
      <c r="K597" s="1">
        <v>1.65</v>
      </c>
      <c r="L597" s="1">
        <v>6.5</v>
      </c>
      <c r="M597" s="1">
        <v>2.5</v>
      </c>
      <c r="N597" s="6">
        <v>9.9999999999999995E-7</v>
      </c>
      <c r="O597" s="1">
        <f t="shared" si="105"/>
        <v>10.210285318026777</v>
      </c>
      <c r="P597" s="1">
        <f t="shared" si="101"/>
        <v>10.217153370786205</v>
      </c>
      <c r="Q597" s="1">
        <f t="shared" si="102"/>
        <v>10.424816413561555</v>
      </c>
      <c r="R597" s="1">
        <v>125.67909999999996</v>
      </c>
      <c r="S597" s="1" t="e">
        <f t="shared" si="103"/>
        <v>#N/A</v>
      </c>
      <c r="T597" s="1" t="e">
        <v>#N/A</v>
      </c>
    </row>
    <row r="598" spans="1:20" x14ac:dyDescent="0.35">
      <c r="A598" s="1">
        <v>500193.87760000001</v>
      </c>
      <c r="B598" s="1">
        <v>5999996.7819999997</v>
      </c>
      <c r="C598" s="1">
        <v>165.84180450851801</v>
      </c>
      <c r="D598" s="1">
        <f t="shared" si="104"/>
        <v>194.09816056155918</v>
      </c>
      <c r="E598" s="1">
        <v>0.01</v>
      </c>
      <c r="F598" s="1">
        <v>0.05</v>
      </c>
      <c r="G598" s="1">
        <v>0.1</v>
      </c>
      <c r="H598" s="1">
        <v>9.81</v>
      </c>
      <c r="I598" s="1">
        <v>2650</v>
      </c>
      <c r="J598" s="1">
        <v>1000</v>
      </c>
      <c r="K598" s="1">
        <v>1.65</v>
      </c>
      <c r="L598" s="1">
        <v>6.5</v>
      </c>
      <c r="M598" s="1">
        <v>2.5</v>
      </c>
      <c r="N598" s="6">
        <v>9.9999999999999995E-7</v>
      </c>
      <c r="O598" s="1">
        <f t="shared" si="105"/>
        <v>10.225732250662787</v>
      </c>
      <c r="P598" s="1">
        <f t="shared" si="101"/>
        <v>11.805317568883225</v>
      </c>
      <c r="Q598" s="1">
        <f t="shared" si="102"/>
        <v>11.011235469834716</v>
      </c>
      <c r="R598" s="1">
        <v>125.67909999999996</v>
      </c>
      <c r="S598" s="1" t="e">
        <f t="shared" si="103"/>
        <v>#N/A</v>
      </c>
      <c r="T598" s="1" t="e">
        <v>#N/A</v>
      </c>
    </row>
    <row r="599" spans="1:20" x14ac:dyDescent="0.35">
      <c r="A599" s="1">
        <v>500204.08159999998</v>
      </c>
      <c r="B599" s="1">
        <v>5999995.943</v>
      </c>
      <c r="C599" s="1">
        <v>159.96473160584401</v>
      </c>
      <c r="D599" s="1">
        <f t="shared" si="104"/>
        <v>204.33659486563312</v>
      </c>
      <c r="E599" s="1">
        <v>0.01</v>
      </c>
      <c r="F599" s="1">
        <v>0.05</v>
      </c>
      <c r="G599" s="1">
        <v>0.1</v>
      </c>
      <c r="H599" s="1">
        <v>9.81</v>
      </c>
      <c r="I599" s="1">
        <v>2650</v>
      </c>
      <c r="J599" s="1">
        <v>1000</v>
      </c>
      <c r="K599" s="1">
        <v>1.65</v>
      </c>
      <c r="L599" s="1">
        <v>6.5</v>
      </c>
      <c r="M599" s="1">
        <v>2.5</v>
      </c>
      <c r="N599" s="6">
        <v>9.9999999999999995E-7</v>
      </c>
      <c r="O599" s="1">
        <f t="shared" si="105"/>
        <v>10.222474465035148</v>
      </c>
      <c r="P599" s="1">
        <f t="shared" si="101"/>
        <v>10.510110351296964</v>
      </c>
      <c r="Q599" s="1">
        <f t="shared" si="102"/>
        <v>11.157713960090096</v>
      </c>
      <c r="R599" s="1">
        <v>125.67909999999996</v>
      </c>
      <c r="S599" s="1" t="e">
        <f t="shared" si="103"/>
        <v>#N/A</v>
      </c>
      <c r="T599" s="1" t="e">
        <v>#N/A</v>
      </c>
    </row>
    <row r="600" spans="1:20" x14ac:dyDescent="0.35">
      <c r="A600" s="1">
        <v>500214.28570000001</v>
      </c>
      <c r="B600" s="1">
        <v>5999995.7209999999</v>
      </c>
      <c r="C600" s="1">
        <v>162.47261493362501</v>
      </c>
      <c r="D600" s="1">
        <f t="shared" si="104"/>
        <v>214.54310949162948</v>
      </c>
      <c r="E600" s="1">
        <v>0.01</v>
      </c>
      <c r="F600" s="1">
        <v>0.05</v>
      </c>
      <c r="G600" s="1">
        <v>0.1</v>
      </c>
      <c r="H600" s="1">
        <v>9.81</v>
      </c>
      <c r="I600" s="1">
        <v>2650</v>
      </c>
      <c r="J600" s="1">
        <v>1000</v>
      </c>
      <c r="K600" s="1">
        <v>1.65</v>
      </c>
      <c r="L600" s="1">
        <v>6.5</v>
      </c>
      <c r="M600" s="1">
        <v>2.5</v>
      </c>
      <c r="N600" s="6">
        <v>9.9999999999999995E-7</v>
      </c>
      <c r="O600" s="1">
        <f t="shared" si="105"/>
        <v>10.209668499185454</v>
      </c>
      <c r="P600" s="1">
        <f t="shared" si="101"/>
        <v>13.932835838967597</v>
      </c>
      <c r="Q600" s="1">
        <f t="shared" si="102"/>
        <v>12.22147309513228</v>
      </c>
      <c r="R600" s="1">
        <v>125.67909999999996</v>
      </c>
      <c r="S600" s="1" t="e">
        <f t="shared" si="103"/>
        <v>#N/A</v>
      </c>
      <c r="T600" s="1" t="e">
        <v>#N/A</v>
      </c>
    </row>
    <row r="601" spans="1:20" x14ac:dyDescent="0.35">
      <c r="A601" s="1">
        <v>500224.48979999998</v>
      </c>
      <c r="B601" s="1">
        <v>5999996.1430000002</v>
      </c>
      <c r="C601" s="1">
        <v>152.99515885586101</v>
      </c>
      <c r="D601" s="1">
        <f t="shared" si="104"/>
        <v>224.75593186400403</v>
      </c>
      <c r="E601" s="1">
        <v>0.01</v>
      </c>
      <c r="F601" s="1">
        <v>0.05</v>
      </c>
      <c r="G601" s="1">
        <v>0.1</v>
      </c>
      <c r="H601" s="1">
        <v>9.81</v>
      </c>
      <c r="I601" s="1">
        <v>2650</v>
      </c>
      <c r="J601" s="1">
        <v>1000</v>
      </c>
      <c r="K601" s="1">
        <v>1.65</v>
      </c>
      <c r="L601" s="1">
        <v>6.5</v>
      </c>
      <c r="M601" s="1">
        <v>2.5</v>
      </c>
      <c r="N601" s="6">
        <v>9.9999999999999995E-7</v>
      </c>
      <c r="O601" s="1">
        <f t="shared" si="105"/>
        <v>10.211706300347956</v>
      </c>
      <c r="P601" s="1">
        <f t="shared" si="101"/>
        <v>10.301820481574744</v>
      </c>
      <c r="Q601" s="1">
        <f t="shared" si="102"/>
        <v>12.117328160271171</v>
      </c>
      <c r="R601" s="1">
        <v>125.67909999999996</v>
      </c>
      <c r="S601" s="1" t="e">
        <f t="shared" si="103"/>
        <v>#N/A</v>
      </c>
      <c r="T601" s="1" t="e">
        <v>#N/A</v>
      </c>
    </row>
    <row r="602" spans="1:20" x14ac:dyDescent="0.35">
      <c r="A602" s="1">
        <v>500234.69390000001</v>
      </c>
      <c r="B602" s="1">
        <v>5999996.5070000002</v>
      </c>
      <c r="C602" s="1">
        <v>151.627185016966</v>
      </c>
      <c r="D602" s="1">
        <f t="shared" si="104"/>
        <v>234.96652209232539</v>
      </c>
      <c r="E602" s="1">
        <v>0.01</v>
      </c>
      <c r="F602" s="1">
        <v>0.05</v>
      </c>
      <c r="G602" s="1">
        <v>0.1</v>
      </c>
      <c r="H602" s="1">
        <v>9.81</v>
      </c>
      <c r="I602" s="1">
        <v>2650</v>
      </c>
      <c r="J602" s="1">
        <v>1000</v>
      </c>
      <c r="K602" s="1">
        <v>1.65</v>
      </c>
      <c r="L602" s="1">
        <v>6.5</v>
      </c>
      <c r="M602" s="1">
        <v>2.5</v>
      </c>
      <c r="N602" s="6">
        <v>9.9999999999999995E-7</v>
      </c>
      <c r="O602" s="1">
        <f t="shared" si="105"/>
        <v>10.212172653557417</v>
      </c>
      <c r="P602" s="1">
        <f t="shared" si="101"/>
        <v>11.089044194999135</v>
      </c>
      <c r="Q602" s="1">
        <f t="shared" si="102"/>
        <v>10.695432338286938</v>
      </c>
      <c r="R602" s="1">
        <v>125.67909999999996</v>
      </c>
      <c r="S602" s="1" t="e">
        <f t="shared" si="103"/>
        <v>#N/A</v>
      </c>
      <c r="T602" s="1" t="e">
        <v>#N/A</v>
      </c>
    </row>
    <row r="603" spans="1:20" x14ac:dyDescent="0.35">
      <c r="A603" s="1">
        <v>500244.89799999999</v>
      </c>
      <c r="B603" s="1">
        <v>5999996.9510000004</v>
      </c>
      <c r="C603" s="1">
        <v>155.94529899752101</v>
      </c>
      <c r="D603" s="1">
        <f t="shared" si="104"/>
        <v>245.18027717111886</v>
      </c>
      <c r="E603" s="1">
        <v>0.01</v>
      </c>
      <c r="F603" s="1">
        <v>0.05</v>
      </c>
      <c r="G603" s="1">
        <v>0.1</v>
      </c>
      <c r="H603" s="1">
        <v>9.81</v>
      </c>
      <c r="I603" s="1">
        <v>2650</v>
      </c>
      <c r="J603" s="1">
        <v>1000</v>
      </c>
      <c r="K603" s="1">
        <v>1.65</v>
      </c>
      <c r="L603" s="1">
        <v>6.5</v>
      </c>
      <c r="M603" s="1">
        <v>2.5</v>
      </c>
      <c r="N603" s="6">
        <v>9.9999999999999995E-7</v>
      </c>
      <c r="O603" s="1">
        <f t="shared" si="105"/>
        <v>10.228334363400478</v>
      </c>
      <c r="P603" s="1">
        <f t="shared" si="101"/>
        <v>11.738479864242503</v>
      </c>
      <c r="Q603" s="1">
        <f t="shared" si="102"/>
        <v>11.41376202962082</v>
      </c>
      <c r="R603" s="1">
        <v>125.67909999999996</v>
      </c>
      <c r="S603" s="1" t="e">
        <f t="shared" si="103"/>
        <v>#N/A</v>
      </c>
      <c r="T603" s="1" t="e">
        <v>#N/A</v>
      </c>
    </row>
    <row r="604" spans="1:20" x14ac:dyDescent="0.35">
      <c r="A604" s="1">
        <v>500255.10200000001</v>
      </c>
      <c r="B604" s="1">
        <v>5999997.8430000003</v>
      </c>
      <c r="C604" s="1">
        <v>150.21165883417899</v>
      </c>
      <c r="D604" s="1">
        <f t="shared" si="104"/>
        <v>255.42319081912635</v>
      </c>
      <c r="E604" s="1">
        <v>0.01</v>
      </c>
      <c r="F604" s="1">
        <v>0.05</v>
      </c>
      <c r="G604" s="1">
        <v>0.1</v>
      </c>
      <c r="H604" s="1">
        <v>9.81</v>
      </c>
      <c r="I604" s="1">
        <v>2650</v>
      </c>
      <c r="J604" s="1">
        <v>1000</v>
      </c>
      <c r="K604" s="1">
        <v>1.65</v>
      </c>
      <c r="L604" s="1">
        <v>6.5</v>
      </c>
      <c r="M604" s="1">
        <v>2.5</v>
      </c>
      <c r="N604" s="6">
        <v>9.9999999999999995E-7</v>
      </c>
      <c r="O604" s="1">
        <f t="shared" si="105"/>
        <v>10.228247812702051</v>
      </c>
      <c r="P604" s="1">
        <f t="shared" si="101"/>
        <v>10.415569048554094</v>
      </c>
      <c r="Q604" s="1">
        <f t="shared" si="102"/>
        <v>11.077024456398298</v>
      </c>
      <c r="R604" s="1">
        <v>125.67909999999996</v>
      </c>
      <c r="S604" s="1" t="e">
        <f t="shared" si="103"/>
        <v>#N/A</v>
      </c>
      <c r="T604" s="1" t="e">
        <v>#N/A</v>
      </c>
    </row>
    <row r="605" spans="1:20" x14ac:dyDescent="0.35">
      <c r="A605" s="1">
        <v>500265.30609999999</v>
      </c>
      <c r="B605" s="1">
        <v>5999998.2829999998</v>
      </c>
      <c r="C605" s="1">
        <v>148.17037938339399</v>
      </c>
      <c r="D605" s="1">
        <f t="shared" si="104"/>
        <v>265.63677279652296</v>
      </c>
      <c r="E605" s="1">
        <v>0.01</v>
      </c>
      <c r="F605" s="1">
        <v>0.05</v>
      </c>
      <c r="G605" s="1">
        <v>0.1</v>
      </c>
      <c r="H605" s="1">
        <v>9.81</v>
      </c>
      <c r="I605" s="1">
        <v>2650</v>
      </c>
      <c r="J605" s="1">
        <v>1000</v>
      </c>
      <c r="K605" s="1">
        <v>1.65</v>
      </c>
      <c r="L605" s="1">
        <v>6.5</v>
      </c>
      <c r="M605" s="1">
        <v>2.5</v>
      </c>
      <c r="N605" s="6">
        <v>9.9999999999999995E-7</v>
      </c>
      <c r="O605" s="1">
        <f t="shared" si="105"/>
        <v>10.23198332194535</v>
      </c>
      <c r="P605" s="1">
        <f t="shared" si="101"/>
        <v>10.753746192038282</v>
      </c>
      <c r="Q605" s="1">
        <f t="shared" si="102"/>
        <v>10.584657620296188</v>
      </c>
      <c r="R605" s="1">
        <v>125.67909999999996</v>
      </c>
      <c r="S605" s="1" t="e">
        <f t="shared" si="103"/>
        <v>#N/A</v>
      </c>
      <c r="T605" s="1" t="e">
        <v>#N/A</v>
      </c>
    </row>
    <row r="606" spans="1:20" x14ac:dyDescent="0.35">
      <c r="A606" s="1">
        <v>500275.51020000002</v>
      </c>
      <c r="B606" s="1">
        <v>5999997.3099999996</v>
      </c>
      <c r="C606" s="1">
        <v>144.91881493659599</v>
      </c>
      <c r="D606" s="1">
        <f t="shared" si="104"/>
        <v>275.88715746301705</v>
      </c>
      <c r="E606" s="1">
        <v>0.01</v>
      </c>
      <c r="F606" s="1">
        <v>0.05</v>
      </c>
      <c r="G606" s="1">
        <v>0.1</v>
      </c>
      <c r="H606" s="1">
        <v>9.81</v>
      </c>
      <c r="I606" s="1">
        <v>2650</v>
      </c>
      <c r="J606" s="1">
        <v>1000</v>
      </c>
      <c r="K606" s="1">
        <v>1.65</v>
      </c>
      <c r="L606" s="1">
        <v>6.5</v>
      </c>
      <c r="M606" s="1">
        <v>2.5</v>
      </c>
      <c r="N606" s="6">
        <v>9.9999999999999995E-7</v>
      </c>
      <c r="O606" s="1">
        <f t="shared" si="105"/>
        <v>10.247668609691146</v>
      </c>
      <c r="P606" s="1">
        <f t="shared" si="101"/>
        <v>10.247801935839309</v>
      </c>
      <c r="Q606" s="1">
        <f t="shared" si="102"/>
        <v>10.500774063938795</v>
      </c>
      <c r="R606" s="1">
        <v>125.67909999999996</v>
      </c>
      <c r="S606" s="1" t="e">
        <f t="shared" si="103"/>
        <v>#N/A</v>
      </c>
      <c r="T606" s="1" t="e">
        <v>#N/A</v>
      </c>
    </row>
    <row r="607" spans="1:20" x14ac:dyDescent="0.35">
      <c r="A607" s="1">
        <v>500285.71429999999</v>
      </c>
      <c r="B607" s="1">
        <v>5999998.2240000004</v>
      </c>
      <c r="C607" s="1">
        <v>144.67717117967001</v>
      </c>
      <c r="D607" s="1">
        <f t="shared" si="104"/>
        <v>286.13211001590525</v>
      </c>
      <c r="E607" s="1">
        <v>0.01</v>
      </c>
      <c r="F607" s="1">
        <v>0.05</v>
      </c>
      <c r="G607" s="1">
        <v>0.1</v>
      </c>
      <c r="H607" s="1">
        <v>9.81</v>
      </c>
      <c r="I607" s="1">
        <v>2650</v>
      </c>
      <c r="J607" s="1">
        <v>1000</v>
      </c>
      <c r="K607" s="1">
        <v>1.65</v>
      </c>
      <c r="L607" s="1">
        <v>6.5</v>
      </c>
      <c r="M607" s="1">
        <v>2.5</v>
      </c>
      <c r="N607" s="6">
        <v>9.9999999999999995E-7</v>
      </c>
      <c r="O607" s="1">
        <f t="shared" si="105"/>
        <v>10.245310960713113</v>
      </c>
      <c r="P607" s="1">
        <f t="shared" si="101"/>
        <v>10.773986209295044</v>
      </c>
      <c r="Q607" s="1">
        <f t="shared" si="102"/>
        <v>10.510894072567176</v>
      </c>
      <c r="R607" s="1">
        <v>125.67909999999996</v>
      </c>
      <c r="S607" s="1" t="e">
        <f t="shared" si="103"/>
        <v>#N/A</v>
      </c>
      <c r="T607" s="1" t="e">
        <v>#N/A</v>
      </c>
    </row>
    <row r="608" spans="1:20" x14ac:dyDescent="0.35">
      <c r="A608" s="1">
        <v>500295.91840000002</v>
      </c>
      <c r="B608" s="1">
        <v>5999999.1459999997</v>
      </c>
      <c r="C608" s="1">
        <v>141.344748933213</v>
      </c>
      <c r="D608" s="1">
        <f t="shared" si="104"/>
        <v>296.37777938444327</v>
      </c>
      <c r="E608" s="1">
        <v>0.01</v>
      </c>
      <c r="F608" s="1">
        <v>0.05</v>
      </c>
      <c r="G608" s="1">
        <v>0.1</v>
      </c>
      <c r="H608" s="1">
        <v>9.81</v>
      </c>
      <c r="I608" s="1">
        <v>2650</v>
      </c>
      <c r="J608" s="1">
        <v>1000</v>
      </c>
      <c r="K608" s="1">
        <v>1.65</v>
      </c>
      <c r="L608" s="1">
        <v>6.5</v>
      </c>
      <c r="M608" s="1">
        <v>2.5</v>
      </c>
      <c r="N608" s="6">
        <v>9.9999999999999995E-7</v>
      </c>
      <c r="O608" s="1">
        <f t="shared" si="105"/>
        <v>10.233098302678485</v>
      </c>
      <c r="P608" s="1">
        <f t="shared" si="101"/>
        <v>10.320041754295742</v>
      </c>
      <c r="Q608" s="1">
        <f t="shared" si="102"/>
        <v>10.547013981795393</v>
      </c>
      <c r="R608" s="1">
        <v>125.67909999999996</v>
      </c>
      <c r="S608" s="1" t="e">
        <f t="shared" si="103"/>
        <v>#N/A</v>
      </c>
      <c r="T608" s="1" t="e">
        <v>#N/A</v>
      </c>
    </row>
    <row r="609" spans="1:20" x14ac:dyDescent="0.35">
      <c r="A609" s="1">
        <v>500306.12239999999</v>
      </c>
      <c r="B609" s="1">
        <v>5999998.5650000004</v>
      </c>
      <c r="C609" s="1">
        <v>139.91503399244701</v>
      </c>
      <c r="D609" s="1">
        <f t="shared" si="104"/>
        <v>306.59830662126222</v>
      </c>
      <c r="E609" s="1">
        <v>0.01</v>
      </c>
      <c r="F609" s="1">
        <v>0.05</v>
      </c>
      <c r="G609" s="1">
        <v>0.1</v>
      </c>
      <c r="H609" s="1">
        <v>9.81</v>
      </c>
      <c r="I609" s="1">
        <v>2650</v>
      </c>
      <c r="J609" s="1">
        <v>1000</v>
      </c>
      <c r="K609" s="1">
        <v>1.65</v>
      </c>
      <c r="L609" s="1">
        <v>6.5</v>
      </c>
      <c r="M609" s="1">
        <v>2.5</v>
      </c>
      <c r="N609" s="6">
        <v>9.9999999999999995E-7</v>
      </c>
      <c r="O609" s="1">
        <f t="shared" si="105"/>
        <v>10.221874954638196</v>
      </c>
      <c r="P609" s="1">
        <f t="shared" si="101"/>
        <v>13.893706980070347</v>
      </c>
      <c r="Q609" s="1">
        <f t="shared" si="102"/>
        <v>12.106874367183044</v>
      </c>
      <c r="R609" s="1">
        <v>125.67909999999996</v>
      </c>
      <c r="S609" s="1" t="e">
        <f t="shared" si="103"/>
        <v>#N/A</v>
      </c>
      <c r="T609" s="1" t="e">
        <v>#N/A</v>
      </c>
    </row>
    <row r="610" spans="1:20" x14ac:dyDescent="0.35">
      <c r="A610" s="1">
        <v>500316.32650000002</v>
      </c>
      <c r="B610" s="1">
        <v>5999999.1900000004</v>
      </c>
      <c r="C610" s="1">
        <v>130.506484059678</v>
      </c>
      <c r="D610" s="1">
        <f t="shared" si="104"/>
        <v>316.82152929371966</v>
      </c>
      <c r="E610" s="1">
        <v>0.01</v>
      </c>
      <c r="F610" s="1">
        <v>0.05</v>
      </c>
      <c r="G610" s="1">
        <v>0.1</v>
      </c>
      <c r="H610" s="1">
        <v>9.81</v>
      </c>
      <c r="I610" s="1">
        <v>2650</v>
      </c>
      <c r="J610" s="1">
        <v>1000</v>
      </c>
      <c r="K610" s="1">
        <v>1.65</v>
      </c>
      <c r="L610" s="1">
        <v>6.5</v>
      </c>
      <c r="M610" s="1">
        <v>2.5</v>
      </c>
      <c r="N610" s="6">
        <v>9.9999999999999995E-7</v>
      </c>
      <c r="O610" s="1">
        <f t="shared" si="105"/>
        <v>10.235493697492075</v>
      </c>
      <c r="P610" s="1">
        <f t="shared" si="101"/>
        <v>10.418299398725649</v>
      </c>
      <c r="Q610" s="1">
        <f t="shared" si="102"/>
        <v>12.156003189397998</v>
      </c>
      <c r="R610" s="1">
        <v>125.67909999999996</v>
      </c>
      <c r="S610" s="1" t="e">
        <f t="shared" si="103"/>
        <v>#N/A</v>
      </c>
      <c r="T610" s="1" t="e">
        <v>#N/A</v>
      </c>
    </row>
    <row r="611" spans="1:20" x14ac:dyDescent="0.35">
      <c r="A611" s="1">
        <v>500326.5306</v>
      </c>
      <c r="B611" s="1">
        <v>6000000.1349999998</v>
      </c>
      <c r="C611" s="1">
        <v>128.62917733108401</v>
      </c>
      <c r="D611" s="1">
        <f t="shared" si="104"/>
        <v>327.06929401624637</v>
      </c>
      <c r="E611" s="1">
        <v>0.01</v>
      </c>
      <c r="F611" s="1">
        <v>0.05</v>
      </c>
      <c r="G611" s="1">
        <v>0.1</v>
      </c>
      <c r="H611" s="1">
        <v>9.81</v>
      </c>
      <c r="I611" s="1">
        <v>2650</v>
      </c>
      <c r="J611" s="1">
        <v>1000</v>
      </c>
      <c r="K611" s="1">
        <v>1.65</v>
      </c>
      <c r="L611" s="1">
        <v>6.5</v>
      </c>
      <c r="M611" s="1">
        <v>2.5</v>
      </c>
      <c r="N611" s="6">
        <v>9.9999999999999995E-7</v>
      </c>
      <c r="O611" s="1">
        <f t="shared" si="105"/>
        <v>10.241238558797846</v>
      </c>
      <c r="P611" s="1">
        <f t="shared" ref="P611:P627" si="106">SQRT((D612 - D611)^2 + (C612 - C611)^2)</f>
        <v>10.787841757464356</v>
      </c>
      <c r="Q611" s="1">
        <f t="shared" ref="Q611:Q627" si="107">IF(ROW()=579, P611/2, (P611 + P610)/2)</f>
        <v>10.603070578095004</v>
      </c>
      <c r="R611" s="1">
        <v>125.67909999999996</v>
      </c>
      <c r="S611" s="1" t="e">
        <f t="shared" ref="S611:S627" si="108">IF(R611 - C611 &lt; 0, NA(), R611 - C611)</f>
        <v>#N/A</v>
      </c>
      <c r="T611" s="1" t="e">
        <v>#N/A</v>
      </c>
    </row>
    <row r="612" spans="1:20" x14ac:dyDescent="0.35">
      <c r="A612" s="1">
        <v>500336.73469999997</v>
      </c>
      <c r="B612" s="1">
        <v>5999999.3439999996</v>
      </c>
      <c r="C612" s="1">
        <v>132.03919081702699</v>
      </c>
      <c r="D612" s="1">
        <f t="shared" ref="D612:D628" si="109">D611 + SQRT((A612 - A611)^2 + (B612 - B611)^2)</f>
        <v>337.30400641131536</v>
      </c>
      <c r="E612" s="1">
        <v>0.01</v>
      </c>
      <c r="F612" s="1">
        <v>0.05</v>
      </c>
      <c r="G612" s="1">
        <v>0.1</v>
      </c>
      <c r="H612" s="1">
        <v>9.81</v>
      </c>
      <c r="I612" s="1">
        <v>2650</v>
      </c>
      <c r="J612" s="1">
        <v>1000</v>
      </c>
      <c r="K612" s="1">
        <v>1.65</v>
      </c>
      <c r="L612" s="1">
        <v>6.5</v>
      </c>
      <c r="M612" s="1">
        <v>2.5</v>
      </c>
      <c r="N612" s="6">
        <v>9.9999999999999995E-7</v>
      </c>
      <c r="O612" s="1">
        <f t="shared" si="105"/>
        <v>10.233949248828765</v>
      </c>
      <c r="P612" s="1">
        <f t="shared" si="106"/>
        <v>11.755266476054745</v>
      </c>
      <c r="Q612" s="1">
        <f t="shared" si="107"/>
        <v>11.27155411675955</v>
      </c>
      <c r="R612" s="1">
        <v>125.67909999999996</v>
      </c>
      <c r="S612" s="1" t="e">
        <f t="shared" si="108"/>
        <v>#N/A</v>
      </c>
      <c r="T612" s="1" t="e">
        <v>#N/A</v>
      </c>
    </row>
    <row r="613" spans="1:20" x14ac:dyDescent="0.35">
      <c r="A613" s="1">
        <v>500346.9388</v>
      </c>
      <c r="B613" s="1">
        <v>5999998.5729999999</v>
      </c>
      <c r="C613" s="1">
        <v>126.254020801129</v>
      </c>
      <c r="D613" s="1">
        <f t="shared" si="109"/>
        <v>347.5371925139039</v>
      </c>
      <c r="E613" s="1">
        <v>0.01</v>
      </c>
      <c r="F613" s="1">
        <v>0.05</v>
      </c>
      <c r="G613" s="1">
        <v>0.1</v>
      </c>
      <c r="H613" s="1">
        <v>9.81</v>
      </c>
      <c r="I613" s="1">
        <v>2650</v>
      </c>
      <c r="J613" s="1">
        <v>1000</v>
      </c>
      <c r="K613" s="1">
        <v>1.65</v>
      </c>
      <c r="L613" s="1">
        <v>6.5</v>
      </c>
      <c r="M613" s="1">
        <v>2.5</v>
      </c>
      <c r="N613" s="6">
        <v>9.9999999999999995E-7</v>
      </c>
      <c r="O613" s="1">
        <f t="shared" si="105"/>
        <v>10.232552707337419</v>
      </c>
      <c r="P613" s="1">
        <f t="shared" si="106"/>
        <v>11.350607222214496</v>
      </c>
      <c r="Q613" s="1">
        <f t="shared" si="107"/>
        <v>11.552936849134621</v>
      </c>
      <c r="R613" s="1">
        <v>125.67909999999996</v>
      </c>
      <c r="S613" s="1" t="e">
        <f t="shared" si="108"/>
        <v>#N/A</v>
      </c>
      <c r="T613" s="1" t="e">
        <v>#N/A</v>
      </c>
    </row>
    <row r="614" spans="1:20" x14ac:dyDescent="0.35">
      <c r="A614" s="1">
        <v>500357.14289999998</v>
      </c>
      <c r="B614" s="1">
        <v>5999999.3269999996</v>
      </c>
      <c r="C614" s="1">
        <v>131.167686591956</v>
      </c>
      <c r="D614" s="1">
        <f t="shared" si="109"/>
        <v>357.76911182599019</v>
      </c>
      <c r="E614" s="1">
        <v>0.01</v>
      </c>
      <c r="F614" s="1">
        <v>0.05</v>
      </c>
      <c r="G614" s="1">
        <v>0.1</v>
      </c>
      <c r="H614" s="1">
        <v>9.81</v>
      </c>
      <c r="I614" s="1">
        <v>2650</v>
      </c>
      <c r="J614" s="1">
        <v>1000</v>
      </c>
      <c r="K614" s="1">
        <v>1.65</v>
      </c>
      <c r="L614" s="1">
        <v>6.5</v>
      </c>
      <c r="M614" s="1">
        <v>2.5</v>
      </c>
      <c r="N614" s="6">
        <v>9.9999999999999995E-7</v>
      </c>
      <c r="O614" s="1">
        <f t="shared" si="105"/>
        <v>10.223838765829584</v>
      </c>
      <c r="P614" s="1">
        <f t="shared" si="106"/>
        <v>10.479732415606993</v>
      </c>
      <c r="Q614" s="1">
        <f t="shared" si="107"/>
        <v>10.915169818910744</v>
      </c>
      <c r="R614" s="1">
        <v>125.67909999999996</v>
      </c>
      <c r="S614" s="1" t="e">
        <f t="shared" si="108"/>
        <v>#N/A</v>
      </c>
      <c r="T614" s="1" t="e">
        <v>#N/A</v>
      </c>
    </row>
    <row r="615" spans="1:20" x14ac:dyDescent="0.35">
      <c r="A615" s="1">
        <v>500367.3469</v>
      </c>
      <c r="B615" s="1">
        <v>5999999.8169999998</v>
      </c>
      <c r="C615" s="1">
        <v>128.83036429882799</v>
      </c>
      <c r="D615" s="1">
        <f t="shared" si="109"/>
        <v>367.98487004556307</v>
      </c>
      <c r="E615" s="1">
        <v>0.01</v>
      </c>
      <c r="F615" s="1">
        <v>0.05</v>
      </c>
      <c r="G615" s="1">
        <v>0.1</v>
      </c>
      <c r="H615" s="1">
        <v>9.81</v>
      </c>
      <c r="I615" s="1">
        <v>2650</v>
      </c>
      <c r="J615" s="1">
        <v>1000</v>
      </c>
      <c r="K615" s="1">
        <v>1.65</v>
      </c>
      <c r="L615" s="1">
        <v>6.5</v>
      </c>
      <c r="M615" s="1">
        <v>2.5</v>
      </c>
      <c r="N615" s="6">
        <v>9.9999999999999995E-7</v>
      </c>
      <c r="O615" s="1">
        <f t="shared" si="105"/>
        <v>10.224509856901079</v>
      </c>
      <c r="P615" s="1">
        <f t="shared" si="106"/>
        <v>10.91645406051112</v>
      </c>
      <c r="Q615" s="1">
        <f t="shared" si="107"/>
        <v>10.698093238059055</v>
      </c>
      <c r="R615" s="1">
        <v>125.67909999999996</v>
      </c>
      <c r="S615" s="1" t="e">
        <f t="shared" si="108"/>
        <v>#N/A</v>
      </c>
      <c r="T615" s="1" t="e">
        <v>#N/A</v>
      </c>
    </row>
    <row r="616" spans="1:20" x14ac:dyDescent="0.35">
      <c r="A616" s="1">
        <v>500377.55099999998</v>
      </c>
      <c r="B616" s="1">
        <v>5999999.0449999999</v>
      </c>
      <c r="C616" s="1">
        <v>125.029137069896</v>
      </c>
      <c r="D616" s="1">
        <f t="shared" si="109"/>
        <v>378.21813153979235</v>
      </c>
      <c r="E616" s="1">
        <v>0.01</v>
      </c>
      <c r="F616" s="1">
        <v>0.05</v>
      </c>
      <c r="G616" s="1">
        <v>0.1</v>
      </c>
      <c r="H616" s="1">
        <v>9.81</v>
      </c>
      <c r="I616" s="1">
        <v>2650</v>
      </c>
      <c r="J616" s="1">
        <v>1000</v>
      </c>
      <c r="K616" s="1">
        <v>1.65</v>
      </c>
      <c r="L616" s="1">
        <v>6.5</v>
      </c>
      <c r="M616" s="1">
        <v>2.5</v>
      </c>
      <c r="N616" s="6">
        <v>9.9999999999999995E-7</v>
      </c>
      <c r="O616" s="1">
        <f t="shared" si="105"/>
        <v>10.221049857319429</v>
      </c>
      <c r="P616" s="1">
        <f t="shared" si="106"/>
        <v>10.237547645163266</v>
      </c>
      <c r="Q616" s="1">
        <f t="shared" si="107"/>
        <v>10.577000852837193</v>
      </c>
      <c r="R616" s="1">
        <v>125.67909999999996</v>
      </c>
      <c r="S616" s="1">
        <f t="shared" si="108"/>
        <v>0.64996293010396755</v>
      </c>
      <c r="T616" s="1">
        <v>0.64996293010396755</v>
      </c>
    </row>
    <row r="617" spans="1:20" x14ac:dyDescent="0.35">
      <c r="A617" s="1">
        <v>500387.75510000001</v>
      </c>
      <c r="B617" s="1">
        <v>5999999.3559999997</v>
      </c>
      <c r="C617" s="1">
        <v>125.795298917349</v>
      </c>
      <c r="D617" s="1">
        <f t="shared" si="109"/>
        <v>388.42696976020193</v>
      </c>
      <c r="E617" s="1">
        <v>0.01</v>
      </c>
      <c r="F617" s="1">
        <v>0.05</v>
      </c>
      <c r="G617" s="1">
        <v>0.1</v>
      </c>
      <c r="H617" s="1">
        <v>9.81</v>
      </c>
      <c r="I617" s="1">
        <v>2650</v>
      </c>
      <c r="J617" s="1">
        <v>1000</v>
      </c>
      <c r="K617" s="1">
        <v>1.65</v>
      </c>
      <c r="L617" s="1">
        <v>6.5</v>
      </c>
      <c r="M617" s="1">
        <v>2.5</v>
      </c>
      <c r="N617" s="6">
        <v>9.9999999999999995E-7</v>
      </c>
      <c r="O617" s="1">
        <f t="shared" si="105"/>
        <v>10.226672955179509</v>
      </c>
      <c r="P617" s="1">
        <f t="shared" si="106"/>
        <v>14.006911426674414</v>
      </c>
      <c r="Q617" s="1">
        <f t="shared" si="107"/>
        <v>12.122229535918841</v>
      </c>
      <c r="R617" s="1">
        <v>125.67909999999996</v>
      </c>
      <c r="S617" s="1" t="e">
        <f t="shared" si="108"/>
        <v>#N/A</v>
      </c>
      <c r="T617" s="1" t="e">
        <v>#N/A</v>
      </c>
    </row>
    <row r="618" spans="1:20" x14ac:dyDescent="0.35">
      <c r="A618" s="1">
        <v>500397.95919999998</v>
      </c>
      <c r="B618" s="1">
        <v>5999998.4469999997</v>
      </c>
      <c r="C618" s="1">
        <v>135.347452072804</v>
      </c>
      <c r="D618" s="1">
        <f t="shared" si="109"/>
        <v>398.67147745015137</v>
      </c>
      <c r="E618" s="1">
        <v>0.01</v>
      </c>
      <c r="F618" s="1">
        <v>0.05</v>
      </c>
      <c r="G618" s="1">
        <v>0.1</v>
      </c>
      <c r="H618" s="1">
        <v>9.81</v>
      </c>
      <c r="I618" s="1">
        <v>2650</v>
      </c>
      <c r="J618" s="1">
        <v>1000</v>
      </c>
      <c r="K618" s="1">
        <v>1.65</v>
      </c>
      <c r="L618" s="1">
        <v>6.5</v>
      </c>
      <c r="M618" s="1">
        <v>2.5</v>
      </c>
      <c r="N618" s="6">
        <v>9.9999999999999995E-7</v>
      </c>
      <c r="O618" s="1">
        <f t="shared" si="105"/>
        <v>10.22650836474881</v>
      </c>
      <c r="P618" s="1">
        <f t="shared" si="106"/>
        <v>12.538849639326756</v>
      </c>
      <c r="Q618" s="1">
        <f t="shared" si="107"/>
        <v>13.272880533000585</v>
      </c>
      <c r="R618" s="1">
        <v>125.67909999999996</v>
      </c>
      <c r="S618" s="1" t="e">
        <f t="shared" si="108"/>
        <v>#N/A</v>
      </c>
      <c r="T618" s="1" t="e">
        <v>#N/A</v>
      </c>
    </row>
    <row r="619" spans="1:20" x14ac:dyDescent="0.35">
      <c r="A619" s="1">
        <v>500408.16330000001</v>
      </c>
      <c r="B619" s="1">
        <v>5999998.1469999999</v>
      </c>
      <c r="C619" s="1">
        <v>128.06671766842501</v>
      </c>
      <c r="D619" s="1">
        <f t="shared" si="109"/>
        <v>408.87998648969955</v>
      </c>
      <c r="E619" s="1">
        <v>0.01</v>
      </c>
      <c r="F619" s="1">
        <v>0.05</v>
      </c>
      <c r="G619" s="1">
        <v>0.1</v>
      </c>
      <c r="H619" s="1">
        <v>9.81</v>
      </c>
      <c r="I619" s="1">
        <v>2650</v>
      </c>
      <c r="J619" s="1">
        <v>1000</v>
      </c>
      <c r="K619" s="1">
        <v>1.65</v>
      </c>
      <c r="L619" s="1">
        <v>6.5</v>
      </c>
      <c r="M619" s="1">
        <v>2.5</v>
      </c>
      <c r="N619" s="6">
        <v>9.9999999999999995E-7</v>
      </c>
      <c r="O619" s="1">
        <f t="shared" si="105"/>
        <v>10.217670819070179</v>
      </c>
      <c r="P619" s="1">
        <f t="shared" si="106"/>
        <v>11.126667604014996</v>
      </c>
      <c r="Q619" s="1">
        <f t="shared" si="107"/>
        <v>11.832758621670877</v>
      </c>
      <c r="R619" s="1">
        <v>125.67909999999996</v>
      </c>
      <c r="S619" s="1" t="e">
        <f t="shared" si="108"/>
        <v>#N/A</v>
      </c>
      <c r="T619" s="1" t="e">
        <v>#N/A</v>
      </c>
    </row>
    <row r="620" spans="1:20" x14ac:dyDescent="0.35">
      <c r="A620" s="1">
        <v>500418.36729999998</v>
      </c>
      <c r="B620" s="1">
        <v>5999997.4639999997</v>
      </c>
      <c r="C620" s="1">
        <v>132.450166877736</v>
      </c>
      <c r="D620" s="1">
        <f t="shared" si="109"/>
        <v>419.10681908829173</v>
      </c>
      <c r="E620" s="1">
        <v>0.01</v>
      </c>
      <c r="F620" s="1">
        <v>0.05</v>
      </c>
      <c r="G620" s="1">
        <v>0.1</v>
      </c>
      <c r="H620" s="1">
        <v>9.81</v>
      </c>
      <c r="I620" s="1">
        <v>2650</v>
      </c>
      <c r="J620" s="1">
        <v>1000</v>
      </c>
      <c r="K620" s="1">
        <v>1.65</v>
      </c>
      <c r="L620" s="1">
        <v>6.5</v>
      </c>
      <c r="M620" s="1">
        <v>2.5</v>
      </c>
      <c r="N620" s="6">
        <v>9.9999999999999995E-7</v>
      </c>
      <c r="O620" s="1">
        <f t="shared" si="105"/>
        <v>10.219153288461655</v>
      </c>
      <c r="P620" s="1">
        <f t="shared" si="106"/>
        <v>12.259823035582844</v>
      </c>
      <c r="Q620" s="1">
        <f t="shared" si="107"/>
        <v>11.693245319798919</v>
      </c>
      <c r="R620" s="1">
        <v>125.67909999999996</v>
      </c>
      <c r="S620" s="1" t="e">
        <f t="shared" si="108"/>
        <v>#N/A</v>
      </c>
      <c r="T620" s="1" t="e">
        <v>#N/A</v>
      </c>
    </row>
    <row r="621" spans="1:20" x14ac:dyDescent="0.35">
      <c r="A621" s="1">
        <v>500428.57140000002</v>
      </c>
      <c r="B621" s="1">
        <v>5999997.0760000004</v>
      </c>
      <c r="C621" s="1">
        <v>139.234638858198</v>
      </c>
      <c r="D621" s="1">
        <f t="shared" si="109"/>
        <v>429.31829306662286</v>
      </c>
      <c r="E621" s="1">
        <v>0.01</v>
      </c>
      <c r="F621" s="1">
        <v>0.05</v>
      </c>
      <c r="G621" s="1">
        <v>0.1</v>
      </c>
      <c r="H621" s="1">
        <v>9.81</v>
      </c>
      <c r="I621" s="1">
        <v>2650</v>
      </c>
      <c r="J621" s="1">
        <v>1000</v>
      </c>
      <c r="K621" s="1">
        <v>1.65</v>
      </c>
      <c r="L621" s="1">
        <v>6.5</v>
      </c>
      <c r="M621" s="1">
        <v>2.5</v>
      </c>
      <c r="N621" s="6">
        <v>9.9999999999999995E-7</v>
      </c>
      <c r="O621" s="1">
        <f t="shared" si="105"/>
        <v>10.213570502749036</v>
      </c>
      <c r="P621" s="1">
        <f t="shared" si="106"/>
        <v>10.221862151517284</v>
      </c>
      <c r="Q621" s="1">
        <f t="shared" si="107"/>
        <v>11.240842593550063</v>
      </c>
      <c r="R621" s="1">
        <v>125.67909999999996</v>
      </c>
      <c r="S621" s="1" t="e">
        <f t="shared" si="108"/>
        <v>#N/A</v>
      </c>
      <c r="T621" s="1" t="e">
        <v>#N/A</v>
      </c>
    </row>
    <row r="622" spans="1:20" x14ac:dyDescent="0.35">
      <c r="A622" s="1">
        <v>500438.77549999999</v>
      </c>
      <c r="B622" s="1">
        <v>5999996.5899999999</v>
      </c>
      <c r="C622" s="1">
        <v>139.590466112179</v>
      </c>
      <c r="D622" s="1">
        <f t="shared" si="109"/>
        <v>439.5339600937898</v>
      </c>
      <c r="E622" s="1">
        <v>0.01</v>
      </c>
      <c r="F622" s="1">
        <v>0.05</v>
      </c>
      <c r="G622" s="1">
        <v>0.1</v>
      </c>
      <c r="H622" s="1">
        <v>9.81</v>
      </c>
      <c r="I622" s="1">
        <v>2650</v>
      </c>
      <c r="J622" s="1">
        <v>1000</v>
      </c>
      <c r="K622" s="1">
        <v>1.65</v>
      </c>
      <c r="L622" s="1">
        <v>6.5</v>
      </c>
      <c r="M622" s="1">
        <v>2.5</v>
      </c>
      <c r="N622" s="6">
        <v>9.9999999999999995E-7</v>
      </c>
      <c r="O622" s="1">
        <f t="shared" si="105"/>
        <v>10.227678867958247</v>
      </c>
      <c r="P622" s="1">
        <f t="shared" si="106"/>
        <v>10.247073843648518</v>
      </c>
      <c r="Q622" s="1">
        <f t="shared" si="107"/>
        <v>10.2344679975829</v>
      </c>
      <c r="R622" s="1">
        <v>125.67909999999996</v>
      </c>
      <c r="S622" s="1" t="e">
        <f t="shared" si="108"/>
        <v>#N/A</v>
      </c>
      <c r="T622" s="1" t="e">
        <v>#N/A</v>
      </c>
    </row>
    <row r="623" spans="1:20" x14ac:dyDescent="0.35">
      <c r="A623" s="1">
        <v>500448.97960000002</v>
      </c>
      <c r="B623" s="1">
        <v>5999995.7369999997</v>
      </c>
      <c r="C623" s="1">
        <v>139.20154896633201</v>
      </c>
      <c r="D623" s="1">
        <f t="shared" si="109"/>
        <v>449.77365080253935</v>
      </c>
      <c r="E623" s="1">
        <v>0.01</v>
      </c>
      <c r="F623" s="1">
        <v>0.05</v>
      </c>
      <c r="G623" s="1">
        <v>0.1</v>
      </c>
      <c r="H623" s="1">
        <v>9.81</v>
      </c>
      <c r="I623" s="1">
        <v>2650</v>
      </c>
      <c r="J623" s="1">
        <v>1000</v>
      </c>
      <c r="K623" s="1">
        <v>1.65</v>
      </c>
      <c r="L623" s="1">
        <v>6.5</v>
      </c>
      <c r="M623" s="1">
        <v>2.5</v>
      </c>
      <c r="N623" s="6">
        <v>9.9999999999999995E-7</v>
      </c>
      <c r="O623" s="1">
        <f t="shared" si="105"/>
        <v>10.226507982984828</v>
      </c>
      <c r="P623" s="1">
        <f t="shared" si="106"/>
        <v>10.216402783069102</v>
      </c>
      <c r="Q623" s="1">
        <f t="shared" si="107"/>
        <v>10.231738313358811</v>
      </c>
      <c r="R623" s="1">
        <v>125.67909999999996</v>
      </c>
      <c r="S623" s="1" t="e">
        <f t="shared" si="108"/>
        <v>#N/A</v>
      </c>
      <c r="T623" s="1" t="e">
        <v>#N/A</v>
      </c>
    </row>
    <row r="624" spans="1:20" x14ac:dyDescent="0.35">
      <c r="A624" s="1">
        <v>500459.18369999999</v>
      </c>
      <c r="B624" s="1">
        <v>5999996.1710000001</v>
      </c>
      <c r="C624" s="1">
        <v>138.95080404388699</v>
      </c>
      <c r="D624" s="1">
        <f t="shared" si="109"/>
        <v>459.98697605975946</v>
      </c>
      <c r="E624" s="1">
        <v>0.01</v>
      </c>
      <c r="F624" s="1">
        <v>0.05</v>
      </c>
      <c r="G624" s="1">
        <v>0.1</v>
      </c>
      <c r="H624" s="1">
        <v>9.81</v>
      </c>
      <c r="I624" s="1">
        <v>2650</v>
      </c>
      <c r="J624" s="1">
        <v>1000</v>
      </c>
      <c r="K624" s="1">
        <v>1.65</v>
      </c>
      <c r="L624" s="1">
        <v>6.5</v>
      </c>
      <c r="M624" s="1">
        <v>2.5</v>
      </c>
      <c r="N624" s="6">
        <v>9.9999999999999995E-7</v>
      </c>
      <c r="O624" s="1">
        <f t="shared" si="105"/>
        <v>10.228563101333435</v>
      </c>
      <c r="P624" s="1">
        <f t="shared" si="106"/>
        <v>10.24381622597874</v>
      </c>
      <c r="Q624" s="1">
        <f t="shared" si="107"/>
        <v>10.23010950452392</v>
      </c>
      <c r="R624" s="1">
        <v>125.67909999999996</v>
      </c>
      <c r="S624" s="1" t="e">
        <f t="shared" si="108"/>
        <v>#N/A</v>
      </c>
      <c r="T624" s="1" t="e">
        <v>#N/A</v>
      </c>
    </row>
    <row r="625" spans="1:57" x14ac:dyDescent="0.35">
      <c r="A625" s="1">
        <v>500469.38780000003</v>
      </c>
      <c r="B625" s="1">
        <v>5999997.0719999997</v>
      </c>
      <c r="C625" s="1">
        <v>138.933110494517</v>
      </c>
      <c r="D625" s="1">
        <f t="shared" si="109"/>
        <v>470.23077700520622</v>
      </c>
      <c r="E625" s="1">
        <v>0.01</v>
      </c>
      <c r="F625" s="1">
        <v>0.05</v>
      </c>
      <c r="G625" s="1">
        <v>0.1</v>
      </c>
      <c r="H625" s="1">
        <v>9.81</v>
      </c>
      <c r="I625" s="1">
        <v>2650</v>
      </c>
      <c r="J625" s="1">
        <v>1000</v>
      </c>
      <c r="K625" s="1">
        <v>1.65</v>
      </c>
      <c r="L625" s="1">
        <v>6.5</v>
      </c>
      <c r="M625" s="1">
        <v>2.5</v>
      </c>
      <c r="N625" s="6">
        <v>9.9999999999999995E-7</v>
      </c>
      <c r="O625" s="1">
        <f t="shared" si="105"/>
        <v>10.235585469869676</v>
      </c>
      <c r="P625" s="1">
        <f t="shared" si="106"/>
        <v>14.038699271405504</v>
      </c>
      <c r="Q625" s="1">
        <f t="shared" si="107"/>
        <v>12.141257748692123</v>
      </c>
      <c r="R625" s="1">
        <v>125.67909999999996</v>
      </c>
      <c r="S625" s="1" t="e">
        <f t="shared" si="108"/>
        <v>#N/A</v>
      </c>
      <c r="T625" s="1" t="e">
        <v>#N/A</v>
      </c>
    </row>
    <row r="626" spans="1:57" x14ac:dyDescent="0.35">
      <c r="A626" s="1">
        <v>500479.59179999999</v>
      </c>
      <c r="B626" s="1">
        <v>5999997.7630000003</v>
      </c>
      <c r="C626" s="1">
        <v>148.55007364474301</v>
      </c>
      <c r="D626" s="1">
        <f t="shared" si="109"/>
        <v>480.45814699949881</v>
      </c>
      <c r="E626" s="1">
        <v>0.01</v>
      </c>
      <c r="F626" s="1">
        <v>0.05</v>
      </c>
      <c r="G626" s="1">
        <v>0.1</v>
      </c>
      <c r="H626" s="1">
        <v>9.81</v>
      </c>
      <c r="I626" s="1">
        <v>2650</v>
      </c>
      <c r="J626" s="1">
        <v>1000</v>
      </c>
      <c r="K626" s="1">
        <v>1.65</v>
      </c>
      <c r="L626" s="1">
        <v>6.5</v>
      </c>
      <c r="M626" s="1">
        <v>2.5</v>
      </c>
      <c r="N626" s="6">
        <v>9.9999999999999995E-7</v>
      </c>
      <c r="O626" s="1">
        <f t="shared" si="105"/>
        <v>10.217030880251457</v>
      </c>
      <c r="P626" s="1">
        <f t="shared" si="106"/>
        <v>10.496604105828091</v>
      </c>
      <c r="Q626" s="1">
        <f t="shared" si="107"/>
        <v>12.267651688616798</v>
      </c>
      <c r="R626" s="1">
        <v>125.67909999999996</v>
      </c>
      <c r="S626" s="1" t="e">
        <f t="shared" si="108"/>
        <v>#N/A</v>
      </c>
      <c r="T626" s="1" t="e">
        <v>#N/A</v>
      </c>
    </row>
    <row r="627" spans="1:57" x14ac:dyDescent="0.35">
      <c r="A627" s="1">
        <v>500489.79590000003</v>
      </c>
      <c r="B627" s="1">
        <v>5999997.9929999998</v>
      </c>
      <c r="C627" s="1">
        <v>146.10014692256101</v>
      </c>
      <c r="D627" s="1">
        <f t="shared" si="109"/>
        <v>490.66483876570913</v>
      </c>
      <c r="E627" s="1">
        <v>0.01</v>
      </c>
      <c r="F627" s="1">
        <v>0.05</v>
      </c>
      <c r="G627" s="1">
        <v>0.1</v>
      </c>
      <c r="H627" s="1">
        <v>9.81</v>
      </c>
      <c r="I627" s="1">
        <v>2650</v>
      </c>
      <c r="J627" s="1">
        <v>1000</v>
      </c>
      <c r="K627" s="1">
        <v>1.65</v>
      </c>
      <c r="L627" s="1">
        <v>6.5</v>
      </c>
      <c r="M627" s="1">
        <v>2.5</v>
      </c>
      <c r="N627" s="6">
        <v>9.9999999999999995E-7</v>
      </c>
      <c r="O627" s="1">
        <f t="shared" si="105"/>
        <v>10.209902888805345</v>
      </c>
      <c r="P627" s="1">
        <f t="shared" si="106"/>
        <v>10.652346301971106</v>
      </c>
      <c r="Q627" s="1">
        <f t="shared" si="107"/>
        <v>10.574475203899599</v>
      </c>
      <c r="R627" s="1">
        <v>125.67909999999996</v>
      </c>
      <c r="S627" s="1" t="e">
        <f t="shared" si="108"/>
        <v>#N/A</v>
      </c>
      <c r="T627" s="1" t="e">
        <v>#N/A</v>
      </c>
    </row>
    <row r="628" spans="1:57" x14ac:dyDescent="0.35">
      <c r="A628" s="1">
        <v>500500</v>
      </c>
      <c r="B628" s="1">
        <v>5999998.4220000003</v>
      </c>
      <c r="C628" s="1">
        <v>149.127486336511</v>
      </c>
      <c r="D628" s="1">
        <f t="shared" si="109"/>
        <v>500.8779527771095</v>
      </c>
      <c r="E628" s="1">
        <v>0.01</v>
      </c>
      <c r="F628" s="1">
        <v>0.05</v>
      </c>
      <c r="G628" s="1">
        <v>0.1</v>
      </c>
      <c r="H628" s="1">
        <v>9.81</v>
      </c>
      <c r="I628" s="1">
        <v>2650</v>
      </c>
      <c r="J628" s="1">
        <v>1000</v>
      </c>
      <c r="K628" s="1">
        <v>1.65</v>
      </c>
      <c r="L628" s="1">
        <v>6.5</v>
      </c>
      <c r="M628" s="1">
        <v>2.5</v>
      </c>
      <c r="N628" s="6">
        <v>9.9999999999999995E-7</v>
      </c>
      <c r="O628" s="1">
        <f xml:space="preserve"> (D628 - D627) / 2</f>
        <v>5.1065570057001821</v>
      </c>
    </row>
    <row r="631" spans="1:57" x14ac:dyDescent="0.35">
      <c r="A631" s="1" t="s">
        <v>0</v>
      </c>
      <c r="B631" s="1" t="s">
        <v>1</v>
      </c>
      <c r="C631" s="1" t="s">
        <v>2</v>
      </c>
      <c r="D631" s="1" t="s">
        <v>18</v>
      </c>
      <c r="E631" s="1" t="s">
        <v>67</v>
      </c>
      <c r="F631" s="1" t="s">
        <v>66</v>
      </c>
      <c r="G631" s="1" t="s">
        <v>65</v>
      </c>
      <c r="H631" s="1" t="s">
        <v>64</v>
      </c>
      <c r="I631" s="1" t="s">
        <v>63</v>
      </c>
      <c r="J631" s="1" t="s">
        <v>62</v>
      </c>
      <c r="K631" s="1" t="s">
        <v>61</v>
      </c>
      <c r="L631" s="1" t="s">
        <v>60</v>
      </c>
      <c r="M631" s="1" t="s">
        <v>59</v>
      </c>
      <c r="N631" s="1" t="s">
        <v>58</v>
      </c>
      <c r="O631" s="1" t="s">
        <v>57</v>
      </c>
      <c r="P631" s="1" t="s">
        <v>56</v>
      </c>
      <c r="Q631" s="1" t="s">
        <v>55</v>
      </c>
      <c r="R631" s="1" t="s">
        <v>54</v>
      </c>
      <c r="S631" s="1" t="s">
        <v>16</v>
      </c>
      <c r="T631" s="1" t="s">
        <v>53</v>
      </c>
      <c r="U631" s="10" t="s">
        <v>52</v>
      </c>
      <c r="V631" s="10" t="s">
        <v>51</v>
      </c>
      <c r="W631" s="10" t="s">
        <v>50</v>
      </c>
      <c r="X631" s="10" t="s">
        <v>49</v>
      </c>
      <c r="Y631" s="1" t="s">
        <v>48</v>
      </c>
      <c r="Z631" s="1" t="s">
        <v>47</v>
      </c>
      <c r="AA631" s="1" t="s">
        <v>46</v>
      </c>
      <c r="AB631" s="1" t="s">
        <v>45</v>
      </c>
      <c r="AC631" s="1" t="s">
        <v>44</v>
      </c>
      <c r="AD631" s="1" t="s">
        <v>43</v>
      </c>
      <c r="AE631" s="1" t="s">
        <v>42</v>
      </c>
      <c r="AF631" s="1" t="s">
        <v>41</v>
      </c>
      <c r="AG631" s="1" t="s">
        <v>40</v>
      </c>
      <c r="AH631" s="1" t="s">
        <v>39</v>
      </c>
      <c r="AI631" s="1" t="s">
        <v>38</v>
      </c>
      <c r="AJ631" s="1" t="s">
        <v>37</v>
      </c>
      <c r="AK631" s="1" t="s">
        <v>36</v>
      </c>
      <c r="AL631" s="1" t="s">
        <v>35</v>
      </c>
      <c r="AM631" s="1" t="s">
        <v>34</v>
      </c>
      <c r="AN631" s="1" t="s">
        <v>34</v>
      </c>
      <c r="AO631" s="7" t="s">
        <v>33</v>
      </c>
      <c r="AP631" s="7" t="s">
        <v>32</v>
      </c>
      <c r="AQ631" s="7" t="s">
        <v>31</v>
      </c>
      <c r="AR631" s="7" t="s">
        <v>30</v>
      </c>
      <c r="AS631" s="7" t="s">
        <v>29</v>
      </c>
      <c r="AT631" s="7" t="s">
        <v>28</v>
      </c>
      <c r="AU631" s="7" t="s">
        <v>27</v>
      </c>
      <c r="AV631" s="7" t="s">
        <v>27</v>
      </c>
      <c r="AW631" s="1" t="s">
        <v>26</v>
      </c>
      <c r="AX631" s="1" t="s">
        <v>25</v>
      </c>
      <c r="AY631" s="1" t="s">
        <v>24</v>
      </c>
      <c r="AZ631" s="1" t="s">
        <v>23</v>
      </c>
      <c r="BA631" s="1" t="s">
        <v>22</v>
      </c>
      <c r="BB631" s="1" t="s">
        <v>21</v>
      </c>
      <c r="BC631" s="1" t="s">
        <v>20</v>
      </c>
      <c r="BD631" s="1" t="s">
        <v>20</v>
      </c>
      <c r="BE631" s="1" t="s">
        <v>19</v>
      </c>
    </row>
    <row r="632" spans="1:57" x14ac:dyDescent="0.35">
      <c r="A632" s="1">
        <v>500000</v>
      </c>
      <c r="B632" s="1">
        <v>5999999.0959999999</v>
      </c>
      <c r="C632" s="1">
        <v>146.95665459614199</v>
      </c>
      <c r="D632" s="1">
        <v>0</v>
      </c>
      <c r="E632" s="1">
        <v>0.01</v>
      </c>
      <c r="F632" s="1">
        <v>0.05</v>
      </c>
      <c r="G632" s="1">
        <v>0.1</v>
      </c>
      <c r="H632" s="1">
        <v>9.81</v>
      </c>
      <c r="I632" s="1">
        <v>2650</v>
      </c>
      <c r="J632" s="1">
        <v>1000</v>
      </c>
      <c r="K632" s="1">
        <v>1.65</v>
      </c>
      <c r="L632" s="1">
        <v>6.5</v>
      </c>
      <c r="M632" s="1">
        <v>2.5</v>
      </c>
      <c r="N632" s="6">
        <v>9.9999999999999995E-7</v>
      </c>
      <c r="O632" s="1">
        <f xml:space="preserve"> (D633 - D632) / 2</f>
        <v>5.1061868798967165</v>
      </c>
      <c r="P632" s="1">
        <f t="shared" ref="P632:P663" si="110">SQRT((D633 - D632)^2 + (C633 - C632)^2)</f>
        <v>12.612081347143071</v>
      </c>
      <c r="Q632" s="1">
        <f t="shared" ref="Q632:Q663" si="111">IF(ROW()=632, P632/2, (P632 + P631)/2)</f>
        <v>6.3060406735715357</v>
      </c>
      <c r="R632" s="1">
        <v>125.72909999999996</v>
      </c>
      <c r="S632" s="1" t="e">
        <f t="shared" ref="S632:S663" si="112">IF(R632 - C632 &lt; 0, NA(), R632 - C632)</f>
        <v>#N/A</v>
      </c>
      <c r="T632" s="1" t="e">
        <v>#N/A</v>
      </c>
      <c r="U632" s="10" cm="1">
        <f t="array" ref="U632">SUMPRODUCT(IF(ISNA(T632:T681), 0, T632:T681), IF(ISNA(O632:O681), 0, O632:O681))</f>
        <v>7.1543560068680181</v>
      </c>
      <c r="V632" s="10">
        <f>SUMIF(S632:S681, "&gt;0", O632:O681)</f>
        <v>10.221049857319429</v>
      </c>
      <c r="W632" s="10">
        <f>SUMIF(S632:S681, "&gt;0", Q632:Q681)</f>
        <v>10.577000852837193</v>
      </c>
      <c r="X632" s="10">
        <f>U632/W632</f>
        <v>0.67640686678671502</v>
      </c>
      <c r="Y632" s="1">
        <f xml:space="preserve"> (6.5 * 2.5 * (X632 / G632)) / SQRT(6.5^2 + 2.5^2 * (X632 / G632)^(5/3))</f>
        <v>7.9026688937011871</v>
      </c>
      <c r="Z632" s="1">
        <f>Y632*SQRT(X632*H632*E632)</f>
        <v>2.0356930496134593</v>
      </c>
      <c r="AA632" s="1">
        <f>J632*H632*X632*E632</f>
        <v>66.355513631776745</v>
      </c>
      <c r="AB632" s="1">
        <f>(AA632 / (9.81 * 1000 *1.65 * F632))</f>
        <v>8.1988711125662431E-2</v>
      </c>
      <c r="AC632" s="9">
        <f xml:space="preserve"> F632 * (K632 * H632 / (N632)^2)^(1/3)</f>
        <v>1264.7974700106745</v>
      </c>
      <c r="AD632" s="1">
        <f xml:space="preserve"> 0.3 / (1 + 1.2 * AC632) + 0.055 * (1 - EXP(-0.02 * AC632))</f>
        <v>5.5197529957883754E-2</v>
      </c>
      <c r="AE632" s="1">
        <f>IF(AC632 &lt;= 4, 0.24 * AC632^-1, IF(AC632 &gt; 4, IF(AC632 &lt;= 10, 0.14 * AC632^-0.64, IF(AC632 &lt;= 20, 0.04 * AC632^-0.1, IF(AC632 &lt;= 150, 0.013 * AC632^0.29, 0.056)))))</f>
        <v>5.6000000000000001E-2</v>
      </c>
      <c r="AF632" s="1">
        <f>AB632/AD632-1</f>
        <v>0.48536920380713777</v>
      </c>
      <c r="AG632" s="1">
        <f xml:space="preserve"> 2.45 * SQRT(AD632) / (K632 + 1)^0.4</f>
        <v>0.38978718496890047</v>
      </c>
      <c r="AH632" s="1">
        <f>SQRT(2/3 + 36 / AC632^3) - SQRT(36 / AC632^3)</f>
        <v>0.81636320289979147</v>
      </c>
      <c r="AI632" s="1">
        <f>AA632* Z632 / (J632 * (H632* K632 * F632)^(3/2))</f>
        <v>0.18552604016733751</v>
      </c>
      <c r="AJ632" s="1">
        <f>AD632* K632 * F632 / E632</f>
        <v>0.45537962215254096</v>
      </c>
      <c r="AK632" s="1">
        <f>Y632 * AD632^(3/2)</f>
        <v>0.10248333554247459</v>
      </c>
      <c r="AL632" s="1">
        <f>(0.92 - 0.25 * SQRT(AK632 / AI632))^9</f>
        <v>6.1985101080007522E-2</v>
      </c>
      <c r="AM632" s="1">
        <v>5.2759527000000001E-2</v>
      </c>
      <c r="AN632" s="1">
        <v>4.7434165E-2</v>
      </c>
      <c r="AO632" s="7">
        <f>IF(AB632 &gt; 0.047, 8 * (AB632 - 0.047)^(3/2), 0)</f>
        <v>5.2357861998478222E-2</v>
      </c>
      <c r="AP632" s="7">
        <f>IF(AB632&gt; 0.047, 4 * (AB632 - 0.047)^(3/2), 0)</f>
        <v>2.6178930999239111E-2</v>
      </c>
      <c r="AQ632" s="7">
        <f xml:space="preserve"> (0.053 / AC632^(0.3)) * ((AB632 / AE632) - 1)^2.1</f>
        <v>1.2402883779971017E-3</v>
      </c>
      <c r="AR632" s="7">
        <f xml:space="preserve"> IF(AB632 &gt; AD632, 0.635 * AF632 * SQRT(AB632) * (1 - (1 / (AG632*AF632)) * LOG(1 + AF632*AG632)), 0)</f>
        <v>5.3149151737423038E-2</v>
      </c>
      <c r="AS632" s="8">
        <f>IF(AB632&gt;= 0.19, 40 * AH632 * AB632^3, (AH632 * EXP(-0.391 / AB632)) / 0.465)</f>
        <v>1.4903975814955249E-2</v>
      </c>
      <c r="AT632" s="7">
        <f>AL632* AI632</f>
        <v>1.1499850352745951E-2</v>
      </c>
      <c r="AU632" s="7">
        <f>14 * AB632^2.5 / (1 + (AM632/AB632)^4)</f>
        <v>2.3002875634731777E-2</v>
      </c>
      <c r="AV632" s="7">
        <f>14*AB632^2.5/(1+(AN632/AB632)^4)</f>
        <v>2.4232332686176271E-2</v>
      </c>
      <c r="AW632" s="1">
        <f>AO632*SQRT(1.65*9.81*F632^3)</f>
        <v>2.3551218754108878E-3</v>
      </c>
      <c r="AX632" s="1">
        <f>AP632*SQRT(1.65*9.81*F632^3)</f>
        <v>1.1775609377054439E-3</v>
      </c>
      <c r="AY632" s="1">
        <f>AQ632*SQRT(1.65*9.81*F632^3)</f>
        <v>5.5789716755885903E-5</v>
      </c>
      <c r="AZ632" s="1">
        <f>AR632*SQRT(1.65*9.81*F632^3)</f>
        <v>2.3907150738885353E-3</v>
      </c>
      <c r="BA632" s="1">
        <f>AS632*SQRT(1.65*9.81*F632^3)</f>
        <v>6.7039940388352983E-4</v>
      </c>
      <c r="BB632" s="1">
        <f>AT632*SQRT(1.65*9.81*F632^3)</f>
        <v>5.1727759873943641E-4</v>
      </c>
      <c r="BC632" s="1">
        <f>AU632*SQRT(1.65*9.81*G632^3)</f>
        <v>2.926567916704407E-3</v>
      </c>
      <c r="BD632" s="1">
        <f>AV632*SQRT(1.65*9.81*G632^3)</f>
        <v>3.0829870365943891E-3</v>
      </c>
      <c r="BE632" s="1">
        <f>U632*Z632</f>
        <v>14.564072797641527</v>
      </c>
    </row>
    <row r="633" spans="1:57" x14ac:dyDescent="0.35">
      <c r="A633" s="1">
        <v>500010.20409999997</v>
      </c>
      <c r="B633" s="1">
        <v>5999998.6849999996</v>
      </c>
      <c r="C633" s="1">
        <v>154.35746658519</v>
      </c>
      <c r="D633" s="1">
        <f t="shared" ref="D633:D664" si="113">D632 + SQRT((A633 - A632)^2 + (B633 - B632)^2)</f>
        <v>10.212373759793433</v>
      </c>
      <c r="E633" s="1">
        <v>0.01</v>
      </c>
      <c r="F633" s="1">
        <v>0.05</v>
      </c>
      <c r="G633" s="1">
        <v>0.1</v>
      </c>
      <c r="H633" s="1">
        <v>9.81</v>
      </c>
      <c r="I633" s="1">
        <v>2650</v>
      </c>
      <c r="J633" s="1">
        <v>1000</v>
      </c>
      <c r="K633" s="1">
        <v>1.65</v>
      </c>
      <c r="L633" s="1">
        <v>6.5</v>
      </c>
      <c r="M633" s="1">
        <v>2.5</v>
      </c>
      <c r="N633" s="6">
        <v>9.9999999999999995E-7</v>
      </c>
      <c r="O633" s="1">
        <f t="shared" ref="O633:O680" si="114" xml:space="preserve"> (D634 - D633 + D633 - D632) / 2</f>
        <v>10.212934886473896</v>
      </c>
      <c r="P633" s="1">
        <f t="shared" si="110"/>
        <v>10.748393624242958</v>
      </c>
      <c r="Q633" s="1">
        <f t="shared" si="111"/>
        <v>11.680237485693015</v>
      </c>
      <c r="R633" s="1">
        <v>125.72909999999996</v>
      </c>
      <c r="S633" s="1" t="e">
        <f t="shared" si="112"/>
        <v>#N/A</v>
      </c>
      <c r="T633" s="1" t="e">
        <v>#N/A</v>
      </c>
      <c r="AO633" s="7"/>
      <c r="AP633" s="7"/>
      <c r="AQ633" s="7"/>
      <c r="AR633" s="7"/>
      <c r="AS633" s="7"/>
      <c r="AT633" s="7"/>
      <c r="AU633" s="7"/>
      <c r="AV633" s="7"/>
    </row>
    <row r="634" spans="1:57" x14ac:dyDescent="0.35">
      <c r="A634" s="1">
        <v>500020.40820000001</v>
      </c>
      <c r="B634" s="1">
        <v>5999999.1229999997</v>
      </c>
      <c r="C634" s="1">
        <v>151.008964727501</v>
      </c>
      <c r="D634" s="1">
        <f t="shared" si="113"/>
        <v>20.425869772947792</v>
      </c>
      <c r="E634" s="1">
        <v>0.01</v>
      </c>
      <c r="F634" s="1">
        <v>0.05</v>
      </c>
      <c r="G634" s="1">
        <v>0.1</v>
      </c>
      <c r="H634" s="1">
        <v>9.81</v>
      </c>
      <c r="I634" s="1">
        <v>2650</v>
      </c>
      <c r="J634" s="1">
        <v>1000</v>
      </c>
      <c r="K634" s="1">
        <v>1.65</v>
      </c>
      <c r="L634" s="1">
        <v>6.5</v>
      </c>
      <c r="M634" s="1">
        <v>2.5</v>
      </c>
      <c r="N634" s="6">
        <v>9.9999999999999995E-7</v>
      </c>
      <c r="O634" s="1">
        <f t="shared" si="114"/>
        <v>10.21125621009096</v>
      </c>
      <c r="P634" s="1">
        <f t="shared" si="110"/>
        <v>13.985433799960637</v>
      </c>
      <c r="Q634" s="1">
        <f t="shared" si="111"/>
        <v>12.366913712101798</v>
      </c>
      <c r="R634" s="1">
        <v>125.72909999999996</v>
      </c>
      <c r="S634" s="1" t="e">
        <f t="shared" si="112"/>
        <v>#N/A</v>
      </c>
      <c r="T634" s="1" t="e">
        <v>#N/A</v>
      </c>
    </row>
    <row r="635" spans="1:57" x14ac:dyDescent="0.35">
      <c r="A635" s="1">
        <v>500030.61219999997</v>
      </c>
      <c r="B635" s="1">
        <v>5999998.8030000003</v>
      </c>
      <c r="C635" s="1">
        <v>160.567643641144</v>
      </c>
      <c r="D635" s="1">
        <f t="shared" si="113"/>
        <v>30.634886179975354</v>
      </c>
      <c r="E635" s="1">
        <v>0.01</v>
      </c>
      <c r="F635" s="1">
        <v>0.05</v>
      </c>
      <c r="G635" s="1">
        <v>0.1</v>
      </c>
      <c r="H635" s="1">
        <v>9.81</v>
      </c>
      <c r="I635" s="1">
        <v>2650</v>
      </c>
      <c r="J635" s="1">
        <v>1000</v>
      </c>
      <c r="K635" s="1">
        <v>1.65</v>
      </c>
      <c r="L635" s="1">
        <v>6.5</v>
      </c>
      <c r="M635" s="1">
        <v>2.5</v>
      </c>
      <c r="N635" s="6">
        <v>9.9999999999999995E-7</v>
      </c>
      <c r="O635" s="1">
        <f t="shared" si="114"/>
        <v>10.214935822867286</v>
      </c>
      <c r="P635" s="1">
        <f t="shared" si="110"/>
        <v>10.224042445454263</v>
      </c>
      <c r="Q635" s="1">
        <f t="shared" si="111"/>
        <v>12.104738122707449</v>
      </c>
      <c r="R635" s="1">
        <v>125.72909999999996</v>
      </c>
      <c r="S635" s="1" t="e">
        <f t="shared" si="112"/>
        <v>#N/A</v>
      </c>
      <c r="T635" s="1" t="e">
        <v>#N/A</v>
      </c>
    </row>
    <row r="636" spans="1:57" x14ac:dyDescent="0.35">
      <c r="A636" s="1">
        <v>500040.81630000001</v>
      </c>
      <c r="B636" s="1">
        <v>5999998.2180000003</v>
      </c>
      <c r="C636" s="1">
        <v>160.82291235416201</v>
      </c>
      <c r="D636" s="1">
        <f t="shared" si="113"/>
        <v>40.855741418682364</v>
      </c>
      <c r="E636" s="1">
        <v>0.01</v>
      </c>
      <c r="F636" s="1">
        <v>0.05</v>
      </c>
      <c r="G636" s="1">
        <v>0.1</v>
      </c>
      <c r="H636" s="1">
        <v>9.81</v>
      </c>
      <c r="I636" s="1">
        <v>2650</v>
      </c>
      <c r="J636" s="1">
        <v>1000</v>
      </c>
      <c r="K636" s="1">
        <v>1.65</v>
      </c>
      <c r="L636" s="1">
        <v>6.5</v>
      </c>
      <c r="M636" s="1">
        <v>2.5</v>
      </c>
      <c r="N636" s="6">
        <v>9.9999999999999995E-7</v>
      </c>
      <c r="O636" s="1">
        <f t="shared" si="114"/>
        <v>10.231243785008825</v>
      </c>
      <c r="P636" s="1">
        <f t="shared" si="110"/>
        <v>10.333484931908488</v>
      </c>
      <c r="Q636" s="1">
        <f t="shared" si="111"/>
        <v>10.278763688681376</v>
      </c>
      <c r="R636" s="1">
        <v>125.72909999999996</v>
      </c>
      <c r="S636" s="1" t="e">
        <f t="shared" si="112"/>
        <v>#N/A</v>
      </c>
      <c r="T636" s="1" t="e">
        <v>#N/A</v>
      </c>
    </row>
    <row r="637" spans="1:57" x14ac:dyDescent="0.35">
      <c r="A637" s="1">
        <v>500051.02039999998</v>
      </c>
      <c r="B637" s="1">
        <v>5999997.3420000002</v>
      </c>
      <c r="C637" s="1">
        <v>159.448184007094</v>
      </c>
      <c r="D637" s="1">
        <f t="shared" si="113"/>
        <v>51.097373749993004</v>
      </c>
      <c r="E637" s="1">
        <v>0.01</v>
      </c>
      <c r="F637" s="1">
        <v>0.05</v>
      </c>
      <c r="G637" s="1">
        <v>0.1</v>
      </c>
      <c r="H637" s="1">
        <v>9.81</v>
      </c>
      <c r="I637" s="1">
        <v>2650</v>
      </c>
      <c r="J637" s="1">
        <v>1000</v>
      </c>
      <c r="K637" s="1">
        <v>1.65</v>
      </c>
      <c r="L637" s="1">
        <v>6.5</v>
      </c>
      <c r="M637" s="1">
        <v>2.5</v>
      </c>
      <c r="N637" s="6">
        <v>9.9999999999999995E-7</v>
      </c>
      <c r="O637" s="1">
        <f t="shared" si="114"/>
        <v>10.22297614478725</v>
      </c>
      <c r="P637" s="1">
        <f t="shared" si="110"/>
        <v>11.164078602095582</v>
      </c>
      <c r="Q637" s="1">
        <f t="shared" si="111"/>
        <v>10.748781767002036</v>
      </c>
      <c r="R637" s="1">
        <v>125.72909999999996</v>
      </c>
      <c r="S637" s="1" t="e">
        <f t="shared" si="112"/>
        <v>#N/A</v>
      </c>
      <c r="T637" s="1" t="e">
        <v>#N/A</v>
      </c>
    </row>
    <row r="638" spans="1:57" x14ac:dyDescent="0.35">
      <c r="A638" s="1">
        <v>500061.22450000001</v>
      </c>
      <c r="B638" s="1">
        <v>5999997.2750000004</v>
      </c>
      <c r="C638" s="1">
        <v>163.976815723534</v>
      </c>
      <c r="D638" s="1">
        <f t="shared" si="113"/>
        <v>61.301693708256863</v>
      </c>
      <c r="E638" s="1">
        <v>0.01</v>
      </c>
      <c r="F638" s="1">
        <v>0.05</v>
      </c>
      <c r="G638" s="1">
        <v>0.1</v>
      </c>
      <c r="H638" s="1">
        <v>9.81</v>
      </c>
      <c r="I638" s="1">
        <v>2650</v>
      </c>
      <c r="J638" s="1">
        <v>1000</v>
      </c>
      <c r="K638" s="1">
        <v>1.65</v>
      </c>
      <c r="L638" s="1">
        <v>6.5</v>
      </c>
      <c r="M638" s="1">
        <v>2.5</v>
      </c>
      <c r="N638" s="6">
        <v>9.9999999999999995E-7</v>
      </c>
      <c r="O638" s="1">
        <f t="shared" si="114"/>
        <v>10.209391538632293</v>
      </c>
      <c r="P638" s="1">
        <f t="shared" si="110"/>
        <v>11.034750060361873</v>
      </c>
      <c r="Q638" s="1">
        <f t="shared" si="111"/>
        <v>11.099414331228727</v>
      </c>
      <c r="R638" s="1">
        <v>125.72909999999996</v>
      </c>
      <c r="S638" s="1" t="e">
        <f t="shared" si="112"/>
        <v>#N/A</v>
      </c>
      <c r="T638" s="1" t="e">
        <v>#N/A</v>
      </c>
    </row>
    <row r="639" spans="1:57" x14ac:dyDescent="0.35">
      <c r="A639" s="1">
        <v>500071.42859999998</v>
      </c>
      <c r="B639" s="1">
        <v>5999996.8150000004</v>
      </c>
      <c r="C639" s="1">
        <v>168.15179501512699</v>
      </c>
      <c r="D639" s="1">
        <f t="shared" si="113"/>
        <v>71.516156827257589</v>
      </c>
      <c r="E639" s="1">
        <v>0.01</v>
      </c>
      <c r="F639" s="1">
        <v>0.05</v>
      </c>
      <c r="G639" s="1">
        <v>0.1</v>
      </c>
      <c r="H639" s="1">
        <v>9.81</v>
      </c>
      <c r="I639" s="1">
        <v>2650</v>
      </c>
      <c r="J639" s="1">
        <v>1000</v>
      </c>
      <c r="K639" s="1">
        <v>1.65</v>
      </c>
      <c r="L639" s="1">
        <v>6.5</v>
      </c>
      <c r="M639" s="1">
        <v>2.5</v>
      </c>
      <c r="N639" s="6">
        <v>9.9999999999999995E-7</v>
      </c>
      <c r="O639" s="1">
        <f t="shared" si="114"/>
        <v>10.229976351370027</v>
      </c>
      <c r="P639" s="1">
        <f t="shared" si="110"/>
        <v>11.687505241745082</v>
      </c>
      <c r="Q639" s="1">
        <f t="shared" si="111"/>
        <v>11.361127651053478</v>
      </c>
      <c r="R639" s="1">
        <v>125.72909999999996</v>
      </c>
      <c r="S639" s="1" t="e">
        <f t="shared" si="112"/>
        <v>#N/A</v>
      </c>
      <c r="T639" s="1" t="e">
        <v>#N/A</v>
      </c>
    </row>
    <row r="640" spans="1:57" x14ac:dyDescent="0.35">
      <c r="A640" s="1">
        <v>500081.63270000002</v>
      </c>
      <c r="B640" s="1">
        <v>5999997.7350000003</v>
      </c>
      <c r="C640" s="1">
        <v>162.52794206849799</v>
      </c>
      <c r="D640" s="1">
        <f t="shared" si="113"/>
        <v>81.761646410996917</v>
      </c>
      <c r="E640" s="1">
        <v>0.01</v>
      </c>
      <c r="F640" s="1">
        <v>0.05</v>
      </c>
      <c r="G640" s="1">
        <v>0.1</v>
      </c>
      <c r="H640" s="1">
        <v>9.81</v>
      </c>
      <c r="I640" s="1">
        <v>2650</v>
      </c>
      <c r="J640" s="1">
        <v>1000</v>
      </c>
      <c r="K640" s="1">
        <v>1.65</v>
      </c>
      <c r="L640" s="1">
        <v>6.5</v>
      </c>
      <c r="M640" s="1">
        <v>2.5</v>
      </c>
      <c r="N640" s="6">
        <v>9.9999999999999995E-7</v>
      </c>
      <c r="O640" s="1">
        <f t="shared" si="114"/>
        <v>10.224765396477437</v>
      </c>
      <c r="P640" s="1">
        <f t="shared" si="110"/>
        <v>11.652977208096294</v>
      </c>
      <c r="Q640" s="1">
        <f t="shared" si="111"/>
        <v>11.670241224920687</v>
      </c>
      <c r="R640" s="1">
        <v>125.72909999999996</v>
      </c>
      <c r="S640" s="1" t="e">
        <f t="shared" si="112"/>
        <v>#N/A</v>
      </c>
      <c r="T640" s="1" t="e">
        <v>#N/A</v>
      </c>
    </row>
    <row r="641" spans="1:20" x14ac:dyDescent="0.35">
      <c r="A641" s="1">
        <v>500091.83669999999</v>
      </c>
      <c r="B641" s="1">
        <v>5999997.7640000004</v>
      </c>
      <c r="C641" s="1">
        <v>168.15550111421601</v>
      </c>
      <c r="D641" s="1">
        <f t="shared" si="113"/>
        <v>91.965687620212464</v>
      </c>
      <c r="E641" s="1">
        <v>0.01</v>
      </c>
      <c r="F641" s="1">
        <v>0.05</v>
      </c>
      <c r="G641" s="1">
        <v>0.1</v>
      </c>
      <c r="H641" s="1">
        <v>9.81</v>
      </c>
      <c r="I641" s="1">
        <v>2650</v>
      </c>
      <c r="J641" s="1">
        <v>1000</v>
      </c>
      <c r="K641" s="1">
        <v>1.65</v>
      </c>
      <c r="L641" s="1">
        <v>6.5</v>
      </c>
      <c r="M641" s="1">
        <v>2.5</v>
      </c>
      <c r="N641" s="6">
        <v>9.9999999999999995E-7</v>
      </c>
      <c r="O641" s="1">
        <f t="shared" si="114"/>
        <v>10.204607223431253</v>
      </c>
      <c r="P641" s="1">
        <f t="shared" si="110"/>
        <v>10.499401533865951</v>
      </c>
      <c r="Q641" s="1">
        <f t="shared" si="111"/>
        <v>11.076189370981123</v>
      </c>
      <c r="R641" s="1">
        <v>125.72909999999996</v>
      </c>
      <c r="S641" s="1" t="e">
        <f t="shared" si="112"/>
        <v>#N/A</v>
      </c>
      <c r="T641" s="1" t="e">
        <v>#N/A</v>
      </c>
    </row>
    <row r="642" spans="1:20" x14ac:dyDescent="0.35">
      <c r="A642" s="1">
        <v>500102.04080000002</v>
      </c>
      <c r="B642" s="1">
        <v>5999997.9119999995</v>
      </c>
      <c r="C642" s="1">
        <v>170.62367285843499</v>
      </c>
      <c r="D642" s="1">
        <f t="shared" si="113"/>
        <v>102.17086085785942</v>
      </c>
      <c r="E642" s="1">
        <v>0.01</v>
      </c>
      <c r="F642" s="1">
        <v>0.05</v>
      </c>
      <c r="G642" s="1">
        <v>0.1</v>
      </c>
      <c r="H642" s="1">
        <v>9.81</v>
      </c>
      <c r="I642" s="1">
        <v>2650</v>
      </c>
      <c r="J642" s="1">
        <v>1000</v>
      </c>
      <c r="K642" s="1">
        <v>1.65</v>
      </c>
      <c r="L642" s="1">
        <v>6.5</v>
      </c>
      <c r="M642" s="1">
        <v>2.5</v>
      </c>
      <c r="N642" s="6">
        <v>9.9999999999999995E-7</v>
      </c>
      <c r="O642" s="1">
        <f t="shared" si="114"/>
        <v>10.21006882166494</v>
      </c>
      <c r="P642" s="1">
        <f t="shared" si="110"/>
        <v>10.948230205101877</v>
      </c>
      <c r="Q642" s="1">
        <f t="shared" si="111"/>
        <v>10.723815869483914</v>
      </c>
      <c r="R642" s="1">
        <v>125.72909999999996</v>
      </c>
      <c r="S642" s="1" t="e">
        <f t="shared" si="112"/>
        <v>#N/A</v>
      </c>
      <c r="T642" s="1" t="e">
        <v>#N/A</v>
      </c>
    </row>
    <row r="643" spans="1:20" x14ac:dyDescent="0.35">
      <c r="A643" s="1">
        <v>500112.24489999999</v>
      </c>
      <c r="B643" s="1">
        <v>5999997.4409999996</v>
      </c>
      <c r="C643" s="1">
        <v>174.56299346160199</v>
      </c>
      <c r="D643" s="1">
        <f t="shared" si="113"/>
        <v>112.38582526354234</v>
      </c>
      <c r="E643" s="1">
        <v>0.01</v>
      </c>
      <c r="F643" s="1">
        <v>0.05</v>
      </c>
      <c r="G643" s="1">
        <v>0.1</v>
      </c>
      <c r="H643" s="1">
        <v>9.81</v>
      </c>
      <c r="I643" s="1">
        <v>2650</v>
      </c>
      <c r="J643" s="1">
        <v>1000</v>
      </c>
      <c r="K643" s="1">
        <v>1.65</v>
      </c>
      <c r="L643" s="1">
        <v>6.5</v>
      </c>
      <c r="M643" s="1">
        <v>2.5</v>
      </c>
      <c r="N643" s="6">
        <v>9.9999999999999995E-7</v>
      </c>
      <c r="O643" s="1">
        <f t="shared" si="114"/>
        <v>10.211692861963954</v>
      </c>
      <c r="P643" s="1">
        <f t="shared" si="110"/>
        <v>13.530011313683339</v>
      </c>
      <c r="Q643" s="1">
        <f t="shared" si="111"/>
        <v>12.239120759392609</v>
      </c>
      <c r="R643" s="1">
        <v>125.72909999999996</v>
      </c>
      <c r="S643" s="1" t="e">
        <f t="shared" si="112"/>
        <v>#N/A</v>
      </c>
      <c r="T643" s="1" t="e">
        <v>#N/A</v>
      </c>
    </row>
    <row r="644" spans="1:20" x14ac:dyDescent="0.35">
      <c r="A644" s="1">
        <v>500122.44900000002</v>
      </c>
      <c r="B644" s="1">
        <v>5999997.7379999999</v>
      </c>
      <c r="C644" s="1">
        <v>165.68327835707299</v>
      </c>
      <c r="D644" s="1">
        <f t="shared" si="113"/>
        <v>122.59424658178733</v>
      </c>
      <c r="E644" s="1">
        <v>0.01</v>
      </c>
      <c r="F644" s="1">
        <v>0.05</v>
      </c>
      <c r="G644" s="1">
        <v>0.1</v>
      </c>
      <c r="H644" s="1">
        <v>9.81</v>
      </c>
      <c r="I644" s="1">
        <v>2650</v>
      </c>
      <c r="J644" s="1">
        <v>1000</v>
      </c>
      <c r="K644" s="1">
        <v>1.65</v>
      </c>
      <c r="L644" s="1">
        <v>6.5</v>
      </c>
      <c r="M644" s="1">
        <v>2.5</v>
      </c>
      <c r="N644" s="6">
        <v>9.9999999999999995E-7</v>
      </c>
      <c r="O644" s="1">
        <f t="shared" si="114"/>
        <v>10.212455607463802</v>
      </c>
      <c r="P644" s="1">
        <f t="shared" si="110"/>
        <v>12.917030195420445</v>
      </c>
      <c r="Q644" s="1">
        <f t="shared" si="111"/>
        <v>13.223520754551892</v>
      </c>
      <c r="R644" s="1">
        <v>125.72909999999996</v>
      </c>
      <c r="S644" s="1" t="e">
        <f t="shared" si="112"/>
        <v>#N/A</v>
      </c>
      <c r="T644" s="1" t="e">
        <v>#N/A</v>
      </c>
    </row>
    <row r="645" spans="1:20" x14ac:dyDescent="0.35">
      <c r="A645" s="1">
        <v>500132.6531</v>
      </c>
      <c r="B645" s="1">
        <v>5999997.2350000003</v>
      </c>
      <c r="C645" s="1">
        <v>173.58726489934301</v>
      </c>
      <c r="D645" s="1">
        <f t="shared" si="113"/>
        <v>132.81073647846995</v>
      </c>
      <c r="E645" s="1">
        <v>0.01</v>
      </c>
      <c r="F645" s="1">
        <v>0.05</v>
      </c>
      <c r="G645" s="1">
        <v>0.1</v>
      </c>
      <c r="H645" s="1">
        <v>9.81</v>
      </c>
      <c r="I645" s="1">
        <v>2650</v>
      </c>
      <c r="J645" s="1">
        <v>1000</v>
      </c>
      <c r="K645" s="1">
        <v>1.65</v>
      </c>
      <c r="L645" s="1">
        <v>6.5</v>
      </c>
      <c r="M645" s="1">
        <v>2.5</v>
      </c>
      <c r="N645" s="6">
        <v>9.9999999999999995E-7</v>
      </c>
      <c r="O645" s="1">
        <f t="shared" si="114"/>
        <v>10.225512676353247</v>
      </c>
      <c r="P645" s="1">
        <f t="shared" si="110"/>
        <v>13.492945518552009</v>
      </c>
      <c r="Q645" s="1">
        <f t="shared" si="111"/>
        <v>13.204987856986227</v>
      </c>
      <c r="R645" s="1">
        <v>125.72909999999996</v>
      </c>
      <c r="S645" s="1" t="e">
        <f t="shared" si="112"/>
        <v>#N/A</v>
      </c>
      <c r="T645" s="1" t="e">
        <v>#N/A</v>
      </c>
    </row>
    <row r="646" spans="1:20" x14ac:dyDescent="0.35">
      <c r="A646" s="1">
        <v>500142.85710000002</v>
      </c>
      <c r="B646" s="1">
        <v>5999996.4450000003</v>
      </c>
      <c r="C646" s="1">
        <v>164.79443470844299</v>
      </c>
      <c r="D646" s="1">
        <f t="shared" si="113"/>
        <v>143.04527193449383</v>
      </c>
      <c r="E646" s="1">
        <v>0.01</v>
      </c>
      <c r="F646" s="1">
        <v>0.05</v>
      </c>
      <c r="G646" s="1">
        <v>0.1</v>
      </c>
      <c r="H646" s="1">
        <v>9.81</v>
      </c>
      <c r="I646" s="1">
        <v>2650</v>
      </c>
      <c r="J646" s="1">
        <v>1000</v>
      </c>
      <c r="K646" s="1">
        <v>1.65</v>
      </c>
      <c r="L646" s="1">
        <v>6.5</v>
      </c>
      <c r="M646" s="1">
        <v>2.5</v>
      </c>
      <c r="N646" s="6">
        <v>9.9999999999999995E-7</v>
      </c>
      <c r="O646" s="1">
        <f t="shared" si="114"/>
        <v>10.219577641411078</v>
      </c>
      <c r="P646" s="1">
        <f t="shared" si="110"/>
        <v>10.57052865269438</v>
      </c>
      <c r="Q646" s="1">
        <f t="shared" si="111"/>
        <v>12.031737085623195</v>
      </c>
      <c r="R646" s="1">
        <v>125.72909999999996</v>
      </c>
      <c r="S646" s="1" t="e">
        <f t="shared" si="112"/>
        <v>#N/A</v>
      </c>
      <c r="T646" s="1" t="e">
        <v>#N/A</v>
      </c>
    </row>
    <row r="647" spans="1:20" x14ac:dyDescent="0.35">
      <c r="A647" s="1">
        <v>500153.0612</v>
      </c>
      <c r="B647" s="1">
        <v>5999996.5480000004</v>
      </c>
      <c r="C647" s="1">
        <v>167.55157275140499</v>
      </c>
      <c r="D647" s="1">
        <f t="shared" si="113"/>
        <v>153.2498917612921</v>
      </c>
      <c r="E647" s="1">
        <v>0.01</v>
      </c>
      <c r="F647" s="1">
        <v>0.05</v>
      </c>
      <c r="G647" s="1">
        <v>0.1</v>
      </c>
      <c r="H647" s="1">
        <v>9.81</v>
      </c>
      <c r="I647" s="1">
        <v>2650</v>
      </c>
      <c r="J647" s="1">
        <v>1000</v>
      </c>
      <c r="K647" s="1">
        <v>1.65</v>
      </c>
      <c r="L647" s="1">
        <v>6.5</v>
      </c>
      <c r="M647" s="1">
        <v>2.5</v>
      </c>
      <c r="N647" s="6">
        <v>9.9999999999999995E-7</v>
      </c>
      <c r="O647" s="1">
        <f t="shared" si="114"/>
        <v>10.204940921281036</v>
      </c>
      <c r="P647" s="1">
        <f t="shared" si="110"/>
        <v>10.682627590463349</v>
      </c>
      <c r="Q647" s="1">
        <f t="shared" si="111"/>
        <v>10.626578121578865</v>
      </c>
      <c r="R647" s="1">
        <v>125.72909999999996</v>
      </c>
      <c r="S647" s="1" t="e">
        <f t="shared" si="112"/>
        <v>#N/A</v>
      </c>
      <c r="T647" s="1" t="e">
        <v>#N/A</v>
      </c>
    </row>
    <row r="648" spans="1:20" x14ac:dyDescent="0.35">
      <c r="A648" s="1">
        <v>500163.26530000003</v>
      </c>
      <c r="B648" s="1">
        <v>5999996.7019999996</v>
      </c>
      <c r="C648" s="1">
        <v>164.39385847900201</v>
      </c>
      <c r="D648" s="1">
        <f t="shared" si="113"/>
        <v>163.4551537770559</v>
      </c>
      <c r="E648" s="1">
        <v>0.01</v>
      </c>
      <c r="F648" s="1">
        <v>0.05</v>
      </c>
      <c r="G648" s="1">
        <v>0.1</v>
      </c>
      <c r="H648" s="1">
        <v>9.81</v>
      </c>
      <c r="I648" s="1">
        <v>2650</v>
      </c>
      <c r="J648" s="1">
        <v>1000</v>
      </c>
      <c r="K648" s="1">
        <v>1.65</v>
      </c>
      <c r="L648" s="1">
        <v>6.5</v>
      </c>
      <c r="M648" s="1">
        <v>2.5</v>
      </c>
      <c r="N648" s="6">
        <v>9.9999999999999995E-7</v>
      </c>
      <c r="O648" s="1">
        <f t="shared" si="114"/>
        <v>10.213849082106762</v>
      </c>
      <c r="P648" s="1">
        <f t="shared" si="110"/>
        <v>11.026540308620518</v>
      </c>
      <c r="Q648" s="1">
        <f t="shared" si="111"/>
        <v>10.854583949541933</v>
      </c>
      <c r="R648" s="1">
        <v>125.72909999999996</v>
      </c>
      <c r="S648" s="1" t="e">
        <f t="shared" si="112"/>
        <v>#N/A</v>
      </c>
      <c r="T648" s="1" t="e">
        <v>#N/A</v>
      </c>
    </row>
    <row r="649" spans="1:20" x14ac:dyDescent="0.35">
      <c r="A649" s="1">
        <v>500173.4694</v>
      </c>
      <c r="B649" s="1">
        <v>5999996.0899999999</v>
      </c>
      <c r="C649" s="1">
        <v>168.52742719967199</v>
      </c>
      <c r="D649" s="1">
        <f t="shared" si="113"/>
        <v>173.67758992550563</v>
      </c>
      <c r="E649" s="1">
        <v>0.01</v>
      </c>
      <c r="F649" s="1">
        <v>0.05</v>
      </c>
      <c r="G649" s="1">
        <v>0.1</v>
      </c>
      <c r="H649" s="1">
        <v>9.81</v>
      </c>
      <c r="I649" s="1">
        <v>2650</v>
      </c>
      <c r="J649" s="1">
        <v>1000</v>
      </c>
      <c r="K649" s="1">
        <v>1.65</v>
      </c>
      <c r="L649" s="1">
        <v>6.5</v>
      </c>
      <c r="M649" s="1">
        <v>2.5</v>
      </c>
      <c r="N649" s="6">
        <v>9.9999999999999995E-7</v>
      </c>
      <c r="O649" s="1">
        <f t="shared" si="114"/>
        <v>10.214988293625822</v>
      </c>
      <c r="P649" s="1">
        <f t="shared" si="110"/>
        <v>10.632479456336906</v>
      </c>
      <c r="Q649" s="1">
        <f t="shared" si="111"/>
        <v>10.829509882478712</v>
      </c>
      <c r="R649" s="1">
        <v>125.72909999999996</v>
      </c>
      <c r="S649" s="1" t="e">
        <f t="shared" si="112"/>
        <v>#N/A</v>
      </c>
      <c r="T649" s="1" t="e">
        <v>#N/A</v>
      </c>
    </row>
    <row r="650" spans="1:20" x14ac:dyDescent="0.35">
      <c r="A650" s="1">
        <v>500183.67349999998</v>
      </c>
      <c r="B650" s="1">
        <v>5999996.3550000004</v>
      </c>
      <c r="C650" s="1">
        <v>165.55156806663999</v>
      </c>
      <c r="D650" s="1">
        <f t="shared" si="113"/>
        <v>183.88513036430754</v>
      </c>
      <c r="E650" s="1">
        <v>0.01</v>
      </c>
      <c r="F650" s="1">
        <v>0.05</v>
      </c>
      <c r="G650" s="1">
        <v>0.1</v>
      </c>
      <c r="H650" s="1">
        <v>9.81</v>
      </c>
      <c r="I650" s="1">
        <v>2650</v>
      </c>
      <c r="J650" s="1">
        <v>1000</v>
      </c>
      <c r="K650" s="1">
        <v>1.65</v>
      </c>
      <c r="L650" s="1">
        <v>6.5</v>
      </c>
      <c r="M650" s="1">
        <v>2.5</v>
      </c>
      <c r="N650" s="6">
        <v>9.9999999999999995E-7</v>
      </c>
      <c r="O650" s="1">
        <f t="shared" si="114"/>
        <v>10.210285318026777</v>
      </c>
      <c r="P650" s="1">
        <f t="shared" si="110"/>
        <v>10.217153370786205</v>
      </c>
      <c r="Q650" s="1">
        <f t="shared" si="111"/>
        <v>10.424816413561555</v>
      </c>
      <c r="R650" s="1">
        <v>125.72909999999996</v>
      </c>
      <c r="S650" s="1" t="e">
        <f t="shared" si="112"/>
        <v>#N/A</v>
      </c>
      <c r="T650" s="1" t="e">
        <v>#N/A</v>
      </c>
    </row>
    <row r="651" spans="1:20" x14ac:dyDescent="0.35">
      <c r="A651" s="1">
        <v>500193.87760000001</v>
      </c>
      <c r="B651" s="1">
        <v>5999996.7819999997</v>
      </c>
      <c r="C651" s="1">
        <v>165.84180450851801</v>
      </c>
      <c r="D651" s="1">
        <f t="shared" si="113"/>
        <v>194.09816056155918</v>
      </c>
      <c r="E651" s="1">
        <v>0.01</v>
      </c>
      <c r="F651" s="1">
        <v>0.05</v>
      </c>
      <c r="G651" s="1">
        <v>0.1</v>
      </c>
      <c r="H651" s="1">
        <v>9.81</v>
      </c>
      <c r="I651" s="1">
        <v>2650</v>
      </c>
      <c r="J651" s="1">
        <v>1000</v>
      </c>
      <c r="K651" s="1">
        <v>1.65</v>
      </c>
      <c r="L651" s="1">
        <v>6.5</v>
      </c>
      <c r="M651" s="1">
        <v>2.5</v>
      </c>
      <c r="N651" s="6">
        <v>9.9999999999999995E-7</v>
      </c>
      <c r="O651" s="1">
        <f t="shared" si="114"/>
        <v>10.225732250662787</v>
      </c>
      <c r="P651" s="1">
        <f t="shared" si="110"/>
        <v>11.805317568883225</v>
      </c>
      <c r="Q651" s="1">
        <f t="shared" si="111"/>
        <v>11.011235469834716</v>
      </c>
      <c r="R651" s="1">
        <v>125.72909999999996</v>
      </c>
      <c r="S651" s="1" t="e">
        <f t="shared" si="112"/>
        <v>#N/A</v>
      </c>
      <c r="T651" s="1" t="e">
        <v>#N/A</v>
      </c>
    </row>
    <row r="652" spans="1:20" x14ac:dyDescent="0.35">
      <c r="A652" s="1">
        <v>500204.08159999998</v>
      </c>
      <c r="B652" s="1">
        <v>5999995.943</v>
      </c>
      <c r="C652" s="1">
        <v>159.96473160584401</v>
      </c>
      <c r="D652" s="1">
        <f t="shared" si="113"/>
        <v>204.33659486563312</v>
      </c>
      <c r="E652" s="1">
        <v>0.01</v>
      </c>
      <c r="F652" s="1">
        <v>0.05</v>
      </c>
      <c r="G652" s="1">
        <v>0.1</v>
      </c>
      <c r="H652" s="1">
        <v>9.81</v>
      </c>
      <c r="I652" s="1">
        <v>2650</v>
      </c>
      <c r="J652" s="1">
        <v>1000</v>
      </c>
      <c r="K652" s="1">
        <v>1.65</v>
      </c>
      <c r="L652" s="1">
        <v>6.5</v>
      </c>
      <c r="M652" s="1">
        <v>2.5</v>
      </c>
      <c r="N652" s="6">
        <v>9.9999999999999995E-7</v>
      </c>
      <c r="O652" s="1">
        <f t="shared" si="114"/>
        <v>10.222474465035148</v>
      </c>
      <c r="P652" s="1">
        <f t="shared" si="110"/>
        <v>10.510110351296964</v>
      </c>
      <c r="Q652" s="1">
        <f t="shared" si="111"/>
        <v>11.157713960090096</v>
      </c>
      <c r="R652" s="1">
        <v>125.72909999999996</v>
      </c>
      <c r="S652" s="1" t="e">
        <f t="shared" si="112"/>
        <v>#N/A</v>
      </c>
      <c r="T652" s="1" t="e">
        <v>#N/A</v>
      </c>
    </row>
    <row r="653" spans="1:20" x14ac:dyDescent="0.35">
      <c r="A653" s="1">
        <v>500214.28570000001</v>
      </c>
      <c r="B653" s="1">
        <v>5999995.7209999999</v>
      </c>
      <c r="C653" s="1">
        <v>162.47261493362501</v>
      </c>
      <c r="D653" s="1">
        <f t="shared" si="113"/>
        <v>214.54310949162948</v>
      </c>
      <c r="E653" s="1">
        <v>0.01</v>
      </c>
      <c r="F653" s="1">
        <v>0.05</v>
      </c>
      <c r="G653" s="1">
        <v>0.1</v>
      </c>
      <c r="H653" s="1">
        <v>9.81</v>
      </c>
      <c r="I653" s="1">
        <v>2650</v>
      </c>
      <c r="J653" s="1">
        <v>1000</v>
      </c>
      <c r="K653" s="1">
        <v>1.65</v>
      </c>
      <c r="L653" s="1">
        <v>6.5</v>
      </c>
      <c r="M653" s="1">
        <v>2.5</v>
      </c>
      <c r="N653" s="6">
        <v>9.9999999999999995E-7</v>
      </c>
      <c r="O653" s="1">
        <f t="shared" si="114"/>
        <v>10.209668499185454</v>
      </c>
      <c r="P653" s="1">
        <f t="shared" si="110"/>
        <v>13.932835838967597</v>
      </c>
      <c r="Q653" s="1">
        <f t="shared" si="111"/>
        <v>12.22147309513228</v>
      </c>
      <c r="R653" s="1">
        <v>125.72909999999996</v>
      </c>
      <c r="S653" s="1" t="e">
        <f t="shared" si="112"/>
        <v>#N/A</v>
      </c>
      <c r="T653" s="1" t="e">
        <v>#N/A</v>
      </c>
    </row>
    <row r="654" spans="1:20" x14ac:dyDescent="0.35">
      <c r="A654" s="1">
        <v>500224.48979999998</v>
      </c>
      <c r="B654" s="1">
        <v>5999996.1430000002</v>
      </c>
      <c r="C654" s="1">
        <v>152.99515885586101</v>
      </c>
      <c r="D654" s="1">
        <f t="shared" si="113"/>
        <v>224.75593186400403</v>
      </c>
      <c r="E654" s="1">
        <v>0.01</v>
      </c>
      <c r="F654" s="1">
        <v>0.05</v>
      </c>
      <c r="G654" s="1">
        <v>0.1</v>
      </c>
      <c r="H654" s="1">
        <v>9.81</v>
      </c>
      <c r="I654" s="1">
        <v>2650</v>
      </c>
      <c r="J654" s="1">
        <v>1000</v>
      </c>
      <c r="K654" s="1">
        <v>1.65</v>
      </c>
      <c r="L654" s="1">
        <v>6.5</v>
      </c>
      <c r="M654" s="1">
        <v>2.5</v>
      </c>
      <c r="N654" s="6">
        <v>9.9999999999999995E-7</v>
      </c>
      <c r="O654" s="1">
        <f t="shared" si="114"/>
        <v>10.211706300347956</v>
      </c>
      <c r="P654" s="1">
        <f t="shared" si="110"/>
        <v>10.301820481574744</v>
      </c>
      <c r="Q654" s="1">
        <f t="shared" si="111"/>
        <v>12.117328160271171</v>
      </c>
      <c r="R654" s="1">
        <v>125.72909999999996</v>
      </c>
      <c r="S654" s="1" t="e">
        <f t="shared" si="112"/>
        <v>#N/A</v>
      </c>
      <c r="T654" s="1" t="e">
        <v>#N/A</v>
      </c>
    </row>
    <row r="655" spans="1:20" x14ac:dyDescent="0.35">
      <c r="A655" s="1">
        <v>500234.69390000001</v>
      </c>
      <c r="B655" s="1">
        <v>5999996.5070000002</v>
      </c>
      <c r="C655" s="1">
        <v>151.627185016966</v>
      </c>
      <c r="D655" s="1">
        <f t="shared" si="113"/>
        <v>234.96652209232539</v>
      </c>
      <c r="E655" s="1">
        <v>0.01</v>
      </c>
      <c r="F655" s="1">
        <v>0.05</v>
      </c>
      <c r="G655" s="1">
        <v>0.1</v>
      </c>
      <c r="H655" s="1">
        <v>9.81</v>
      </c>
      <c r="I655" s="1">
        <v>2650</v>
      </c>
      <c r="J655" s="1">
        <v>1000</v>
      </c>
      <c r="K655" s="1">
        <v>1.65</v>
      </c>
      <c r="L655" s="1">
        <v>6.5</v>
      </c>
      <c r="M655" s="1">
        <v>2.5</v>
      </c>
      <c r="N655" s="6">
        <v>9.9999999999999995E-7</v>
      </c>
      <c r="O655" s="1">
        <f t="shared" si="114"/>
        <v>10.212172653557417</v>
      </c>
      <c r="P655" s="1">
        <f t="shared" si="110"/>
        <v>11.089044194999135</v>
      </c>
      <c r="Q655" s="1">
        <f t="shared" si="111"/>
        <v>10.695432338286938</v>
      </c>
      <c r="R655" s="1">
        <v>125.72909999999996</v>
      </c>
      <c r="S655" s="1" t="e">
        <f t="shared" si="112"/>
        <v>#N/A</v>
      </c>
      <c r="T655" s="1" t="e">
        <v>#N/A</v>
      </c>
    </row>
    <row r="656" spans="1:20" x14ac:dyDescent="0.35">
      <c r="A656" s="1">
        <v>500244.89799999999</v>
      </c>
      <c r="B656" s="1">
        <v>5999996.9510000004</v>
      </c>
      <c r="C656" s="1">
        <v>155.94529899752101</v>
      </c>
      <c r="D656" s="1">
        <f t="shared" si="113"/>
        <v>245.18027717111886</v>
      </c>
      <c r="E656" s="1">
        <v>0.01</v>
      </c>
      <c r="F656" s="1">
        <v>0.05</v>
      </c>
      <c r="G656" s="1">
        <v>0.1</v>
      </c>
      <c r="H656" s="1">
        <v>9.81</v>
      </c>
      <c r="I656" s="1">
        <v>2650</v>
      </c>
      <c r="J656" s="1">
        <v>1000</v>
      </c>
      <c r="K656" s="1">
        <v>1.65</v>
      </c>
      <c r="L656" s="1">
        <v>6.5</v>
      </c>
      <c r="M656" s="1">
        <v>2.5</v>
      </c>
      <c r="N656" s="6">
        <v>9.9999999999999995E-7</v>
      </c>
      <c r="O656" s="1">
        <f t="shared" si="114"/>
        <v>10.228334363400478</v>
      </c>
      <c r="P656" s="1">
        <f t="shared" si="110"/>
        <v>11.738479864242503</v>
      </c>
      <c r="Q656" s="1">
        <f t="shared" si="111"/>
        <v>11.41376202962082</v>
      </c>
      <c r="R656" s="1">
        <v>125.72909999999996</v>
      </c>
      <c r="S656" s="1" t="e">
        <f t="shared" si="112"/>
        <v>#N/A</v>
      </c>
      <c r="T656" s="1" t="e">
        <v>#N/A</v>
      </c>
    </row>
    <row r="657" spans="1:20" x14ac:dyDescent="0.35">
      <c r="A657" s="1">
        <v>500255.10200000001</v>
      </c>
      <c r="B657" s="1">
        <v>5999997.8430000003</v>
      </c>
      <c r="C657" s="1">
        <v>150.21165883417899</v>
      </c>
      <c r="D657" s="1">
        <f t="shared" si="113"/>
        <v>255.42319081912635</v>
      </c>
      <c r="E657" s="1">
        <v>0.01</v>
      </c>
      <c r="F657" s="1">
        <v>0.05</v>
      </c>
      <c r="G657" s="1">
        <v>0.1</v>
      </c>
      <c r="H657" s="1">
        <v>9.81</v>
      </c>
      <c r="I657" s="1">
        <v>2650</v>
      </c>
      <c r="J657" s="1">
        <v>1000</v>
      </c>
      <c r="K657" s="1">
        <v>1.65</v>
      </c>
      <c r="L657" s="1">
        <v>6.5</v>
      </c>
      <c r="M657" s="1">
        <v>2.5</v>
      </c>
      <c r="N657" s="6">
        <v>9.9999999999999995E-7</v>
      </c>
      <c r="O657" s="1">
        <f t="shared" si="114"/>
        <v>10.228247812702051</v>
      </c>
      <c r="P657" s="1">
        <f t="shared" si="110"/>
        <v>10.415569048554094</v>
      </c>
      <c r="Q657" s="1">
        <f t="shared" si="111"/>
        <v>11.077024456398298</v>
      </c>
      <c r="R657" s="1">
        <v>125.72909999999996</v>
      </c>
      <c r="S657" s="1" t="e">
        <f t="shared" si="112"/>
        <v>#N/A</v>
      </c>
      <c r="T657" s="1" t="e">
        <v>#N/A</v>
      </c>
    </row>
    <row r="658" spans="1:20" x14ac:dyDescent="0.35">
      <c r="A658" s="1">
        <v>500265.30609999999</v>
      </c>
      <c r="B658" s="1">
        <v>5999998.2829999998</v>
      </c>
      <c r="C658" s="1">
        <v>148.17037938339399</v>
      </c>
      <c r="D658" s="1">
        <f t="shared" si="113"/>
        <v>265.63677279652296</v>
      </c>
      <c r="E658" s="1">
        <v>0.01</v>
      </c>
      <c r="F658" s="1">
        <v>0.05</v>
      </c>
      <c r="G658" s="1">
        <v>0.1</v>
      </c>
      <c r="H658" s="1">
        <v>9.81</v>
      </c>
      <c r="I658" s="1">
        <v>2650</v>
      </c>
      <c r="J658" s="1">
        <v>1000</v>
      </c>
      <c r="K658" s="1">
        <v>1.65</v>
      </c>
      <c r="L658" s="1">
        <v>6.5</v>
      </c>
      <c r="M658" s="1">
        <v>2.5</v>
      </c>
      <c r="N658" s="6">
        <v>9.9999999999999995E-7</v>
      </c>
      <c r="O658" s="1">
        <f t="shared" si="114"/>
        <v>10.23198332194535</v>
      </c>
      <c r="P658" s="1">
        <f t="shared" si="110"/>
        <v>10.753746192038282</v>
      </c>
      <c r="Q658" s="1">
        <f t="shared" si="111"/>
        <v>10.584657620296188</v>
      </c>
      <c r="R658" s="1">
        <v>125.72909999999996</v>
      </c>
      <c r="S658" s="1" t="e">
        <f t="shared" si="112"/>
        <v>#N/A</v>
      </c>
      <c r="T658" s="1" t="e">
        <v>#N/A</v>
      </c>
    </row>
    <row r="659" spans="1:20" x14ac:dyDescent="0.35">
      <c r="A659" s="1">
        <v>500275.51020000002</v>
      </c>
      <c r="B659" s="1">
        <v>5999997.3099999996</v>
      </c>
      <c r="C659" s="1">
        <v>144.91881493659599</v>
      </c>
      <c r="D659" s="1">
        <f t="shared" si="113"/>
        <v>275.88715746301705</v>
      </c>
      <c r="E659" s="1">
        <v>0.01</v>
      </c>
      <c r="F659" s="1">
        <v>0.05</v>
      </c>
      <c r="G659" s="1">
        <v>0.1</v>
      </c>
      <c r="H659" s="1">
        <v>9.81</v>
      </c>
      <c r="I659" s="1">
        <v>2650</v>
      </c>
      <c r="J659" s="1">
        <v>1000</v>
      </c>
      <c r="K659" s="1">
        <v>1.65</v>
      </c>
      <c r="L659" s="1">
        <v>6.5</v>
      </c>
      <c r="M659" s="1">
        <v>2.5</v>
      </c>
      <c r="N659" s="6">
        <v>9.9999999999999995E-7</v>
      </c>
      <c r="O659" s="1">
        <f t="shared" si="114"/>
        <v>10.247668609691146</v>
      </c>
      <c r="P659" s="1">
        <f t="shared" si="110"/>
        <v>10.247801935839309</v>
      </c>
      <c r="Q659" s="1">
        <f t="shared" si="111"/>
        <v>10.500774063938795</v>
      </c>
      <c r="R659" s="1">
        <v>125.72909999999996</v>
      </c>
      <c r="S659" s="1" t="e">
        <f t="shared" si="112"/>
        <v>#N/A</v>
      </c>
      <c r="T659" s="1" t="e">
        <v>#N/A</v>
      </c>
    </row>
    <row r="660" spans="1:20" x14ac:dyDescent="0.35">
      <c r="A660" s="1">
        <v>500285.71429999999</v>
      </c>
      <c r="B660" s="1">
        <v>5999998.2240000004</v>
      </c>
      <c r="C660" s="1">
        <v>144.67717117967001</v>
      </c>
      <c r="D660" s="1">
        <f t="shared" si="113"/>
        <v>286.13211001590525</v>
      </c>
      <c r="E660" s="1">
        <v>0.01</v>
      </c>
      <c r="F660" s="1">
        <v>0.05</v>
      </c>
      <c r="G660" s="1">
        <v>0.1</v>
      </c>
      <c r="H660" s="1">
        <v>9.81</v>
      </c>
      <c r="I660" s="1">
        <v>2650</v>
      </c>
      <c r="J660" s="1">
        <v>1000</v>
      </c>
      <c r="K660" s="1">
        <v>1.65</v>
      </c>
      <c r="L660" s="1">
        <v>6.5</v>
      </c>
      <c r="M660" s="1">
        <v>2.5</v>
      </c>
      <c r="N660" s="6">
        <v>9.9999999999999995E-7</v>
      </c>
      <c r="O660" s="1">
        <f t="shared" si="114"/>
        <v>10.245310960713113</v>
      </c>
      <c r="P660" s="1">
        <f t="shared" si="110"/>
        <v>10.773986209295044</v>
      </c>
      <c r="Q660" s="1">
        <f t="shared" si="111"/>
        <v>10.510894072567176</v>
      </c>
      <c r="R660" s="1">
        <v>125.72909999999996</v>
      </c>
      <c r="S660" s="1" t="e">
        <f t="shared" si="112"/>
        <v>#N/A</v>
      </c>
      <c r="T660" s="1" t="e">
        <v>#N/A</v>
      </c>
    </row>
    <row r="661" spans="1:20" x14ac:dyDescent="0.35">
      <c r="A661" s="1">
        <v>500295.91840000002</v>
      </c>
      <c r="B661" s="1">
        <v>5999999.1459999997</v>
      </c>
      <c r="C661" s="1">
        <v>141.344748933213</v>
      </c>
      <c r="D661" s="1">
        <f t="shared" si="113"/>
        <v>296.37777938444327</v>
      </c>
      <c r="E661" s="1">
        <v>0.01</v>
      </c>
      <c r="F661" s="1">
        <v>0.05</v>
      </c>
      <c r="G661" s="1">
        <v>0.1</v>
      </c>
      <c r="H661" s="1">
        <v>9.81</v>
      </c>
      <c r="I661" s="1">
        <v>2650</v>
      </c>
      <c r="J661" s="1">
        <v>1000</v>
      </c>
      <c r="K661" s="1">
        <v>1.65</v>
      </c>
      <c r="L661" s="1">
        <v>6.5</v>
      </c>
      <c r="M661" s="1">
        <v>2.5</v>
      </c>
      <c r="N661" s="6">
        <v>9.9999999999999995E-7</v>
      </c>
      <c r="O661" s="1">
        <f t="shared" si="114"/>
        <v>10.233098302678485</v>
      </c>
      <c r="P661" s="1">
        <f t="shared" si="110"/>
        <v>10.320041754295742</v>
      </c>
      <c r="Q661" s="1">
        <f t="shared" si="111"/>
        <v>10.547013981795393</v>
      </c>
      <c r="R661" s="1">
        <v>125.72909999999996</v>
      </c>
      <c r="S661" s="1" t="e">
        <f t="shared" si="112"/>
        <v>#N/A</v>
      </c>
      <c r="T661" s="1" t="e">
        <v>#N/A</v>
      </c>
    </row>
    <row r="662" spans="1:20" x14ac:dyDescent="0.35">
      <c r="A662" s="1">
        <v>500306.12239999999</v>
      </c>
      <c r="B662" s="1">
        <v>5999998.5650000004</v>
      </c>
      <c r="C662" s="1">
        <v>139.91503399244701</v>
      </c>
      <c r="D662" s="1">
        <f t="shared" si="113"/>
        <v>306.59830662126222</v>
      </c>
      <c r="E662" s="1">
        <v>0.01</v>
      </c>
      <c r="F662" s="1">
        <v>0.05</v>
      </c>
      <c r="G662" s="1">
        <v>0.1</v>
      </c>
      <c r="H662" s="1">
        <v>9.81</v>
      </c>
      <c r="I662" s="1">
        <v>2650</v>
      </c>
      <c r="J662" s="1">
        <v>1000</v>
      </c>
      <c r="K662" s="1">
        <v>1.65</v>
      </c>
      <c r="L662" s="1">
        <v>6.5</v>
      </c>
      <c r="M662" s="1">
        <v>2.5</v>
      </c>
      <c r="N662" s="6">
        <v>9.9999999999999995E-7</v>
      </c>
      <c r="O662" s="1">
        <f t="shared" si="114"/>
        <v>10.221874954638196</v>
      </c>
      <c r="P662" s="1">
        <f t="shared" si="110"/>
        <v>13.893706980070347</v>
      </c>
      <c r="Q662" s="1">
        <f t="shared" si="111"/>
        <v>12.106874367183044</v>
      </c>
      <c r="R662" s="1">
        <v>125.72909999999996</v>
      </c>
      <c r="S662" s="1" t="e">
        <f t="shared" si="112"/>
        <v>#N/A</v>
      </c>
      <c r="T662" s="1" t="e">
        <v>#N/A</v>
      </c>
    </row>
    <row r="663" spans="1:20" x14ac:dyDescent="0.35">
      <c r="A663" s="1">
        <v>500316.32650000002</v>
      </c>
      <c r="B663" s="1">
        <v>5999999.1900000004</v>
      </c>
      <c r="C663" s="1">
        <v>130.506484059678</v>
      </c>
      <c r="D663" s="1">
        <f t="shared" si="113"/>
        <v>316.82152929371966</v>
      </c>
      <c r="E663" s="1">
        <v>0.01</v>
      </c>
      <c r="F663" s="1">
        <v>0.05</v>
      </c>
      <c r="G663" s="1">
        <v>0.1</v>
      </c>
      <c r="H663" s="1">
        <v>9.81</v>
      </c>
      <c r="I663" s="1">
        <v>2650</v>
      </c>
      <c r="J663" s="1">
        <v>1000</v>
      </c>
      <c r="K663" s="1">
        <v>1.65</v>
      </c>
      <c r="L663" s="1">
        <v>6.5</v>
      </c>
      <c r="M663" s="1">
        <v>2.5</v>
      </c>
      <c r="N663" s="6">
        <v>9.9999999999999995E-7</v>
      </c>
      <c r="O663" s="1">
        <f t="shared" si="114"/>
        <v>10.235493697492075</v>
      </c>
      <c r="P663" s="1">
        <f t="shared" si="110"/>
        <v>10.418299398725649</v>
      </c>
      <c r="Q663" s="1">
        <f t="shared" si="111"/>
        <v>12.156003189397998</v>
      </c>
      <c r="R663" s="1">
        <v>125.72909999999996</v>
      </c>
      <c r="S663" s="1" t="e">
        <f t="shared" si="112"/>
        <v>#N/A</v>
      </c>
      <c r="T663" s="1" t="e">
        <v>#N/A</v>
      </c>
    </row>
    <row r="664" spans="1:20" x14ac:dyDescent="0.35">
      <c r="A664" s="1">
        <v>500326.5306</v>
      </c>
      <c r="B664" s="1">
        <v>6000000.1349999998</v>
      </c>
      <c r="C664" s="1">
        <v>128.62917733108401</v>
      </c>
      <c r="D664" s="1">
        <f t="shared" si="113"/>
        <v>327.06929401624637</v>
      </c>
      <c r="E664" s="1">
        <v>0.01</v>
      </c>
      <c r="F664" s="1">
        <v>0.05</v>
      </c>
      <c r="G664" s="1">
        <v>0.1</v>
      </c>
      <c r="H664" s="1">
        <v>9.81</v>
      </c>
      <c r="I664" s="1">
        <v>2650</v>
      </c>
      <c r="J664" s="1">
        <v>1000</v>
      </c>
      <c r="K664" s="1">
        <v>1.65</v>
      </c>
      <c r="L664" s="1">
        <v>6.5</v>
      </c>
      <c r="M664" s="1">
        <v>2.5</v>
      </c>
      <c r="N664" s="6">
        <v>9.9999999999999995E-7</v>
      </c>
      <c r="O664" s="1">
        <f t="shared" si="114"/>
        <v>10.241238558797846</v>
      </c>
      <c r="P664" s="1">
        <f t="shared" ref="P664:P680" si="115">SQRT((D665 - D664)^2 + (C665 - C664)^2)</f>
        <v>10.787841757464356</v>
      </c>
      <c r="Q664" s="1">
        <f t="shared" ref="Q664:Q680" si="116">IF(ROW()=632, P664/2, (P664 + P663)/2)</f>
        <v>10.603070578095004</v>
      </c>
      <c r="R664" s="1">
        <v>125.72909999999996</v>
      </c>
      <c r="S664" s="1" t="e">
        <f t="shared" ref="S664:S680" si="117">IF(R664 - C664 &lt; 0, NA(), R664 - C664)</f>
        <v>#N/A</v>
      </c>
      <c r="T664" s="1" t="e">
        <v>#N/A</v>
      </c>
    </row>
    <row r="665" spans="1:20" x14ac:dyDescent="0.35">
      <c r="A665" s="1">
        <v>500336.73469999997</v>
      </c>
      <c r="B665" s="1">
        <v>5999999.3439999996</v>
      </c>
      <c r="C665" s="1">
        <v>132.03919081702699</v>
      </c>
      <c r="D665" s="1">
        <f t="shared" ref="D665:D681" si="118">D664 + SQRT((A665 - A664)^2 + (B665 - B664)^2)</f>
        <v>337.30400641131536</v>
      </c>
      <c r="E665" s="1">
        <v>0.01</v>
      </c>
      <c r="F665" s="1">
        <v>0.05</v>
      </c>
      <c r="G665" s="1">
        <v>0.1</v>
      </c>
      <c r="H665" s="1">
        <v>9.81</v>
      </c>
      <c r="I665" s="1">
        <v>2650</v>
      </c>
      <c r="J665" s="1">
        <v>1000</v>
      </c>
      <c r="K665" s="1">
        <v>1.65</v>
      </c>
      <c r="L665" s="1">
        <v>6.5</v>
      </c>
      <c r="M665" s="1">
        <v>2.5</v>
      </c>
      <c r="N665" s="6">
        <v>9.9999999999999995E-7</v>
      </c>
      <c r="O665" s="1">
        <f t="shared" si="114"/>
        <v>10.233949248828765</v>
      </c>
      <c r="P665" s="1">
        <f t="shared" si="115"/>
        <v>11.755266476054745</v>
      </c>
      <c r="Q665" s="1">
        <f t="shared" si="116"/>
        <v>11.27155411675955</v>
      </c>
      <c r="R665" s="1">
        <v>125.72909999999996</v>
      </c>
      <c r="S665" s="1" t="e">
        <f t="shared" si="117"/>
        <v>#N/A</v>
      </c>
      <c r="T665" s="1" t="e">
        <v>#N/A</v>
      </c>
    </row>
    <row r="666" spans="1:20" x14ac:dyDescent="0.35">
      <c r="A666" s="1">
        <v>500346.9388</v>
      </c>
      <c r="B666" s="1">
        <v>5999998.5729999999</v>
      </c>
      <c r="C666" s="1">
        <v>126.254020801129</v>
      </c>
      <c r="D666" s="1">
        <f t="shared" si="118"/>
        <v>347.5371925139039</v>
      </c>
      <c r="E666" s="1">
        <v>0.01</v>
      </c>
      <c r="F666" s="1">
        <v>0.05</v>
      </c>
      <c r="G666" s="1">
        <v>0.1</v>
      </c>
      <c r="H666" s="1">
        <v>9.81</v>
      </c>
      <c r="I666" s="1">
        <v>2650</v>
      </c>
      <c r="J666" s="1">
        <v>1000</v>
      </c>
      <c r="K666" s="1">
        <v>1.65</v>
      </c>
      <c r="L666" s="1">
        <v>6.5</v>
      </c>
      <c r="M666" s="1">
        <v>2.5</v>
      </c>
      <c r="N666" s="6">
        <v>9.9999999999999995E-7</v>
      </c>
      <c r="O666" s="1">
        <f t="shared" si="114"/>
        <v>10.232552707337419</v>
      </c>
      <c r="P666" s="1">
        <f t="shared" si="115"/>
        <v>11.350607222214496</v>
      </c>
      <c r="Q666" s="1">
        <f t="shared" si="116"/>
        <v>11.552936849134621</v>
      </c>
      <c r="R666" s="1">
        <v>125.72909999999996</v>
      </c>
      <c r="S666" s="1" t="e">
        <f t="shared" si="117"/>
        <v>#N/A</v>
      </c>
      <c r="T666" s="1" t="e">
        <v>#N/A</v>
      </c>
    </row>
    <row r="667" spans="1:20" x14ac:dyDescent="0.35">
      <c r="A667" s="1">
        <v>500357.14289999998</v>
      </c>
      <c r="B667" s="1">
        <v>5999999.3269999996</v>
      </c>
      <c r="C667" s="1">
        <v>131.167686591956</v>
      </c>
      <c r="D667" s="1">
        <f t="shared" si="118"/>
        <v>357.76911182599019</v>
      </c>
      <c r="E667" s="1">
        <v>0.01</v>
      </c>
      <c r="F667" s="1">
        <v>0.05</v>
      </c>
      <c r="G667" s="1">
        <v>0.1</v>
      </c>
      <c r="H667" s="1">
        <v>9.81</v>
      </c>
      <c r="I667" s="1">
        <v>2650</v>
      </c>
      <c r="J667" s="1">
        <v>1000</v>
      </c>
      <c r="K667" s="1">
        <v>1.65</v>
      </c>
      <c r="L667" s="1">
        <v>6.5</v>
      </c>
      <c r="M667" s="1">
        <v>2.5</v>
      </c>
      <c r="N667" s="6">
        <v>9.9999999999999995E-7</v>
      </c>
      <c r="O667" s="1">
        <f t="shared" si="114"/>
        <v>10.223838765829584</v>
      </c>
      <c r="P667" s="1">
        <f t="shared" si="115"/>
        <v>10.479732415606993</v>
      </c>
      <c r="Q667" s="1">
        <f t="shared" si="116"/>
        <v>10.915169818910744</v>
      </c>
      <c r="R667" s="1">
        <v>125.72909999999996</v>
      </c>
      <c r="S667" s="1" t="e">
        <f t="shared" si="117"/>
        <v>#N/A</v>
      </c>
      <c r="T667" s="1" t="e">
        <v>#N/A</v>
      </c>
    </row>
    <row r="668" spans="1:20" x14ac:dyDescent="0.35">
      <c r="A668" s="1">
        <v>500367.3469</v>
      </c>
      <c r="B668" s="1">
        <v>5999999.8169999998</v>
      </c>
      <c r="C668" s="1">
        <v>128.83036429882799</v>
      </c>
      <c r="D668" s="1">
        <f t="shared" si="118"/>
        <v>367.98487004556307</v>
      </c>
      <c r="E668" s="1">
        <v>0.01</v>
      </c>
      <c r="F668" s="1">
        <v>0.05</v>
      </c>
      <c r="G668" s="1">
        <v>0.1</v>
      </c>
      <c r="H668" s="1">
        <v>9.81</v>
      </c>
      <c r="I668" s="1">
        <v>2650</v>
      </c>
      <c r="J668" s="1">
        <v>1000</v>
      </c>
      <c r="K668" s="1">
        <v>1.65</v>
      </c>
      <c r="L668" s="1">
        <v>6.5</v>
      </c>
      <c r="M668" s="1">
        <v>2.5</v>
      </c>
      <c r="N668" s="6">
        <v>9.9999999999999995E-7</v>
      </c>
      <c r="O668" s="1">
        <f t="shared" si="114"/>
        <v>10.224509856901079</v>
      </c>
      <c r="P668" s="1">
        <f t="shared" si="115"/>
        <v>10.91645406051112</v>
      </c>
      <c r="Q668" s="1">
        <f t="shared" si="116"/>
        <v>10.698093238059055</v>
      </c>
      <c r="R668" s="1">
        <v>125.72909999999996</v>
      </c>
      <c r="S668" s="1" t="e">
        <f t="shared" si="117"/>
        <v>#N/A</v>
      </c>
      <c r="T668" s="1" t="e">
        <v>#N/A</v>
      </c>
    </row>
    <row r="669" spans="1:20" x14ac:dyDescent="0.35">
      <c r="A669" s="1">
        <v>500377.55099999998</v>
      </c>
      <c r="B669" s="1">
        <v>5999999.0449999999</v>
      </c>
      <c r="C669" s="1">
        <v>125.029137069896</v>
      </c>
      <c r="D669" s="1">
        <f t="shared" si="118"/>
        <v>378.21813153979235</v>
      </c>
      <c r="E669" s="1">
        <v>0.01</v>
      </c>
      <c r="F669" s="1">
        <v>0.05</v>
      </c>
      <c r="G669" s="1">
        <v>0.1</v>
      </c>
      <c r="H669" s="1">
        <v>9.81</v>
      </c>
      <c r="I669" s="1">
        <v>2650</v>
      </c>
      <c r="J669" s="1">
        <v>1000</v>
      </c>
      <c r="K669" s="1">
        <v>1.65</v>
      </c>
      <c r="L669" s="1">
        <v>6.5</v>
      </c>
      <c r="M669" s="1">
        <v>2.5</v>
      </c>
      <c r="N669" s="6">
        <v>9.9999999999999995E-7</v>
      </c>
      <c r="O669" s="1">
        <f t="shared" si="114"/>
        <v>10.221049857319429</v>
      </c>
      <c r="P669" s="1">
        <f t="shared" si="115"/>
        <v>10.237547645163266</v>
      </c>
      <c r="Q669" s="1">
        <f t="shared" si="116"/>
        <v>10.577000852837193</v>
      </c>
      <c r="R669" s="1">
        <v>125.72909999999996</v>
      </c>
      <c r="S669" s="1">
        <f t="shared" si="117"/>
        <v>0.69996293010396471</v>
      </c>
      <c r="T669" s="1">
        <v>0.69996293010396471</v>
      </c>
    </row>
    <row r="670" spans="1:20" x14ac:dyDescent="0.35">
      <c r="A670" s="1">
        <v>500387.75510000001</v>
      </c>
      <c r="B670" s="1">
        <v>5999999.3559999997</v>
      </c>
      <c r="C670" s="1">
        <v>125.795298917349</v>
      </c>
      <c r="D670" s="1">
        <f t="shared" si="118"/>
        <v>388.42696976020193</v>
      </c>
      <c r="E670" s="1">
        <v>0.01</v>
      </c>
      <c r="F670" s="1">
        <v>0.05</v>
      </c>
      <c r="G670" s="1">
        <v>0.1</v>
      </c>
      <c r="H670" s="1">
        <v>9.81</v>
      </c>
      <c r="I670" s="1">
        <v>2650</v>
      </c>
      <c r="J670" s="1">
        <v>1000</v>
      </c>
      <c r="K670" s="1">
        <v>1.65</v>
      </c>
      <c r="L670" s="1">
        <v>6.5</v>
      </c>
      <c r="M670" s="1">
        <v>2.5</v>
      </c>
      <c r="N670" s="6">
        <v>9.9999999999999995E-7</v>
      </c>
      <c r="O670" s="1">
        <f t="shared" si="114"/>
        <v>10.226672955179509</v>
      </c>
      <c r="P670" s="1">
        <f t="shared" si="115"/>
        <v>14.006911426674414</v>
      </c>
      <c r="Q670" s="1">
        <f t="shared" si="116"/>
        <v>12.122229535918841</v>
      </c>
      <c r="R670" s="1">
        <v>125.72909999999996</v>
      </c>
      <c r="S670" s="1" t="e">
        <f t="shared" si="117"/>
        <v>#N/A</v>
      </c>
      <c r="T670" s="1" t="e">
        <v>#N/A</v>
      </c>
    </row>
    <row r="671" spans="1:20" x14ac:dyDescent="0.35">
      <c r="A671" s="1">
        <v>500397.95919999998</v>
      </c>
      <c r="B671" s="1">
        <v>5999998.4469999997</v>
      </c>
      <c r="C671" s="1">
        <v>135.347452072804</v>
      </c>
      <c r="D671" s="1">
        <f t="shared" si="118"/>
        <v>398.67147745015137</v>
      </c>
      <c r="E671" s="1">
        <v>0.01</v>
      </c>
      <c r="F671" s="1">
        <v>0.05</v>
      </c>
      <c r="G671" s="1">
        <v>0.1</v>
      </c>
      <c r="H671" s="1">
        <v>9.81</v>
      </c>
      <c r="I671" s="1">
        <v>2650</v>
      </c>
      <c r="J671" s="1">
        <v>1000</v>
      </c>
      <c r="K671" s="1">
        <v>1.65</v>
      </c>
      <c r="L671" s="1">
        <v>6.5</v>
      </c>
      <c r="M671" s="1">
        <v>2.5</v>
      </c>
      <c r="N671" s="6">
        <v>9.9999999999999995E-7</v>
      </c>
      <c r="O671" s="1">
        <f t="shared" si="114"/>
        <v>10.22650836474881</v>
      </c>
      <c r="P671" s="1">
        <f t="shared" si="115"/>
        <v>12.538849639326756</v>
      </c>
      <c r="Q671" s="1">
        <f t="shared" si="116"/>
        <v>13.272880533000585</v>
      </c>
      <c r="R671" s="1">
        <v>125.72909999999996</v>
      </c>
      <c r="S671" s="1" t="e">
        <f t="shared" si="117"/>
        <v>#N/A</v>
      </c>
      <c r="T671" s="1" t="e">
        <v>#N/A</v>
      </c>
    </row>
    <row r="672" spans="1:20" x14ac:dyDescent="0.35">
      <c r="A672" s="1">
        <v>500408.16330000001</v>
      </c>
      <c r="B672" s="1">
        <v>5999998.1469999999</v>
      </c>
      <c r="C672" s="1">
        <v>128.06671766842501</v>
      </c>
      <c r="D672" s="1">
        <f t="shared" si="118"/>
        <v>408.87998648969955</v>
      </c>
      <c r="E672" s="1">
        <v>0.01</v>
      </c>
      <c r="F672" s="1">
        <v>0.05</v>
      </c>
      <c r="G672" s="1">
        <v>0.1</v>
      </c>
      <c r="H672" s="1">
        <v>9.81</v>
      </c>
      <c r="I672" s="1">
        <v>2650</v>
      </c>
      <c r="J672" s="1">
        <v>1000</v>
      </c>
      <c r="K672" s="1">
        <v>1.65</v>
      </c>
      <c r="L672" s="1">
        <v>6.5</v>
      </c>
      <c r="M672" s="1">
        <v>2.5</v>
      </c>
      <c r="N672" s="6">
        <v>9.9999999999999995E-7</v>
      </c>
      <c r="O672" s="1">
        <f t="shared" si="114"/>
        <v>10.217670819070179</v>
      </c>
      <c r="P672" s="1">
        <f t="shared" si="115"/>
        <v>11.126667604014996</v>
      </c>
      <c r="Q672" s="1">
        <f t="shared" si="116"/>
        <v>11.832758621670877</v>
      </c>
      <c r="R672" s="1">
        <v>125.72909999999996</v>
      </c>
      <c r="S672" s="1" t="e">
        <f t="shared" si="117"/>
        <v>#N/A</v>
      </c>
      <c r="T672" s="1" t="e">
        <v>#N/A</v>
      </c>
    </row>
    <row r="673" spans="1:57" x14ac:dyDescent="0.35">
      <c r="A673" s="1">
        <v>500418.36729999998</v>
      </c>
      <c r="B673" s="1">
        <v>5999997.4639999997</v>
      </c>
      <c r="C673" s="1">
        <v>132.450166877736</v>
      </c>
      <c r="D673" s="1">
        <f t="shared" si="118"/>
        <v>419.10681908829173</v>
      </c>
      <c r="E673" s="1">
        <v>0.01</v>
      </c>
      <c r="F673" s="1">
        <v>0.05</v>
      </c>
      <c r="G673" s="1">
        <v>0.1</v>
      </c>
      <c r="H673" s="1">
        <v>9.81</v>
      </c>
      <c r="I673" s="1">
        <v>2650</v>
      </c>
      <c r="J673" s="1">
        <v>1000</v>
      </c>
      <c r="K673" s="1">
        <v>1.65</v>
      </c>
      <c r="L673" s="1">
        <v>6.5</v>
      </c>
      <c r="M673" s="1">
        <v>2.5</v>
      </c>
      <c r="N673" s="6">
        <v>9.9999999999999995E-7</v>
      </c>
      <c r="O673" s="1">
        <f t="shared" si="114"/>
        <v>10.219153288461655</v>
      </c>
      <c r="P673" s="1">
        <f t="shared" si="115"/>
        <v>12.259823035582844</v>
      </c>
      <c r="Q673" s="1">
        <f t="shared" si="116"/>
        <v>11.693245319798919</v>
      </c>
      <c r="R673" s="1">
        <v>125.72909999999996</v>
      </c>
      <c r="S673" s="1" t="e">
        <f t="shared" si="117"/>
        <v>#N/A</v>
      </c>
      <c r="T673" s="1" t="e">
        <v>#N/A</v>
      </c>
    </row>
    <row r="674" spans="1:57" x14ac:dyDescent="0.35">
      <c r="A674" s="1">
        <v>500428.57140000002</v>
      </c>
      <c r="B674" s="1">
        <v>5999997.0760000004</v>
      </c>
      <c r="C674" s="1">
        <v>139.234638858198</v>
      </c>
      <c r="D674" s="1">
        <f t="shared" si="118"/>
        <v>429.31829306662286</v>
      </c>
      <c r="E674" s="1">
        <v>0.01</v>
      </c>
      <c r="F674" s="1">
        <v>0.05</v>
      </c>
      <c r="G674" s="1">
        <v>0.1</v>
      </c>
      <c r="H674" s="1">
        <v>9.81</v>
      </c>
      <c r="I674" s="1">
        <v>2650</v>
      </c>
      <c r="J674" s="1">
        <v>1000</v>
      </c>
      <c r="K674" s="1">
        <v>1.65</v>
      </c>
      <c r="L674" s="1">
        <v>6.5</v>
      </c>
      <c r="M674" s="1">
        <v>2.5</v>
      </c>
      <c r="N674" s="6">
        <v>9.9999999999999995E-7</v>
      </c>
      <c r="O674" s="1">
        <f t="shared" si="114"/>
        <v>10.213570502749036</v>
      </c>
      <c r="P674" s="1">
        <f t="shared" si="115"/>
        <v>10.221862151517284</v>
      </c>
      <c r="Q674" s="1">
        <f t="shared" si="116"/>
        <v>11.240842593550063</v>
      </c>
      <c r="R674" s="1">
        <v>125.72909999999996</v>
      </c>
      <c r="S674" s="1" t="e">
        <f t="shared" si="117"/>
        <v>#N/A</v>
      </c>
      <c r="T674" s="1" t="e">
        <v>#N/A</v>
      </c>
    </row>
    <row r="675" spans="1:57" x14ac:dyDescent="0.35">
      <c r="A675" s="1">
        <v>500438.77549999999</v>
      </c>
      <c r="B675" s="1">
        <v>5999996.5899999999</v>
      </c>
      <c r="C675" s="1">
        <v>139.590466112179</v>
      </c>
      <c r="D675" s="1">
        <f t="shared" si="118"/>
        <v>439.5339600937898</v>
      </c>
      <c r="E675" s="1">
        <v>0.01</v>
      </c>
      <c r="F675" s="1">
        <v>0.05</v>
      </c>
      <c r="G675" s="1">
        <v>0.1</v>
      </c>
      <c r="H675" s="1">
        <v>9.81</v>
      </c>
      <c r="I675" s="1">
        <v>2650</v>
      </c>
      <c r="J675" s="1">
        <v>1000</v>
      </c>
      <c r="K675" s="1">
        <v>1.65</v>
      </c>
      <c r="L675" s="1">
        <v>6.5</v>
      </c>
      <c r="M675" s="1">
        <v>2.5</v>
      </c>
      <c r="N675" s="6">
        <v>9.9999999999999995E-7</v>
      </c>
      <c r="O675" s="1">
        <f t="shared" si="114"/>
        <v>10.227678867958247</v>
      </c>
      <c r="P675" s="1">
        <f t="shared" si="115"/>
        <v>10.247073843648518</v>
      </c>
      <c r="Q675" s="1">
        <f t="shared" si="116"/>
        <v>10.2344679975829</v>
      </c>
      <c r="R675" s="1">
        <v>125.72909999999996</v>
      </c>
      <c r="S675" s="1" t="e">
        <f t="shared" si="117"/>
        <v>#N/A</v>
      </c>
      <c r="T675" s="1" t="e">
        <v>#N/A</v>
      </c>
    </row>
    <row r="676" spans="1:57" x14ac:dyDescent="0.35">
      <c r="A676" s="1">
        <v>500448.97960000002</v>
      </c>
      <c r="B676" s="1">
        <v>5999995.7369999997</v>
      </c>
      <c r="C676" s="1">
        <v>139.20154896633201</v>
      </c>
      <c r="D676" s="1">
        <f t="shared" si="118"/>
        <v>449.77365080253935</v>
      </c>
      <c r="E676" s="1">
        <v>0.01</v>
      </c>
      <c r="F676" s="1">
        <v>0.05</v>
      </c>
      <c r="G676" s="1">
        <v>0.1</v>
      </c>
      <c r="H676" s="1">
        <v>9.81</v>
      </c>
      <c r="I676" s="1">
        <v>2650</v>
      </c>
      <c r="J676" s="1">
        <v>1000</v>
      </c>
      <c r="K676" s="1">
        <v>1.65</v>
      </c>
      <c r="L676" s="1">
        <v>6.5</v>
      </c>
      <c r="M676" s="1">
        <v>2.5</v>
      </c>
      <c r="N676" s="6">
        <v>9.9999999999999995E-7</v>
      </c>
      <c r="O676" s="1">
        <f t="shared" si="114"/>
        <v>10.226507982984828</v>
      </c>
      <c r="P676" s="1">
        <f t="shared" si="115"/>
        <v>10.216402783069102</v>
      </c>
      <c r="Q676" s="1">
        <f t="shared" si="116"/>
        <v>10.231738313358811</v>
      </c>
      <c r="R676" s="1">
        <v>125.72909999999996</v>
      </c>
      <c r="S676" s="1" t="e">
        <f t="shared" si="117"/>
        <v>#N/A</v>
      </c>
      <c r="T676" s="1" t="e">
        <v>#N/A</v>
      </c>
    </row>
    <row r="677" spans="1:57" x14ac:dyDescent="0.35">
      <c r="A677" s="1">
        <v>500459.18369999999</v>
      </c>
      <c r="B677" s="1">
        <v>5999996.1710000001</v>
      </c>
      <c r="C677" s="1">
        <v>138.95080404388699</v>
      </c>
      <c r="D677" s="1">
        <f t="shared" si="118"/>
        <v>459.98697605975946</v>
      </c>
      <c r="E677" s="1">
        <v>0.01</v>
      </c>
      <c r="F677" s="1">
        <v>0.05</v>
      </c>
      <c r="G677" s="1">
        <v>0.1</v>
      </c>
      <c r="H677" s="1">
        <v>9.81</v>
      </c>
      <c r="I677" s="1">
        <v>2650</v>
      </c>
      <c r="J677" s="1">
        <v>1000</v>
      </c>
      <c r="K677" s="1">
        <v>1.65</v>
      </c>
      <c r="L677" s="1">
        <v>6.5</v>
      </c>
      <c r="M677" s="1">
        <v>2.5</v>
      </c>
      <c r="N677" s="6">
        <v>9.9999999999999995E-7</v>
      </c>
      <c r="O677" s="1">
        <f t="shared" si="114"/>
        <v>10.228563101333435</v>
      </c>
      <c r="P677" s="1">
        <f t="shared" si="115"/>
        <v>10.24381622597874</v>
      </c>
      <c r="Q677" s="1">
        <f t="shared" si="116"/>
        <v>10.23010950452392</v>
      </c>
      <c r="R677" s="1">
        <v>125.72909999999996</v>
      </c>
      <c r="S677" s="1" t="e">
        <f t="shared" si="117"/>
        <v>#N/A</v>
      </c>
      <c r="T677" s="1" t="e">
        <v>#N/A</v>
      </c>
    </row>
    <row r="678" spans="1:57" x14ac:dyDescent="0.35">
      <c r="A678" s="1">
        <v>500469.38780000003</v>
      </c>
      <c r="B678" s="1">
        <v>5999997.0719999997</v>
      </c>
      <c r="C678" s="1">
        <v>138.933110494517</v>
      </c>
      <c r="D678" s="1">
        <f t="shared" si="118"/>
        <v>470.23077700520622</v>
      </c>
      <c r="E678" s="1">
        <v>0.01</v>
      </c>
      <c r="F678" s="1">
        <v>0.05</v>
      </c>
      <c r="G678" s="1">
        <v>0.1</v>
      </c>
      <c r="H678" s="1">
        <v>9.81</v>
      </c>
      <c r="I678" s="1">
        <v>2650</v>
      </c>
      <c r="J678" s="1">
        <v>1000</v>
      </c>
      <c r="K678" s="1">
        <v>1.65</v>
      </c>
      <c r="L678" s="1">
        <v>6.5</v>
      </c>
      <c r="M678" s="1">
        <v>2.5</v>
      </c>
      <c r="N678" s="6">
        <v>9.9999999999999995E-7</v>
      </c>
      <c r="O678" s="1">
        <f t="shared" si="114"/>
        <v>10.235585469869676</v>
      </c>
      <c r="P678" s="1">
        <f t="shared" si="115"/>
        <v>14.038699271405504</v>
      </c>
      <c r="Q678" s="1">
        <f t="shared" si="116"/>
        <v>12.141257748692123</v>
      </c>
      <c r="R678" s="1">
        <v>125.72909999999996</v>
      </c>
      <c r="S678" s="1" t="e">
        <f t="shared" si="117"/>
        <v>#N/A</v>
      </c>
      <c r="T678" s="1" t="e">
        <v>#N/A</v>
      </c>
    </row>
    <row r="679" spans="1:57" x14ac:dyDescent="0.35">
      <c r="A679" s="1">
        <v>500479.59179999999</v>
      </c>
      <c r="B679" s="1">
        <v>5999997.7630000003</v>
      </c>
      <c r="C679" s="1">
        <v>148.55007364474301</v>
      </c>
      <c r="D679" s="1">
        <f t="shared" si="118"/>
        <v>480.45814699949881</v>
      </c>
      <c r="E679" s="1">
        <v>0.01</v>
      </c>
      <c r="F679" s="1">
        <v>0.05</v>
      </c>
      <c r="G679" s="1">
        <v>0.1</v>
      </c>
      <c r="H679" s="1">
        <v>9.81</v>
      </c>
      <c r="I679" s="1">
        <v>2650</v>
      </c>
      <c r="J679" s="1">
        <v>1000</v>
      </c>
      <c r="K679" s="1">
        <v>1.65</v>
      </c>
      <c r="L679" s="1">
        <v>6.5</v>
      </c>
      <c r="M679" s="1">
        <v>2.5</v>
      </c>
      <c r="N679" s="6">
        <v>9.9999999999999995E-7</v>
      </c>
      <c r="O679" s="1">
        <f t="shared" si="114"/>
        <v>10.217030880251457</v>
      </c>
      <c r="P679" s="1">
        <f t="shared" si="115"/>
        <v>10.496604105828091</v>
      </c>
      <c r="Q679" s="1">
        <f t="shared" si="116"/>
        <v>12.267651688616798</v>
      </c>
      <c r="R679" s="1">
        <v>125.72909999999996</v>
      </c>
      <c r="S679" s="1" t="e">
        <f t="shared" si="117"/>
        <v>#N/A</v>
      </c>
      <c r="T679" s="1" t="e">
        <v>#N/A</v>
      </c>
    </row>
    <row r="680" spans="1:57" x14ac:dyDescent="0.35">
      <c r="A680" s="1">
        <v>500489.79590000003</v>
      </c>
      <c r="B680" s="1">
        <v>5999997.9929999998</v>
      </c>
      <c r="C680" s="1">
        <v>146.10014692256101</v>
      </c>
      <c r="D680" s="1">
        <f t="shared" si="118"/>
        <v>490.66483876570913</v>
      </c>
      <c r="E680" s="1">
        <v>0.01</v>
      </c>
      <c r="F680" s="1">
        <v>0.05</v>
      </c>
      <c r="G680" s="1">
        <v>0.1</v>
      </c>
      <c r="H680" s="1">
        <v>9.81</v>
      </c>
      <c r="I680" s="1">
        <v>2650</v>
      </c>
      <c r="J680" s="1">
        <v>1000</v>
      </c>
      <c r="K680" s="1">
        <v>1.65</v>
      </c>
      <c r="L680" s="1">
        <v>6.5</v>
      </c>
      <c r="M680" s="1">
        <v>2.5</v>
      </c>
      <c r="N680" s="6">
        <v>9.9999999999999995E-7</v>
      </c>
      <c r="O680" s="1">
        <f t="shared" si="114"/>
        <v>10.209902888805345</v>
      </c>
      <c r="P680" s="1">
        <f t="shared" si="115"/>
        <v>10.652346301971106</v>
      </c>
      <c r="Q680" s="1">
        <f t="shared" si="116"/>
        <v>10.574475203899599</v>
      </c>
      <c r="R680" s="1">
        <v>125.72909999999996</v>
      </c>
      <c r="S680" s="1" t="e">
        <f t="shared" si="117"/>
        <v>#N/A</v>
      </c>
      <c r="T680" s="1" t="e">
        <v>#N/A</v>
      </c>
    </row>
    <row r="681" spans="1:57" x14ac:dyDescent="0.35">
      <c r="A681" s="1">
        <v>500500</v>
      </c>
      <c r="B681" s="1">
        <v>5999998.4220000003</v>
      </c>
      <c r="C681" s="1">
        <v>149.127486336511</v>
      </c>
      <c r="D681" s="1">
        <f t="shared" si="118"/>
        <v>500.8779527771095</v>
      </c>
      <c r="E681" s="1">
        <v>0.01</v>
      </c>
      <c r="F681" s="1">
        <v>0.05</v>
      </c>
      <c r="G681" s="1">
        <v>0.1</v>
      </c>
      <c r="H681" s="1">
        <v>9.81</v>
      </c>
      <c r="I681" s="1">
        <v>2650</v>
      </c>
      <c r="J681" s="1">
        <v>1000</v>
      </c>
      <c r="K681" s="1">
        <v>1.65</v>
      </c>
      <c r="L681" s="1">
        <v>6.5</v>
      </c>
      <c r="M681" s="1">
        <v>2.5</v>
      </c>
      <c r="N681" s="6">
        <v>9.9999999999999995E-7</v>
      </c>
      <c r="O681" s="1">
        <f xml:space="preserve"> (D681 - D680) / 2</f>
        <v>5.1065570057001821</v>
      </c>
    </row>
    <row r="684" spans="1:57" x14ac:dyDescent="0.35">
      <c r="A684" s="1" t="s">
        <v>0</v>
      </c>
      <c r="B684" s="1" t="s">
        <v>1</v>
      </c>
      <c r="C684" s="1" t="s">
        <v>2</v>
      </c>
      <c r="D684" s="1" t="s">
        <v>18</v>
      </c>
      <c r="E684" s="1" t="s">
        <v>67</v>
      </c>
      <c r="F684" s="1" t="s">
        <v>66</v>
      </c>
      <c r="G684" s="1" t="s">
        <v>65</v>
      </c>
      <c r="H684" s="1" t="s">
        <v>64</v>
      </c>
      <c r="I684" s="1" t="s">
        <v>63</v>
      </c>
      <c r="J684" s="1" t="s">
        <v>62</v>
      </c>
      <c r="K684" s="1" t="s">
        <v>61</v>
      </c>
      <c r="L684" s="1" t="s">
        <v>60</v>
      </c>
      <c r="M684" s="1" t="s">
        <v>59</v>
      </c>
      <c r="N684" s="1" t="s">
        <v>58</v>
      </c>
      <c r="O684" s="1" t="s">
        <v>57</v>
      </c>
      <c r="P684" s="1" t="s">
        <v>56</v>
      </c>
      <c r="Q684" s="1" t="s">
        <v>55</v>
      </c>
      <c r="R684" s="1" t="s">
        <v>54</v>
      </c>
      <c r="S684" s="1" t="s">
        <v>16</v>
      </c>
      <c r="T684" s="1" t="s">
        <v>53</v>
      </c>
      <c r="U684" s="10" t="s">
        <v>52</v>
      </c>
      <c r="V684" s="10" t="s">
        <v>51</v>
      </c>
      <c r="W684" s="10" t="s">
        <v>50</v>
      </c>
      <c r="X684" s="10" t="s">
        <v>49</v>
      </c>
      <c r="Y684" s="1" t="s">
        <v>48</v>
      </c>
      <c r="Z684" s="1" t="s">
        <v>47</v>
      </c>
      <c r="AA684" s="1" t="s">
        <v>46</v>
      </c>
      <c r="AB684" s="1" t="s">
        <v>45</v>
      </c>
      <c r="AC684" s="1" t="s">
        <v>44</v>
      </c>
      <c r="AD684" s="1" t="s">
        <v>43</v>
      </c>
      <c r="AE684" s="1" t="s">
        <v>42</v>
      </c>
      <c r="AF684" s="1" t="s">
        <v>41</v>
      </c>
      <c r="AG684" s="1" t="s">
        <v>40</v>
      </c>
      <c r="AH684" s="1" t="s">
        <v>39</v>
      </c>
      <c r="AI684" s="1" t="s">
        <v>38</v>
      </c>
      <c r="AJ684" s="1" t="s">
        <v>37</v>
      </c>
      <c r="AK684" s="1" t="s">
        <v>36</v>
      </c>
      <c r="AL684" s="1" t="s">
        <v>35</v>
      </c>
      <c r="AM684" s="1" t="s">
        <v>34</v>
      </c>
      <c r="AN684" s="1" t="s">
        <v>34</v>
      </c>
      <c r="AO684" s="7" t="s">
        <v>33</v>
      </c>
      <c r="AP684" s="7" t="s">
        <v>32</v>
      </c>
      <c r="AQ684" s="7" t="s">
        <v>31</v>
      </c>
      <c r="AR684" s="7" t="s">
        <v>30</v>
      </c>
      <c r="AS684" s="7" t="s">
        <v>29</v>
      </c>
      <c r="AT684" s="7" t="s">
        <v>28</v>
      </c>
      <c r="AU684" s="7" t="s">
        <v>27</v>
      </c>
      <c r="AV684" s="7" t="s">
        <v>27</v>
      </c>
      <c r="AW684" s="1" t="s">
        <v>26</v>
      </c>
      <c r="AX684" s="1" t="s">
        <v>25</v>
      </c>
      <c r="AY684" s="1" t="s">
        <v>24</v>
      </c>
      <c r="AZ684" s="1" t="s">
        <v>23</v>
      </c>
      <c r="BA684" s="1" t="s">
        <v>22</v>
      </c>
      <c r="BB684" s="1" t="s">
        <v>21</v>
      </c>
      <c r="BC684" s="1" t="s">
        <v>20</v>
      </c>
      <c r="BD684" s="1" t="s">
        <v>20</v>
      </c>
      <c r="BE684" s="1" t="s">
        <v>19</v>
      </c>
    </row>
    <row r="685" spans="1:57" x14ac:dyDescent="0.35">
      <c r="A685" s="1">
        <v>500000</v>
      </c>
      <c r="B685" s="1">
        <v>5999999.0959999999</v>
      </c>
      <c r="C685" s="1">
        <v>146.95665459614199</v>
      </c>
      <c r="D685" s="1">
        <v>0</v>
      </c>
      <c r="E685" s="1">
        <v>0.01</v>
      </c>
      <c r="F685" s="1">
        <v>0.05</v>
      </c>
      <c r="G685" s="1">
        <v>0.1</v>
      </c>
      <c r="H685" s="1">
        <v>9.81</v>
      </c>
      <c r="I685" s="1">
        <v>2650</v>
      </c>
      <c r="J685" s="1">
        <v>1000</v>
      </c>
      <c r="K685" s="1">
        <v>1.65</v>
      </c>
      <c r="L685" s="1">
        <v>6.5</v>
      </c>
      <c r="M685" s="1">
        <v>2.5</v>
      </c>
      <c r="N685" s="6">
        <v>9.9999999999999995E-7</v>
      </c>
      <c r="O685" s="1">
        <f xml:space="preserve"> (D686 - D685) / 2</f>
        <v>5.1061868798967165</v>
      </c>
      <c r="P685" s="1">
        <f t="shared" ref="P685:P716" si="119">SQRT((D686 - D685)^2 + (C686 - C685)^2)</f>
        <v>12.612081347143071</v>
      </c>
      <c r="Q685" s="1">
        <f t="shared" ref="Q685:Q716" si="120">IF(ROW()=685, P685/2, (P685 + P684)/2)</f>
        <v>6.3060406735715357</v>
      </c>
      <c r="R685" s="1">
        <v>125.77909999999996</v>
      </c>
      <c r="S685" s="1" t="e">
        <f t="shared" ref="S685:S716" si="121">IF(R685 - C685 &lt; 0, NA(), R685 - C685)</f>
        <v>#N/A</v>
      </c>
      <c r="T685" s="1" t="e">
        <v>#N/A</v>
      </c>
      <c r="U685" s="10" cm="1">
        <f t="array" ref="U685">SUMPRODUCT(IF(ISNA(T685:T734), 0, T685:T734), IF(ISNA(O685:O734), 0, O685:O734))</f>
        <v>7.6654084997339602</v>
      </c>
      <c r="V685" s="10">
        <f>SUMIF(S685:S734, "&gt;0", O685:O734)</f>
        <v>10.221049857319429</v>
      </c>
      <c r="W685" s="10">
        <f>SUMIF(S685:S734, "&gt;0", Q685:Q734)</f>
        <v>10.577000852837193</v>
      </c>
      <c r="X685" s="10">
        <f>U685/W685</f>
        <v>0.72472420172659602</v>
      </c>
      <c r="Y685" s="1">
        <f xml:space="preserve"> (6.5 * 2.5 * (X685 / G685)) / SQRT(6.5^2 + 2.5^2 * (X685 / G685)^(5/3))</f>
        <v>8.0906179995749863</v>
      </c>
      <c r="Z685" s="1">
        <f>Y685*SQRT(X685*H685*E685)</f>
        <v>2.1572604543550997</v>
      </c>
      <c r="AA685" s="1">
        <f>J685*H685*X685*E685</f>
        <v>71.095444189379066</v>
      </c>
      <c r="AB685" s="1">
        <f>(AA685 / (9.81 * 1000 *1.65 * F685))</f>
        <v>8.7845357785041933E-2</v>
      </c>
      <c r="AC685" s="9">
        <f xml:space="preserve"> F685 * (K685 * H685 / (N685)^2)^(1/3)</f>
        <v>1264.7974700106745</v>
      </c>
      <c r="AD685" s="1">
        <f xml:space="preserve"> 0.3 / (1 + 1.2 * AC685) + 0.055 * (1 - EXP(-0.02 * AC685))</f>
        <v>5.5197529957883754E-2</v>
      </c>
      <c r="AE685" s="1">
        <f>IF(AC685 &lt;= 4, 0.24 * AC685^-1, IF(AC685 &gt; 4, IF(AC685 &lt;= 10, 0.14 * AC685^-0.64, IF(AC685 &lt;= 20, 0.04 * AC685^-0.1, IF(AC685 &lt;= 150, 0.013 * AC685^0.29, 0.056)))))</f>
        <v>5.6000000000000001E-2</v>
      </c>
      <c r="AF685" s="1">
        <f>AB685/AD685-1</f>
        <v>0.59147262299723891</v>
      </c>
      <c r="AG685" s="1">
        <f xml:space="preserve"> 2.45 * SQRT(AD685) / (K685 + 1)^0.4</f>
        <v>0.38978718496890047</v>
      </c>
      <c r="AH685" s="1">
        <f>SQRT(2/3 + 36 / AC685^3) - SQRT(36 / AC685^3)</f>
        <v>0.81636320289979147</v>
      </c>
      <c r="AI685" s="1">
        <f>AA685* Z685 / (J685 * (H685* K685 * F685)^(3/2))</f>
        <v>0.21064925153500547</v>
      </c>
      <c r="AJ685" s="1">
        <f>AD685* K685 * F685 / E685</f>
        <v>0.45537962215254096</v>
      </c>
      <c r="AK685" s="1">
        <f>Y685 * AD685^(3/2)</f>
        <v>0.1049206958243314</v>
      </c>
      <c r="AL685" s="1">
        <f>(0.92 - 0.25 * SQRT(AK685 / AI685))^9</f>
        <v>6.9479690994874652E-2</v>
      </c>
      <c r="AM685" s="1">
        <v>5.2759527000000001E-2</v>
      </c>
      <c r="AN685" s="1">
        <v>4.7434165E-2</v>
      </c>
      <c r="AO685" s="7">
        <f>IF(AB685 &gt; 0.047, 8 * (AB685 - 0.047)^(3/2), 0)</f>
        <v>6.6039540669618091E-2</v>
      </c>
      <c r="AP685" s="7">
        <f>IF(AB685&gt; 0.047, 4 * (AB685 - 0.047)^(3/2), 0)</f>
        <v>3.3019770334809045E-2</v>
      </c>
      <c r="AQ685" s="7">
        <f xml:space="preserve"> (0.053 / AC685^(0.3)) * ((AB685 / AE685) - 1)^2.1</f>
        <v>1.9005162829996015E-3</v>
      </c>
      <c r="AR685" s="7">
        <f xml:space="preserve"> IF(AB685 &gt; AD685, 0.635 * AF685 * SQRT(AB685) * (1 - (1 / (AG685*AF685)) * LOG(1 + AF685*AG685)), 0)</f>
        <v>6.7815112991622531E-2</v>
      </c>
      <c r="AS685" s="8">
        <f>IF(AB685&gt;= 0.19, 40 * AH685 * AB685^3, (AH685 * EXP(-0.391 / AB685)) / 0.465)</f>
        <v>2.0482557566469949E-2</v>
      </c>
      <c r="AT685" s="7">
        <f>AL685* AI685</f>
        <v>1.4635844904953805E-2</v>
      </c>
      <c r="AU685" s="7">
        <f>14 * AB685^2.5 / (1 + (AM685/AB685)^4)</f>
        <v>2.8333637141706183E-2</v>
      </c>
      <c r="AV685" s="7">
        <f>14*AB685^2.5/(1+(AN685/AB685)^4)</f>
        <v>2.9511398235354418E-2</v>
      </c>
      <c r="AW685" s="1">
        <f>AO685*SQRT(1.65*9.81*F685^3)</f>
        <v>2.9705408306707607E-3</v>
      </c>
      <c r="AX685" s="1">
        <f>AP685*SQRT(1.65*9.81*F685^3)</f>
        <v>1.4852704153353804E-3</v>
      </c>
      <c r="AY685" s="1">
        <f>AQ685*SQRT(1.65*9.81*F685^3)</f>
        <v>8.5487590627689202E-5</v>
      </c>
      <c r="AZ685" s="1">
        <f>AR685*SQRT(1.65*9.81*F685^3)</f>
        <v>3.0504082862412023E-3</v>
      </c>
      <c r="BA685" s="1">
        <f>AS685*SQRT(1.65*9.81*F685^3)</f>
        <v>9.2133096249343103E-4</v>
      </c>
      <c r="BB685" s="1">
        <f>AT685*SQRT(1.65*9.81*F685^3)</f>
        <v>6.5833854143585043E-4</v>
      </c>
      <c r="BC685" s="1">
        <f>AU685*SQRT(1.65*9.81*G685^3)</f>
        <v>3.6047803213464864E-3</v>
      </c>
      <c r="BD685" s="1">
        <f>AV685*SQRT(1.65*9.81*G685^3)</f>
        <v>3.7546223621828653E-3</v>
      </c>
      <c r="BE685" s="1">
        <f>U685*Z685</f>
        <v>16.536282622953525</v>
      </c>
    </row>
    <row r="686" spans="1:57" x14ac:dyDescent="0.35">
      <c r="A686" s="1">
        <v>500010.20409999997</v>
      </c>
      <c r="B686" s="1">
        <v>5999998.6849999996</v>
      </c>
      <c r="C686" s="1">
        <v>154.35746658519</v>
      </c>
      <c r="D686" s="1">
        <f t="shared" ref="D686:D717" si="122">D685 + SQRT((A686 - A685)^2 + (B686 - B685)^2)</f>
        <v>10.212373759793433</v>
      </c>
      <c r="E686" s="1">
        <v>0.01</v>
      </c>
      <c r="F686" s="1">
        <v>0.05</v>
      </c>
      <c r="G686" s="1">
        <v>0.1</v>
      </c>
      <c r="H686" s="1">
        <v>9.81</v>
      </c>
      <c r="I686" s="1">
        <v>2650</v>
      </c>
      <c r="J686" s="1">
        <v>1000</v>
      </c>
      <c r="K686" s="1">
        <v>1.65</v>
      </c>
      <c r="L686" s="1">
        <v>6.5</v>
      </c>
      <c r="M686" s="1">
        <v>2.5</v>
      </c>
      <c r="N686" s="6">
        <v>9.9999999999999995E-7</v>
      </c>
      <c r="O686" s="1">
        <f t="shared" ref="O686:O733" si="123" xml:space="preserve"> (D687 - D686 + D686 - D685) / 2</f>
        <v>10.212934886473896</v>
      </c>
      <c r="P686" s="1">
        <f t="shared" si="119"/>
        <v>10.748393624242958</v>
      </c>
      <c r="Q686" s="1">
        <f t="shared" si="120"/>
        <v>11.680237485693015</v>
      </c>
      <c r="R686" s="1">
        <v>125.77909999999996</v>
      </c>
      <c r="S686" s="1" t="e">
        <f t="shared" si="121"/>
        <v>#N/A</v>
      </c>
      <c r="T686" s="1" t="e">
        <v>#N/A</v>
      </c>
      <c r="AO686" s="7"/>
      <c r="AP686" s="7"/>
      <c r="AQ686" s="7"/>
      <c r="AR686" s="7"/>
      <c r="AS686" s="7"/>
      <c r="AT686" s="7"/>
      <c r="AU686" s="7"/>
      <c r="AV686" s="7"/>
    </row>
    <row r="687" spans="1:57" x14ac:dyDescent="0.35">
      <c r="A687" s="1">
        <v>500020.40820000001</v>
      </c>
      <c r="B687" s="1">
        <v>5999999.1229999997</v>
      </c>
      <c r="C687" s="1">
        <v>151.008964727501</v>
      </c>
      <c r="D687" s="1">
        <f t="shared" si="122"/>
        <v>20.425869772947792</v>
      </c>
      <c r="E687" s="1">
        <v>0.01</v>
      </c>
      <c r="F687" s="1">
        <v>0.05</v>
      </c>
      <c r="G687" s="1">
        <v>0.1</v>
      </c>
      <c r="H687" s="1">
        <v>9.81</v>
      </c>
      <c r="I687" s="1">
        <v>2650</v>
      </c>
      <c r="J687" s="1">
        <v>1000</v>
      </c>
      <c r="K687" s="1">
        <v>1.65</v>
      </c>
      <c r="L687" s="1">
        <v>6.5</v>
      </c>
      <c r="M687" s="1">
        <v>2.5</v>
      </c>
      <c r="N687" s="6">
        <v>9.9999999999999995E-7</v>
      </c>
      <c r="O687" s="1">
        <f t="shared" si="123"/>
        <v>10.21125621009096</v>
      </c>
      <c r="P687" s="1">
        <f t="shared" si="119"/>
        <v>13.985433799960637</v>
      </c>
      <c r="Q687" s="1">
        <f t="shared" si="120"/>
        <v>12.366913712101798</v>
      </c>
      <c r="R687" s="1">
        <v>125.77909999999996</v>
      </c>
      <c r="S687" s="1" t="e">
        <f t="shared" si="121"/>
        <v>#N/A</v>
      </c>
      <c r="T687" s="1" t="e">
        <v>#N/A</v>
      </c>
    </row>
    <row r="688" spans="1:57" x14ac:dyDescent="0.35">
      <c r="A688" s="1">
        <v>500030.61219999997</v>
      </c>
      <c r="B688" s="1">
        <v>5999998.8030000003</v>
      </c>
      <c r="C688" s="1">
        <v>160.567643641144</v>
      </c>
      <c r="D688" s="1">
        <f t="shared" si="122"/>
        <v>30.634886179975354</v>
      </c>
      <c r="E688" s="1">
        <v>0.01</v>
      </c>
      <c r="F688" s="1">
        <v>0.05</v>
      </c>
      <c r="G688" s="1">
        <v>0.1</v>
      </c>
      <c r="H688" s="1">
        <v>9.81</v>
      </c>
      <c r="I688" s="1">
        <v>2650</v>
      </c>
      <c r="J688" s="1">
        <v>1000</v>
      </c>
      <c r="K688" s="1">
        <v>1.65</v>
      </c>
      <c r="L688" s="1">
        <v>6.5</v>
      </c>
      <c r="M688" s="1">
        <v>2.5</v>
      </c>
      <c r="N688" s="6">
        <v>9.9999999999999995E-7</v>
      </c>
      <c r="O688" s="1">
        <f t="shared" si="123"/>
        <v>10.214935822867286</v>
      </c>
      <c r="P688" s="1">
        <f t="shared" si="119"/>
        <v>10.224042445454263</v>
      </c>
      <c r="Q688" s="1">
        <f t="shared" si="120"/>
        <v>12.104738122707449</v>
      </c>
      <c r="R688" s="1">
        <v>125.77909999999996</v>
      </c>
      <c r="S688" s="1" t="e">
        <f t="shared" si="121"/>
        <v>#N/A</v>
      </c>
      <c r="T688" s="1" t="e">
        <v>#N/A</v>
      </c>
    </row>
    <row r="689" spans="1:20" x14ac:dyDescent="0.35">
      <c r="A689" s="1">
        <v>500040.81630000001</v>
      </c>
      <c r="B689" s="1">
        <v>5999998.2180000003</v>
      </c>
      <c r="C689" s="1">
        <v>160.82291235416201</v>
      </c>
      <c r="D689" s="1">
        <f t="shared" si="122"/>
        <v>40.855741418682364</v>
      </c>
      <c r="E689" s="1">
        <v>0.01</v>
      </c>
      <c r="F689" s="1">
        <v>0.05</v>
      </c>
      <c r="G689" s="1">
        <v>0.1</v>
      </c>
      <c r="H689" s="1">
        <v>9.81</v>
      </c>
      <c r="I689" s="1">
        <v>2650</v>
      </c>
      <c r="J689" s="1">
        <v>1000</v>
      </c>
      <c r="K689" s="1">
        <v>1.65</v>
      </c>
      <c r="L689" s="1">
        <v>6.5</v>
      </c>
      <c r="M689" s="1">
        <v>2.5</v>
      </c>
      <c r="N689" s="6">
        <v>9.9999999999999995E-7</v>
      </c>
      <c r="O689" s="1">
        <f t="shared" si="123"/>
        <v>10.231243785008825</v>
      </c>
      <c r="P689" s="1">
        <f t="shared" si="119"/>
        <v>10.333484931908488</v>
      </c>
      <c r="Q689" s="1">
        <f t="shared" si="120"/>
        <v>10.278763688681376</v>
      </c>
      <c r="R689" s="1">
        <v>125.77909999999996</v>
      </c>
      <c r="S689" s="1" t="e">
        <f t="shared" si="121"/>
        <v>#N/A</v>
      </c>
      <c r="T689" s="1" t="e">
        <v>#N/A</v>
      </c>
    </row>
    <row r="690" spans="1:20" x14ac:dyDescent="0.35">
      <c r="A690" s="1">
        <v>500051.02039999998</v>
      </c>
      <c r="B690" s="1">
        <v>5999997.3420000002</v>
      </c>
      <c r="C690" s="1">
        <v>159.448184007094</v>
      </c>
      <c r="D690" s="1">
        <f t="shared" si="122"/>
        <v>51.097373749993004</v>
      </c>
      <c r="E690" s="1">
        <v>0.01</v>
      </c>
      <c r="F690" s="1">
        <v>0.05</v>
      </c>
      <c r="G690" s="1">
        <v>0.1</v>
      </c>
      <c r="H690" s="1">
        <v>9.81</v>
      </c>
      <c r="I690" s="1">
        <v>2650</v>
      </c>
      <c r="J690" s="1">
        <v>1000</v>
      </c>
      <c r="K690" s="1">
        <v>1.65</v>
      </c>
      <c r="L690" s="1">
        <v>6.5</v>
      </c>
      <c r="M690" s="1">
        <v>2.5</v>
      </c>
      <c r="N690" s="6">
        <v>9.9999999999999995E-7</v>
      </c>
      <c r="O690" s="1">
        <f t="shared" si="123"/>
        <v>10.22297614478725</v>
      </c>
      <c r="P690" s="1">
        <f t="shared" si="119"/>
        <v>11.164078602095582</v>
      </c>
      <c r="Q690" s="1">
        <f t="shared" si="120"/>
        <v>10.748781767002036</v>
      </c>
      <c r="R690" s="1">
        <v>125.77909999999996</v>
      </c>
      <c r="S690" s="1" t="e">
        <f t="shared" si="121"/>
        <v>#N/A</v>
      </c>
      <c r="T690" s="1" t="e">
        <v>#N/A</v>
      </c>
    </row>
    <row r="691" spans="1:20" x14ac:dyDescent="0.35">
      <c r="A691" s="1">
        <v>500061.22450000001</v>
      </c>
      <c r="B691" s="1">
        <v>5999997.2750000004</v>
      </c>
      <c r="C691" s="1">
        <v>163.976815723534</v>
      </c>
      <c r="D691" s="1">
        <f t="shared" si="122"/>
        <v>61.301693708256863</v>
      </c>
      <c r="E691" s="1">
        <v>0.01</v>
      </c>
      <c r="F691" s="1">
        <v>0.05</v>
      </c>
      <c r="G691" s="1">
        <v>0.1</v>
      </c>
      <c r="H691" s="1">
        <v>9.81</v>
      </c>
      <c r="I691" s="1">
        <v>2650</v>
      </c>
      <c r="J691" s="1">
        <v>1000</v>
      </c>
      <c r="K691" s="1">
        <v>1.65</v>
      </c>
      <c r="L691" s="1">
        <v>6.5</v>
      </c>
      <c r="M691" s="1">
        <v>2.5</v>
      </c>
      <c r="N691" s="6">
        <v>9.9999999999999995E-7</v>
      </c>
      <c r="O691" s="1">
        <f t="shared" si="123"/>
        <v>10.209391538632293</v>
      </c>
      <c r="P691" s="1">
        <f t="shared" si="119"/>
        <v>11.034750060361873</v>
      </c>
      <c r="Q691" s="1">
        <f t="shared" si="120"/>
        <v>11.099414331228727</v>
      </c>
      <c r="R691" s="1">
        <v>125.77909999999996</v>
      </c>
      <c r="S691" s="1" t="e">
        <f t="shared" si="121"/>
        <v>#N/A</v>
      </c>
      <c r="T691" s="1" t="e">
        <v>#N/A</v>
      </c>
    </row>
    <row r="692" spans="1:20" x14ac:dyDescent="0.35">
      <c r="A692" s="1">
        <v>500071.42859999998</v>
      </c>
      <c r="B692" s="1">
        <v>5999996.8150000004</v>
      </c>
      <c r="C692" s="1">
        <v>168.15179501512699</v>
      </c>
      <c r="D692" s="1">
        <f t="shared" si="122"/>
        <v>71.516156827257589</v>
      </c>
      <c r="E692" s="1">
        <v>0.01</v>
      </c>
      <c r="F692" s="1">
        <v>0.05</v>
      </c>
      <c r="G692" s="1">
        <v>0.1</v>
      </c>
      <c r="H692" s="1">
        <v>9.81</v>
      </c>
      <c r="I692" s="1">
        <v>2650</v>
      </c>
      <c r="J692" s="1">
        <v>1000</v>
      </c>
      <c r="K692" s="1">
        <v>1.65</v>
      </c>
      <c r="L692" s="1">
        <v>6.5</v>
      </c>
      <c r="M692" s="1">
        <v>2.5</v>
      </c>
      <c r="N692" s="6">
        <v>9.9999999999999995E-7</v>
      </c>
      <c r="O692" s="1">
        <f t="shared" si="123"/>
        <v>10.229976351370027</v>
      </c>
      <c r="P692" s="1">
        <f t="shared" si="119"/>
        <v>11.687505241745082</v>
      </c>
      <c r="Q692" s="1">
        <f t="shared" si="120"/>
        <v>11.361127651053478</v>
      </c>
      <c r="R692" s="1">
        <v>125.77909999999996</v>
      </c>
      <c r="S692" s="1" t="e">
        <f t="shared" si="121"/>
        <v>#N/A</v>
      </c>
      <c r="T692" s="1" t="e">
        <v>#N/A</v>
      </c>
    </row>
    <row r="693" spans="1:20" x14ac:dyDescent="0.35">
      <c r="A693" s="1">
        <v>500081.63270000002</v>
      </c>
      <c r="B693" s="1">
        <v>5999997.7350000003</v>
      </c>
      <c r="C693" s="1">
        <v>162.52794206849799</v>
      </c>
      <c r="D693" s="1">
        <f t="shared" si="122"/>
        <v>81.761646410996917</v>
      </c>
      <c r="E693" s="1">
        <v>0.01</v>
      </c>
      <c r="F693" s="1">
        <v>0.05</v>
      </c>
      <c r="G693" s="1">
        <v>0.1</v>
      </c>
      <c r="H693" s="1">
        <v>9.81</v>
      </c>
      <c r="I693" s="1">
        <v>2650</v>
      </c>
      <c r="J693" s="1">
        <v>1000</v>
      </c>
      <c r="K693" s="1">
        <v>1.65</v>
      </c>
      <c r="L693" s="1">
        <v>6.5</v>
      </c>
      <c r="M693" s="1">
        <v>2.5</v>
      </c>
      <c r="N693" s="6">
        <v>9.9999999999999995E-7</v>
      </c>
      <c r="O693" s="1">
        <f t="shared" si="123"/>
        <v>10.224765396477437</v>
      </c>
      <c r="P693" s="1">
        <f t="shared" si="119"/>
        <v>11.652977208096294</v>
      </c>
      <c r="Q693" s="1">
        <f t="shared" si="120"/>
        <v>11.670241224920687</v>
      </c>
      <c r="R693" s="1">
        <v>125.77909999999996</v>
      </c>
      <c r="S693" s="1" t="e">
        <f t="shared" si="121"/>
        <v>#N/A</v>
      </c>
      <c r="T693" s="1" t="e">
        <v>#N/A</v>
      </c>
    </row>
    <row r="694" spans="1:20" x14ac:dyDescent="0.35">
      <c r="A694" s="1">
        <v>500091.83669999999</v>
      </c>
      <c r="B694" s="1">
        <v>5999997.7640000004</v>
      </c>
      <c r="C694" s="1">
        <v>168.15550111421601</v>
      </c>
      <c r="D694" s="1">
        <f t="shared" si="122"/>
        <v>91.965687620212464</v>
      </c>
      <c r="E694" s="1">
        <v>0.01</v>
      </c>
      <c r="F694" s="1">
        <v>0.05</v>
      </c>
      <c r="G694" s="1">
        <v>0.1</v>
      </c>
      <c r="H694" s="1">
        <v>9.81</v>
      </c>
      <c r="I694" s="1">
        <v>2650</v>
      </c>
      <c r="J694" s="1">
        <v>1000</v>
      </c>
      <c r="K694" s="1">
        <v>1.65</v>
      </c>
      <c r="L694" s="1">
        <v>6.5</v>
      </c>
      <c r="M694" s="1">
        <v>2.5</v>
      </c>
      <c r="N694" s="6">
        <v>9.9999999999999995E-7</v>
      </c>
      <c r="O694" s="1">
        <f t="shared" si="123"/>
        <v>10.204607223431253</v>
      </c>
      <c r="P694" s="1">
        <f t="shared" si="119"/>
        <v>10.499401533865951</v>
      </c>
      <c r="Q694" s="1">
        <f t="shared" si="120"/>
        <v>11.076189370981123</v>
      </c>
      <c r="R694" s="1">
        <v>125.77909999999996</v>
      </c>
      <c r="S694" s="1" t="e">
        <f t="shared" si="121"/>
        <v>#N/A</v>
      </c>
      <c r="T694" s="1" t="e">
        <v>#N/A</v>
      </c>
    </row>
    <row r="695" spans="1:20" x14ac:dyDescent="0.35">
      <c r="A695" s="1">
        <v>500102.04080000002</v>
      </c>
      <c r="B695" s="1">
        <v>5999997.9119999995</v>
      </c>
      <c r="C695" s="1">
        <v>170.62367285843499</v>
      </c>
      <c r="D695" s="1">
        <f t="shared" si="122"/>
        <v>102.17086085785942</v>
      </c>
      <c r="E695" s="1">
        <v>0.01</v>
      </c>
      <c r="F695" s="1">
        <v>0.05</v>
      </c>
      <c r="G695" s="1">
        <v>0.1</v>
      </c>
      <c r="H695" s="1">
        <v>9.81</v>
      </c>
      <c r="I695" s="1">
        <v>2650</v>
      </c>
      <c r="J695" s="1">
        <v>1000</v>
      </c>
      <c r="K695" s="1">
        <v>1.65</v>
      </c>
      <c r="L695" s="1">
        <v>6.5</v>
      </c>
      <c r="M695" s="1">
        <v>2.5</v>
      </c>
      <c r="N695" s="6">
        <v>9.9999999999999995E-7</v>
      </c>
      <c r="O695" s="1">
        <f t="shared" si="123"/>
        <v>10.21006882166494</v>
      </c>
      <c r="P695" s="1">
        <f t="shared" si="119"/>
        <v>10.948230205101877</v>
      </c>
      <c r="Q695" s="1">
        <f t="shared" si="120"/>
        <v>10.723815869483914</v>
      </c>
      <c r="R695" s="1">
        <v>125.77909999999996</v>
      </c>
      <c r="S695" s="1" t="e">
        <f t="shared" si="121"/>
        <v>#N/A</v>
      </c>
      <c r="T695" s="1" t="e">
        <v>#N/A</v>
      </c>
    </row>
    <row r="696" spans="1:20" x14ac:dyDescent="0.35">
      <c r="A696" s="1">
        <v>500112.24489999999</v>
      </c>
      <c r="B696" s="1">
        <v>5999997.4409999996</v>
      </c>
      <c r="C696" s="1">
        <v>174.56299346160199</v>
      </c>
      <c r="D696" s="1">
        <f t="shared" si="122"/>
        <v>112.38582526354234</v>
      </c>
      <c r="E696" s="1">
        <v>0.01</v>
      </c>
      <c r="F696" s="1">
        <v>0.05</v>
      </c>
      <c r="G696" s="1">
        <v>0.1</v>
      </c>
      <c r="H696" s="1">
        <v>9.81</v>
      </c>
      <c r="I696" s="1">
        <v>2650</v>
      </c>
      <c r="J696" s="1">
        <v>1000</v>
      </c>
      <c r="K696" s="1">
        <v>1.65</v>
      </c>
      <c r="L696" s="1">
        <v>6.5</v>
      </c>
      <c r="M696" s="1">
        <v>2.5</v>
      </c>
      <c r="N696" s="6">
        <v>9.9999999999999995E-7</v>
      </c>
      <c r="O696" s="1">
        <f t="shared" si="123"/>
        <v>10.211692861963954</v>
      </c>
      <c r="P696" s="1">
        <f t="shared" si="119"/>
        <v>13.530011313683339</v>
      </c>
      <c r="Q696" s="1">
        <f t="shared" si="120"/>
        <v>12.239120759392609</v>
      </c>
      <c r="R696" s="1">
        <v>125.77909999999996</v>
      </c>
      <c r="S696" s="1" t="e">
        <f t="shared" si="121"/>
        <v>#N/A</v>
      </c>
      <c r="T696" s="1" t="e">
        <v>#N/A</v>
      </c>
    </row>
    <row r="697" spans="1:20" x14ac:dyDescent="0.35">
      <c r="A697" s="1">
        <v>500122.44900000002</v>
      </c>
      <c r="B697" s="1">
        <v>5999997.7379999999</v>
      </c>
      <c r="C697" s="1">
        <v>165.68327835707299</v>
      </c>
      <c r="D697" s="1">
        <f t="shared" si="122"/>
        <v>122.59424658178733</v>
      </c>
      <c r="E697" s="1">
        <v>0.01</v>
      </c>
      <c r="F697" s="1">
        <v>0.05</v>
      </c>
      <c r="G697" s="1">
        <v>0.1</v>
      </c>
      <c r="H697" s="1">
        <v>9.81</v>
      </c>
      <c r="I697" s="1">
        <v>2650</v>
      </c>
      <c r="J697" s="1">
        <v>1000</v>
      </c>
      <c r="K697" s="1">
        <v>1.65</v>
      </c>
      <c r="L697" s="1">
        <v>6.5</v>
      </c>
      <c r="M697" s="1">
        <v>2.5</v>
      </c>
      <c r="N697" s="6">
        <v>9.9999999999999995E-7</v>
      </c>
      <c r="O697" s="1">
        <f t="shared" si="123"/>
        <v>10.212455607463802</v>
      </c>
      <c r="P697" s="1">
        <f t="shared" si="119"/>
        <v>12.917030195420445</v>
      </c>
      <c r="Q697" s="1">
        <f t="shared" si="120"/>
        <v>13.223520754551892</v>
      </c>
      <c r="R697" s="1">
        <v>125.77909999999996</v>
      </c>
      <c r="S697" s="1" t="e">
        <f t="shared" si="121"/>
        <v>#N/A</v>
      </c>
      <c r="T697" s="1" t="e">
        <v>#N/A</v>
      </c>
    </row>
    <row r="698" spans="1:20" x14ac:dyDescent="0.35">
      <c r="A698" s="1">
        <v>500132.6531</v>
      </c>
      <c r="B698" s="1">
        <v>5999997.2350000003</v>
      </c>
      <c r="C698" s="1">
        <v>173.58726489934301</v>
      </c>
      <c r="D698" s="1">
        <f t="shared" si="122"/>
        <v>132.81073647846995</v>
      </c>
      <c r="E698" s="1">
        <v>0.01</v>
      </c>
      <c r="F698" s="1">
        <v>0.05</v>
      </c>
      <c r="G698" s="1">
        <v>0.1</v>
      </c>
      <c r="H698" s="1">
        <v>9.81</v>
      </c>
      <c r="I698" s="1">
        <v>2650</v>
      </c>
      <c r="J698" s="1">
        <v>1000</v>
      </c>
      <c r="K698" s="1">
        <v>1.65</v>
      </c>
      <c r="L698" s="1">
        <v>6.5</v>
      </c>
      <c r="M698" s="1">
        <v>2.5</v>
      </c>
      <c r="N698" s="6">
        <v>9.9999999999999995E-7</v>
      </c>
      <c r="O698" s="1">
        <f t="shared" si="123"/>
        <v>10.225512676353247</v>
      </c>
      <c r="P698" s="1">
        <f t="shared" si="119"/>
        <v>13.492945518552009</v>
      </c>
      <c r="Q698" s="1">
        <f t="shared" si="120"/>
        <v>13.204987856986227</v>
      </c>
      <c r="R698" s="1">
        <v>125.77909999999996</v>
      </c>
      <c r="S698" s="1" t="e">
        <f t="shared" si="121"/>
        <v>#N/A</v>
      </c>
      <c r="T698" s="1" t="e">
        <v>#N/A</v>
      </c>
    </row>
    <row r="699" spans="1:20" x14ac:dyDescent="0.35">
      <c r="A699" s="1">
        <v>500142.85710000002</v>
      </c>
      <c r="B699" s="1">
        <v>5999996.4450000003</v>
      </c>
      <c r="C699" s="1">
        <v>164.79443470844299</v>
      </c>
      <c r="D699" s="1">
        <f t="shared" si="122"/>
        <v>143.04527193449383</v>
      </c>
      <c r="E699" s="1">
        <v>0.01</v>
      </c>
      <c r="F699" s="1">
        <v>0.05</v>
      </c>
      <c r="G699" s="1">
        <v>0.1</v>
      </c>
      <c r="H699" s="1">
        <v>9.81</v>
      </c>
      <c r="I699" s="1">
        <v>2650</v>
      </c>
      <c r="J699" s="1">
        <v>1000</v>
      </c>
      <c r="K699" s="1">
        <v>1.65</v>
      </c>
      <c r="L699" s="1">
        <v>6.5</v>
      </c>
      <c r="M699" s="1">
        <v>2.5</v>
      </c>
      <c r="N699" s="6">
        <v>9.9999999999999995E-7</v>
      </c>
      <c r="O699" s="1">
        <f t="shared" si="123"/>
        <v>10.219577641411078</v>
      </c>
      <c r="P699" s="1">
        <f t="shared" si="119"/>
        <v>10.57052865269438</v>
      </c>
      <c r="Q699" s="1">
        <f t="shared" si="120"/>
        <v>12.031737085623195</v>
      </c>
      <c r="R699" s="1">
        <v>125.77909999999996</v>
      </c>
      <c r="S699" s="1" t="e">
        <f t="shared" si="121"/>
        <v>#N/A</v>
      </c>
      <c r="T699" s="1" t="e">
        <v>#N/A</v>
      </c>
    </row>
    <row r="700" spans="1:20" x14ac:dyDescent="0.35">
      <c r="A700" s="1">
        <v>500153.0612</v>
      </c>
      <c r="B700" s="1">
        <v>5999996.5480000004</v>
      </c>
      <c r="C700" s="1">
        <v>167.55157275140499</v>
      </c>
      <c r="D700" s="1">
        <f t="shared" si="122"/>
        <v>153.2498917612921</v>
      </c>
      <c r="E700" s="1">
        <v>0.01</v>
      </c>
      <c r="F700" s="1">
        <v>0.05</v>
      </c>
      <c r="G700" s="1">
        <v>0.1</v>
      </c>
      <c r="H700" s="1">
        <v>9.81</v>
      </c>
      <c r="I700" s="1">
        <v>2650</v>
      </c>
      <c r="J700" s="1">
        <v>1000</v>
      </c>
      <c r="K700" s="1">
        <v>1.65</v>
      </c>
      <c r="L700" s="1">
        <v>6.5</v>
      </c>
      <c r="M700" s="1">
        <v>2.5</v>
      </c>
      <c r="N700" s="6">
        <v>9.9999999999999995E-7</v>
      </c>
      <c r="O700" s="1">
        <f t="shared" si="123"/>
        <v>10.204940921281036</v>
      </c>
      <c r="P700" s="1">
        <f t="shared" si="119"/>
        <v>10.682627590463349</v>
      </c>
      <c r="Q700" s="1">
        <f t="shared" si="120"/>
        <v>10.626578121578865</v>
      </c>
      <c r="R700" s="1">
        <v>125.77909999999996</v>
      </c>
      <c r="S700" s="1" t="e">
        <f t="shared" si="121"/>
        <v>#N/A</v>
      </c>
      <c r="T700" s="1" t="e">
        <v>#N/A</v>
      </c>
    </row>
    <row r="701" spans="1:20" x14ac:dyDescent="0.35">
      <c r="A701" s="1">
        <v>500163.26530000003</v>
      </c>
      <c r="B701" s="1">
        <v>5999996.7019999996</v>
      </c>
      <c r="C701" s="1">
        <v>164.39385847900201</v>
      </c>
      <c r="D701" s="1">
        <f t="shared" si="122"/>
        <v>163.4551537770559</v>
      </c>
      <c r="E701" s="1">
        <v>0.01</v>
      </c>
      <c r="F701" s="1">
        <v>0.05</v>
      </c>
      <c r="G701" s="1">
        <v>0.1</v>
      </c>
      <c r="H701" s="1">
        <v>9.81</v>
      </c>
      <c r="I701" s="1">
        <v>2650</v>
      </c>
      <c r="J701" s="1">
        <v>1000</v>
      </c>
      <c r="K701" s="1">
        <v>1.65</v>
      </c>
      <c r="L701" s="1">
        <v>6.5</v>
      </c>
      <c r="M701" s="1">
        <v>2.5</v>
      </c>
      <c r="N701" s="6">
        <v>9.9999999999999995E-7</v>
      </c>
      <c r="O701" s="1">
        <f t="shared" si="123"/>
        <v>10.213849082106762</v>
      </c>
      <c r="P701" s="1">
        <f t="shared" si="119"/>
        <v>11.026540308620518</v>
      </c>
      <c r="Q701" s="1">
        <f t="shared" si="120"/>
        <v>10.854583949541933</v>
      </c>
      <c r="R701" s="1">
        <v>125.77909999999996</v>
      </c>
      <c r="S701" s="1" t="e">
        <f t="shared" si="121"/>
        <v>#N/A</v>
      </c>
      <c r="T701" s="1" t="e">
        <v>#N/A</v>
      </c>
    </row>
    <row r="702" spans="1:20" x14ac:dyDescent="0.35">
      <c r="A702" s="1">
        <v>500173.4694</v>
      </c>
      <c r="B702" s="1">
        <v>5999996.0899999999</v>
      </c>
      <c r="C702" s="1">
        <v>168.52742719967199</v>
      </c>
      <c r="D702" s="1">
        <f t="shared" si="122"/>
        <v>173.67758992550563</v>
      </c>
      <c r="E702" s="1">
        <v>0.01</v>
      </c>
      <c r="F702" s="1">
        <v>0.05</v>
      </c>
      <c r="G702" s="1">
        <v>0.1</v>
      </c>
      <c r="H702" s="1">
        <v>9.81</v>
      </c>
      <c r="I702" s="1">
        <v>2650</v>
      </c>
      <c r="J702" s="1">
        <v>1000</v>
      </c>
      <c r="K702" s="1">
        <v>1.65</v>
      </c>
      <c r="L702" s="1">
        <v>6.5</v>
      </c>
      <c r="M702" s="1">
        <v>2.5</v>
      </c>
      <c r="N702" s="6">
        <v>9.9999999999999995E-7</v>
      </c>
      <c r="O702" s="1">
        <f t="shared" si="123"/>
        <v>10.214988293625822</v>
      </c>
      <c r="P702" s="1">
        <f t="shared" si="119"/>
        <v>10.632479456336906</v>
      </c>
      <c r="Q702" s="1">
        <f t="shared" si="120"/>
        <v>10.829509882478712</v>
      </c>
      <c r="R702" s="1">
        <v>125.77909999999996</v>
      </c>
      <c r="S702" s="1" t="e">
        <f t="shared" si="121"/>
        <v>#N/A</v>
      </c>
      <c r="T702" s="1" t="e">
        <v>#N/A</v>
      </c>
    </row>
    <row r="703" spans="1:20" x14ac:dyDescent="0.35">
      <c r="A703" s="1">
        <v>500183.67349999998</v>
      </c>
      <c r="B703" s="1">
        <v>5999996.3550000004</v>
      </c>
      <c r="C703" s="1">
        <v>165.55156806663999</v>
      </c>
      <c r="D703" s="1">
        <f t="shared" si="122"/>
        <v>183.88513036430754</v>
      </c>
      <c r="E703" s="1">
        <v>0.01</v>
      </c>
      <c r="F703" s="1">
        <v>0.05</v>
      </c>
      <c r="G703" s="1">
        <v>0.1</v>
      </c>
      <c r="H703" s="1">
        <v>9.81</v>
      </c>
      <c r="I703" s="1">
        <v>2650</v>
      </c>
      <c r="J703" s="1">
        <v>1000</v>
      </c>
      <c r="K703" s="1">
        <v>1.65</v>
      </c>
      <c r="L703" s="1">
        <v>6.5</v>
      </c>
      <c r="M703" s="1">
        <v>2.5</v>
      </c>
      <c r="N703" s="6">
        <v>9.9999999999999995E-7</v>
      </c>
      <c r="O703" s="1">
        <f t="shared" si="123"/>
        <v>10.210285318026777</v>
      </c>
      <c r="P703" s="1">
        <f t="shared" si="119"/>
        <v>10.217153370786205</v>
      </c>
      <c r="Q703" s="1">
        <f t="shared" si="120"/>
        <v>10.424816413561555</v>
      </c>
      <c r="R703" s="1">
        <v>125.77909999999996</v>
      </c>
      <c r="S703" s="1" t="e">
        <f t="shared" si="121"/>
        <v>#N/A</v>
      </c>
      <c r="T703" s="1" t="e">
        <v>#N/A</v>
      </c>
    </row>
    <row r="704" spans="1:20" x14ac:dyDescent="0.35">
      <c r="A704" s="1">
        <v>500193.87760000001</v>
      </c>
      <c r="B704" s="1">
        <v>5999996.7819999997</v>
      </c>
      <c r="C704" s="1">
        <v>165.84180450851801</v>
      </c>
      <c r="D704" s="1">
        <f t="shared" si="122"/>
        <v>194.09816056155918</v>
      </c>
      <c r="E704" s="1">
        <v>0.01</v>
      </c>
      <c r="F704" s="1">
        <v>0.05</v>
      </c>
      <c r="G704" s="1">
        <v>0.1</v>
      </c>
      <c r="H704" s="1">
        <v>9.81</v>
      </c>
      <c r="I704" s="1">
        <v>2650</v>
      </c>
      <c r="J704" s="1">
        <v>1000</v>
      </c>
      <c r="K704" s="1">
        <v>1.65</v>
      </c>
      <c r="L704" s="1">
        <v>6.5</v>
      </c>
      <c r="M704" s="1">
        <v>2.5</v>
      </c>
      <c r="N704" s="6">
        <v>9.9999999999999995E-7</v>
      </c>
      <c r="O704" s="1">
        <f t="shared" si="123"/>
        <v>10.225732250662787</v>
      </c>
      <c r="P704" s="1">
        <f t="shared" si="119"/>
        <v>11.805317568883225</v>
      </c>
      <c r="Q704" s="1">
        <f t="shared" si="120"/>
        <v>11.011235469834716</v>
      </c>
      <c r="R704" s="1">
        <v>125.77909999999996</v>
      </c>
      <c r="S704" s="1" t="e">
        <f t="shared" si="121"/>
        <v>#N/A</v>
      </c>
      <c r="T704" s="1" t="e">
        <v>#N/A</v>
      </c>
    </row>
    <row r="705" spans="1:20" x14ac:dyDescent="0.35">
      <c r="A705" s="1">
        <v>500204.08159999998</v>
      </c>
      <c r="B705" s="1">
        <v>5999995.943</v>
      </c>
      <c r="C705" s="1">
        <v>159.96473160584401</v>
      </c>
      <c r="D705" s="1">
        <f t="shared" si="122"/>
        <v>204.33659486563312</v>
      </c>
      <c r="E705" s="1">
        <v>0.01</v>
      </c>
      <c r="F705" s="1">
        <v>0.05</v>
      </c>
      <c r="G705" s="1">
        <v>0.1</v>
      </c>
      <c r="H705" s="1">
        <v>9.81</v>
      </c>
      <c r="I705" s="1">
        <v>2650</v>
      </c>
      <c r="J705" s="1">
        <v>1000</v>
      </c>
      <c r="K705" s="1">
        <v>1.65</v>
      </c>
      <c r="L705" s="1">
        <v>6.5</v>
      </c>
      <c r="M705" s="1">
        <v>2.5</v>
      </c>
      <c r="N705" s="6">
        <v>9.9999999999999995E-7</v>
      </c>
      <c r="O705" s="1">
        <f t="shared" si="123"/>
        <v>10.222474465035148</v>
      </c>
      <c r="P705" s="1">
        <f t="shared" si="119"/>
        <v>10.510110351296964</v>
      </c>
      <c r="Q705" s="1">
        <f t="shared" si="120"/>
        <v>11.157713960090096</v>
      </c>
      <c r="R705" s="1">
        <v>125.77909999999996</v>
      </c>
      <c r="S705" s="1" t="e">
        <f t="shared" si="121"/>
        <v>#N/A</v>
      </c>
      <c r="T705" s="1" t="e">
        <v>#N/A</v>
      </c>
    </row>
    <row r="706" spans="1:20" x14ac:dyDescent="0.35">
      <c r="A706" s="1">
        <v>500214.28570000001</v>
      </c>
      <c r="B706" s="1">
        <v>5999995.7209999999</v>
      </c>
      <c r="C706" s="1">
        <v>162.47261493362501</v>
      </c>
      <c r="D706" s="1">
        <f t="shared" si="122"/>
        <v>214.54310949162948</v>
      </c>
      <c r="E706" s="1">
        <v>0.01</v>
      </c>
      <c r="F706" s="1">
        <v>0.05</v>
      </c>
      <c r="G706" s="1">
        <v>0.1</v>
      </c>
      <c r="H706" s="1">
        <v>9.81</v>
      </c>
      <c r="I706" s="1">
        <v>2650</v>
      </c>
      <c r="J706" s="1">
        <v>1000</v>
      </c>
      <c r="K706" s="1">
        <v>1.65</v>
      </c>
      <c r="L706" s="1">
        <v>6.5</v>
      </c>
      <c r="M706" s="1">
        <v>2.5</v>
      </c>
      <c r="N706" s="6">
        <v>9.9999999999999995E-7</v>
      </c>
      <c r="O706" s="1">
        <f t="shared" si="123"/>
        <v>10.209668499185454</v>
      </c>
      <c r="P706" s="1">
        <f t="shared" si="119"/>
        <v>13.932835838967597</v>
      </c>
      <c r="Q706" s="1">
        <f t="shared" si="120"/>
        <v>12.22147309513228</v>
      </c>
      <c r="R706" s="1">
        <v>125.77909999999996</v>
      </c>
      <c r="S706" s="1" t="e">
        <f t="shared" si="121"/>
        <v>#N/A</v>
      </c>
      <c r="T706" s="1" t="e">
        <v>#N/A</v>
      </c>
    </row>
    <row r="707" spans="1:20" x14ac:dyDescent="0.35">
      <c r="A707" s="1">
        <v>500224.48979999998</v>
      </c>
      <c r="B707" s="1">
        <v>5999996.1430000002</v>
      </c>
      <c r="C707" s="1">
        <v>152.99515885586101</v>
      </c>
      <c r="D707" s="1">
        <f t="shared" si="122"/>
        <v>224.75593186400403</v>
      </c>
      <c r="E707" s="1">
        <v>0.01</v>
      </c>
      <c r="F707" s="1">
        <v>0.05</v>
      </c>
      <c r="G707" s="1">
        <v>0.1</v>
      </c>
      <c r="H707" s="1">
        <v>9.81</v>
      </c>
      <c r="I707" s="1">
        <v>2650</v>
      </c>
      <c r="J707" s="1">
        <v>1000</v>
      </c>
      <c r="K707" s="1">
        <v>1.65</v>
      </c>
      <c r="L707" s="1">
        <v>6.5</v>
      </c>
      <c r="M707" s="1">
        <v>2.5</v>
      </c>
      <c r="N707" s="6">
        <v>9.9999999999999995E-7</v>
      </c>
      <c r="O707" s="1">
        <f t="shared" si="123"/>
        <v>10.211706300347956</v>
      </c>
      <c r="P707" s="1">
        <f t="shared" si="119"/>
        <v>10.301820481574744</v>
      </c>
      <c r="Q707" s="1">
        <f t="shared" si="120"/>
        <v>12.117328160271171</v>
      </c>
      <c r="R707" s="1">
        <v>125.77909999999996</v>
      </c>
      <c r="S707" s="1" t="e">
        <f t="shared" si="121"/>
        <v>#N/A</v>
      </c>
      <c r="T707" s="1" t="e">
        <v>#N/A</v>
      </c>
    </row>
    <row r="708" spans="1:20" x14ac:dyDescent="0.35">
      <c r="A708" s="1">
        <v>500234.69390000001</v>
      </c>
      <c r="B708" s="1">
        <v>5999996.5070000002</v>
      </c>
      <c r="C708" s="1">
        <v>151.627185016966</v>
      </c>
      <c r="D708" s="1">
        <f t="shared" si="122"/>
        <v>234.96652209232539</v>
      </c>
      <c r="E708" s="1">
        <v>0.01</v>
      </c>
      <c r="F708" s="1">
        <v>0.05</v>
      </c>
      <c r="G708" s="1">
        <v>0.1</v>
      </c>
      <c r="H708" s="1">
        <v>9.81</v>
      </c>
      <c r="I708" s="1">
        <v>2650</v>
      </c>
      <c r="J708" s="1">
        <v>1000</v>
      </c>
      <c r="K708" s="1">
        <v>1.65</v>
      </c>
      <c r="L708" s="1">
        <v>6.5</v>
      </c>
      <c r="M708" s="1">
        <v>2.5</v>
      </c>
      <c r="N708" s="6">
        <v>9.9999999999999995E-7</v>
      </c>
      <c r="O708" s="1">
        <f t="shared" si="123"/>
        <v>10.212172653557417</v>
      </c>
      <c r="P708" s="1">
        <f t="shared" si="119"/>
        <v>11.089044194999135</v>
      </c>
      <c r="Q708" s="1">
        <f t="shared" si="120"/>
        <v>10.695432338286938</v>
      </c>
      <c r="R708" s="1">
        <v>125.77909999999996</v>
      </c>
      <c r="S708" s="1" t="e">
        <f t="shared" si="121"/>
        <v>#N/A</v>
      </c>
      <c r="T708" s="1" t="e">
        <v>#N/A</v>
      </c>
    </row>
    <row r="709" spans="1:20" x14ac:dyDescent="0.35">
      <c r="A709" s="1">
        <v>500244.89799999999</v>
      </c>
      <c r="B709" s="1">
        <v>5999996.9510000004</v>
      </c>
      <c r="C709" s="1">
        <v>155.94529899752101</v>
      </c>
      <c r="D709" s="1">
        <f t="shared" si="122"/>
        <v>245.18027717111886</v>
      </c>
      <c r="E709" s="1">
        <v>0.01</v>
      </c>
      <c r="F709" s="1">
        <v>0.05</v>
      </c>
      <c r="G709" s="1">
        <v>0.1</v>
      </c>
      <c r="H709" s="1">
        <v>9.81</v>
      </c>
      <c r="I709" s="1">
        <v>2650</v>
      </c>
      <c r="J709" s="1">
        <v>1000</v>
      </c>
      <c r="K709" s="1">
        <v>1.65</v>
      </c>
      <c r="L709" s="1">
        <v>6.5</v>
      </c>
      <c r="M709" s="1">
        <v>2.5</v>
      </c>
      <c r="N709" s="6">
        <v>9.9999999999999995E-7</v>
      </c>
      <c r="O709" s="1">
        <f t="shared" si="123"/>
        <v>10.228334363400478</v>
      </c>
      <c r="P709" s="1">
        <f t="shared" si="119"/>
        <v>11.738479864242503</v>
      </c>
      <c r="Q709" s="1">
        <f t="shared" si="120"/>
        <v>11.41376202962082</v>
      </c>
      <c r="R709" s="1">
        <v>125.77909999999996</v>
      </c>
      <c r="S709" s="1" t="e">
        <f t="shared" si="121"/>
        <v>#N/A</v>
      </c>
      <c r="T709" s="1" t="e">
        <v>#N/A</v>
      </c>
    </row>
    <row r="710" spans="1:20" x14ac:dyDescent="0.35">
      <c r="A710" s="1">
        <v>500255.10200000001</v>
      </c>
      <c r="B710" s="1">
        <v>5999997.8430000003</v>
      </c>
      <c r="C710" s="1">
        <v>150.21165883417899</v>
      </c>
      <c r="D710" s="1">
        <f t="shared" si="122"/>
        <v>255.42319081912635</v>
      </c>
      <c r="E710" s="1">
        <v>0.01</v>
      </c>
      <c r="F710" s="1">
        <v>0.05</v>
      </c>
      <c r="G710" s="1">
        <v>0.1</v>
      </c>
      <c r="H710" s="1">
        <v>9.81</v>
      </c>
      <c r="I710" s="1">
        <v>2650</v>
      </c>
      <c r="J710" s="1">
        <v>1000</v>
      </c>
      <c r="K710" s="1">
        <v>1.65</v>
      </c>
      <c r="L710" s="1">
        <v>6.5</v>
      </c>
      <c r="M710" s="1">
        <v>2.5</v>
      </c>
      <c r="N710" s="6">
        <v>9.9999999999999995E-7</v>
      </c>
      <c r="O710" s="1">
        <f t="shared" si="123"/>
        <v>10.228247812702051</v>
      </c>
      <c r="P710" s="1">
        <f t="shared" si="119"/>
        <v>10.415569048554094</v>
      </c>
      <c r="Q710" s="1">
        <f t="shared" si="120"/>
        <v>11.077024456398298</v>
      </c>
      <c r="R710" s="1">
        <v>125.77909999999996</v>
      </c>
      <c r="S710" s="1" t="e">
        <f t="shared" si="121"/>
        <v>#N/A</v>
      </c>
      <c r="T710" s="1" t="e">
        <v>#N/A</v>
      </c>
    </row>
    <row r="711" spans="1:20" x14ac:dyDescent="0.35">
      <c r="A711" s="1">
        <v>500265.30609999999</v>
      </c>
      <c r="B711" s="1">
        <v>5999998.2829999998</v>
      </c>
      <c r="C711" s="1">
        <v>148.17037938339399</v>
      </c>
      <c r="D711" s="1">
        <f t="shared" si="122"/>
        <v>265.63677279652296</v>
      </c>
      <c r="E711" s="1">
        <v>0.01</v>
      </c>
      <c r="F711" s="1">
        <v>0.05</v>
      </c>
      <c r="G711" s="1">
        <v>0.1</v>
      </c>
      <c r="H711" s="1">
        <v>9.81</v>
      </c>
      <c r="I711" s="1">
        <v>2650</v>
      </c>
      <c r="J711" s="1">
        <v>1000</v>
      </c>
      <c r="K711" s="1">
        <v>1.65</v>
      </c>
      <c r="L711" s="1">
        <v>6.5</v>
      </c>
      <c r="M711" s="1">
        <v>2.5</v>
      </c>
      <c r="N711" s="6">
        <v>9.9999999999999995E-7</v>
      </c>
      <c r="O711" s="1">
        <f t="shared" si="123"/>
        <v>10.23198332194535</v>
      </c>
      <c r="P711" s="1">
        <f t="shared" si="119"/>
        <v>10.753746192038282</v>
      </c>
      <c r="Q711" s="1">
        <f t="shared" si="120"/>
        <v>10.584657620296188</v>
      </c>
      <c r="R711" s="1">
        <v>125.77909999999996</v>
      </c>
      <c r="S711" s="1" t="e">
        <f t="shared" si="121"/>
        <v>#N/A</v>
      </c>
      <c r="T711" s="1" t="e">
        <v>#N/A</v>
      </c>
    </row>
    <row r="712" spans="1:20" x14ac:dyDescent="0.35">
      <c r="A712" s="1">
        <v>500275.51020000002</v>
      </c>
      <c r="B712" s="1">
        <v>5999997.3099999996</v>
      </c>
      <c r="C712" s="1">
        <v>144.91881493659599</v>
      </c>
      <c r="D712" s="1">
        <f t="shared" si="122"/>
        <v>275.88715746301705</v>
      </c>
      <c r="E712" s="1">
        <v>0.01</v>
      </c>
      <c r="F712" s="1">
        <v>0.05</v>
      </c>
      <c r="G712" s="1">
        <v>0.1</v>
      </c>
      <c r="H712" s="1">
        <v>9.81</v>
      </c>
      <c r="I712" s="1">
        <v>2650</v>
      </c>
      <c r="J712" s="1">
        <v>1000</v>
      </c>
      <c r="K712" s="1">
        <v>1.65</v>
      </c>
      <c r="L712" s="1">
        <v>6.5</v>
      </c>
      <c r="M712" s="1">
        <v>2.5</v>
      </c>
      <c r="N712" s="6">
        <v>9.9999999999999995E-7</v>
      </c>
      <c r="O712" s="1">
        <f t="shared" si="123"/>
        <v>10.247668609691146</v>
      </c>
      <c r="P712" s="1">
        <f t="shared" si="119"/>
        <v>10.247801935839309</v>
      </c>
      <c r="Q712" s="1">
        <f t="shared" si="120"/>
        <v>10.500774063938795</v>
      </c>
      <c r="R712" s="1">
        <v>125.77909999999996</v>
      </c>
      <c r="S712" s="1" t="e">
        <f t="shared" si="121"/>
        <v>#N/A</v>
      </c>
      <c r="T712" s="1" t="e">
        <v>#N/A</v>
      </c>
    </row>
    <row r="713" spans="1:20" x14ac:dyDescent="0.35">
      <c r="A713" s="1">
        <v>500285.71429999999</v>
      </c>
      <c r="B713" s="1">
        <v>5999998.2240000004</v>
      </c>
      <c r="C713" s="1">
        <v>144.67717117967001</v>
      </c>
      <c r="D713" s="1">
        <f t="shared" si="122"/>
        <v>286.13211001590525</v>
      </c>
      <c r="E713" s="1">
        <v>0.01</v>
      </c>
      <c r="F713" s="1">
        <v>0.05</v>
      </c>
      <c r="G713" s="1">
        <v>0.1</v>
      </c>
      <c r="H713" s="1">
        <v>9.81</v>
      </c>
      <c r="I713" s="1">
        <v>2650</v>
      </c>
      <c r="J713" s="1">
        <v>1000</v>
      </c>
      <c r="K713" s="1">
        <v>1.65</v>
      </c>
      <c r="L713" s="1">
        <v>6.5</v>
      </c>
      <c r="M713" s="1">
        <v>2.5</v>
      </c>
      <c r="N713" s="6">
        <v>9.9999999999999995E-7</v>
      </c>
      <c r="O713" s="1">
        <f t="shared" si="123"/>
        <v>10.245310960713113</v>
      </c>
      <c r="P713" s="1">
        <f t="shared" si="119"/>
        <v>10.773986209295044</v>
      </c>
      <c r="Q713" s="1">
        <f t="shared" si="120"/>
        <v>10.510894072567176</v>
      </c>
      <c r="R713" s="1">
        <v>125.77909999999996</v>
      </c>
      <c r="S713" s="1" t="e">
        <f t="shared" si="121"/>
        <v>#N/A</v>
      </c>
      <c r="T713" s="1" t="e">
        <v>#N/A</v>
      </c>
    </row>
    <row r="714" spans="1:20" x14ac:dyDescent="0.35">
      <c r="A714" s="1">
        <v>500295.91840000002</v>
      </c>
      <c r="B714" s="1">
        <v>5999999.1459999997</v>
      </c>
      <c r="C714" s="1">
        <v>141.344748933213</v>
      </c>
      <c r="D714" s="1">
        <f t="shared" si="122"/>
        <v>296.37777938444327</v>
      </c>
      <c r="E714" s="1">
        <v>0.01</v>
      </c>
      <c r="F714" s="1">
        <v>0.05</v>
      </c>
      <c r="G714" s="1">
        <v>0.1</v>
      </c>
      <c r="H714" s="1">
        <v>9.81</v>
      </c>
      <c r="I714" s="1">
        <v>2650</v>
      </c>
      <c r="J714" s="1">
        <v>1000</v>
      </c>
      <c r="K714" s="1">
        <v>1.65</v>
      </c>
      <c r="L714" s="1">
        <v>6.5</v>
      </c>
      <c r="M714" s="1">
        <v>2.5</v>
      </c>
      <c r="N714" s="6">
        <v>9.9999999999999995E-7</v>
      </c>
      <c r="O714" s="1">
        <f t="shared" si="123"/>
        <v>10.233098302678485</v>
      </c>
      <c r="P714" s="1">
        <f t="shared" si="119"/>
        <v>10.320041754295742</v>
      </c>
      <c r="Q714" s="1">
        <f t="shared" si="120"/>
        <v>10.547013981795393</v>
      </c>
      <c r="R714" s="1">
        <v>125.77909999999996</v>
      </c>
      <c r="S714" s="1" t="e">
        <f t="shared" si="121"/>
        <v>#N/A</v>
      </c>
      <c r="T714" s="1" t="e">
        <v>#N/A</v>
      </c>
    </row>
    <row r="715" spans="1:20" x14ac:dyDescent="0.35">
      <c r="A715" s="1">
        <v>500306.12239999999</v>
      </c>
      <c r="B715" s="1">
        <v>5999998.5650000004</v>
      </c>
      <c r="C715" s="1">
        <v>139.91503399244701</v>
      </c>
      <c r="D715" s="1">
        <f t="shared" si="122"/>
        <v>306.59830662126222</v>
      </c>
      <c r="E715" s="1">
        <v>0.01</v>
      </c>
      <c r="F715" s="1">
        <v>0.05</v>
      </c>
      <c r="G715" s="1">
        <v>0.1</v>
      </c>
      <c r="H715" s="1">
        <v>9.81</v>
      </c>
      <c r="I715" s="1">
        <v>2650</v>
      </c>
      <c r="J715" s="1">
        <v>1000</v>
      </c>
      <c r="K715" s="1">
        <v>1.65</v>
      </c>
      <c r="L715" s="1">
        <v>6.5</v>
      </c>
      <c r="M715" s="1">
        <v>2.5</v>
      </c>
      <c r="N715" s="6">
        <v>9.9999999999999995E-7</v>
      </c>
      <c r="O715" s="1">
        <f t="shared" si="123"/>
        <v>10.221874954638196</v>
      </c>
      <c r="P715" s="1">
        <f t="shared" si="119"/>
        <v>13.893706980070347</v>
      </c>
      <c r="Q715" s="1">
        <f t="shared" si="120"/>
        <v>12.106874367183044</v>
      </c>
      <c r="R715" s="1">
        <v>125.77909999999996</v>
      </c>
      <c r="S715" s="1" t="e">
        <f t="shared" si="121"/>
        <v>#N/A</v>
      </c>
      <c r="T715" s="1" t="e">
        <v>#N/A</v>
      </c>
    </row>
    <row r="716" spans="1:20" x14ac:dyDescent="0.35">
      <c r="A716" s="1">
        <v>500316.32650000002</v>
      </c>
      <c r="B716" s="1">
        <v>5999999.1900000004</v>
      </c>
      <c r="C716" s="1">
        <v>130.506484059678</v>
      </c>
      <c r="D716" s="1">
        <f t="shared" si="122"/>
        <v>316.82152929371966</v>
      </c>
      <c r="E716" s="1">
        <v>0.01</v>
      </c>
      <c r="F716" s="1">
        <v>0.05</v>
      </c>
      <c r="G716" s="1">
        <v>0.1</v>
      </c>
      <c r="H716" s="1">
        <v>9.81</v>
      </c>
      <c r="I716" s="1">
        <v>2650</v>
      </c>
      <c r="J716" s="1">
        <v>1000</v>
      </c>
      <c r="K716" s="1">
        <v>1.65</v>
      </c>
      <c r="L716" s="1">
        <v>6.5</v>
      </c>
      <c r="M716" s="1">
        <v>2.5</v>
      </c>
      <c r="N716" s="6">
        <v>9.9999999999999995E-7</v>
      </c>
      <c r="O716" s="1">
        <f t="shared" si="123"/>
        <v>10.235493697492075</v>
      </c>
      <c r="P716" s="1">
        <f t="shared" si="119"/>
        <v>10.418299398725649</v>
      </c>
      <c r="Q716" s="1">
        <f t="shared" si="120"/>
        <v>12.156003189397998</v>
      </c>
      <c r="R716" s="1">
        <v>125.77909999999996</v>
      </c>
      <c r="S716" s="1" t="e">
        <f t="shared" si="121"/>
        <v>#N/A</v>
      </c>
      <c r="T716" s="1" t="e">
        <v>#N/A</v>
      </c>
    </row>
    <row r="717" spans="1:20" x14ac:dyDescent="0.35">
      <c r="A717" s="1">
        <v>500326.5306</v>
      </c>
      <c r="B717" s="1">
        <v>6000000.1349999998</v>
      </c>
      <c r="C717" s="1">
        <v>128.62917733108401</v>
      </c>
      <c r="D717" s="1">
        <f t="shared" si="122"/>
        <v>327.06929401624637</v>
      </c>
      <c r="E717" s="1">
        <v>0.01</v>
      </c>
      <c r="F717" s="1">
        <v>0.05</v>
      </c>
      <c r="G717" s="1">
        <v>0.1</v>
      </c>
      <c r="H717" s="1">
        <v>9.81</v>
      </c>
      <c r="I717" s="1">
        <v>2650</v>
      </c>
      <c r="J717" s="1">
        <v>1000</v>
      </c>
      <c r="K717" s="1">
        <v>1.65</v>
      </c>
      <c r="L717" s="1">
        <v>6.5</v>
      </c>
      <c r="M717" s="1">
        <v>2.5</v>
      </c>
      <c r="N717" s="6">
        <v>9.9999999999999995E-7</v>
      </c>
      <c r="O717" s="1">
        <f t="shared" si="123"/>
        <v>10.241238558797846</v>
      </c>
      <c r="P717" s="1">
        <f t="shared" ref="P717:P733" si="124">SQRT((D718 - D717)^2 + (C718 - C717)^2)</f>
        <v>10.787841757464356</v>
      </c>
      <c r="Q717" s="1">
        <f t="shared" ref="Q717:Q733" si="125">IF(ROW()=685, P717/2, (P717 + P716)/2)</f>
        <v>10.603070578095004</v>
      </c>
      <c r="R717" s="1">
        <v>125.77909999999996</v>
      </c>
      <c r="S717" s="1" t="e">
        <f t="shared" ref="S717:S733" si="126">IF(R717 - C717 &lt; 0, NA(), R717 - C717)</f>
        <v>#N/A</v>
      </c>
      <c r="T717" s="1" t="e">
        <v>#N/A</v>
      </c>
    </row>
    <row r="718" spans="1:20" x14ac:dyDescent="0.35">
      <c r="A718" s="1">
        <v>500336.73469999997</v>
      </c>
      <c r="B718" s="1">
        <v>5999999.3439999996</v>
      </c>
      <c r="C718" s="1">
        <v>132.03919081702699</v>
      </c>
      <c r="D718" s="1">
        <f t="shared" ref="D718:D734" si="127">D717 + SQRT((A718 - A717)^2 + (B718 - B717)^2)</f>
        <v>337.30400641131536</v>
      </c>
      <c r="E718" s="1">
        <v>0.01</v>
      </c>
      <c r="F718" s="1">
        <v>0.05</v>
      </c>
      <c r="G718" s="1">
        <v>0.1</v>
      </c>
      <c r="H718" s="1">
        <v>9.81</v>
      </c>
      <c r="I718" s="1">
        <v>2650</v>
      </c>
      <c r="J718" s="1">
        <v>1000</v>
      </c>
      <c r="K718" s="1">
        <v>1.65</v>
      </c>
      <c r="L718" s="1">
        <v>6.5</v>
      </c>
      <c r="M718" s="1">
        <v>2.5</v>
      </c>
      <c r="N718" s="6">
        <v>9.9999999999999995E-7</v>
      </c>
      <c r="O718" s="1">
        <f t="shared" si="123"/>
        <v>10.233949248828765</v>
      </c>
      <c r="P718" s="1">
        <f t="shared" si="124"/>
        <v>11.755266476054745</v>
      </c>
      <c r="Q718" s="1">
        <f t="shared" si="125"/>
        <v>11.27155411675955</v>
      </c>
      <c r="R718" s="1">
        <v>125.77909999999996</v>
      </c>
      <c r="S718" s="1" t="e">
        <f t="shared" si="126"/>
        <v>#N/A</v>
      </c>
      <c r="T718" s="1" t="e">
        <v>#N/A</v>
      </c>
    </row>
    <row r="719" spans="1:20" x14ac:dyDescent="0.35">
      <c r="A719" s="1">
        <v>500346.9388</v>
      </c>
      <c r="B719" s="1">
        <v>5999998.5729999999</v>
      </c>
      <c r="C719" s="1">
        <v>126.254020801129</v>
      </c>
      <c r="D719" s="1">
        <f t="shared" si="127"/>
        <v>347.5371925139039</v>
      </c>
      <c r="E719" s="1">
        <v>0.01</v>
      </c>
      <c r="F719" s="1">
        <v>0.05</v>
      </c>
      <c r="G719" s="1">
        <v>0.1</v>
      </c>
      <c r="H719" s="1">
        <v>9.81</v>
      </c>
      <c r="I719" s="1">
        <v>2650</v>
      </c>
      <c r="J719" s="1">
        <v>1000</v>
      </c>
      <c r="K719" s="1">
        <v>1.65</v>
      </c>
      <c r="L719" s="1">
        <v>6.5</v>
      </c>
      <c r="M719" s="1">
        <v>2.5</v>
      </c>
      <c r="N719" s="6">
        <v>9.9999999999999995E-7</v>
      </c>
      <c r="O719" s="1">
        <f t="shared" si="123"/>
        <v>10.232552707337419</v>
      </c>
      <c r="P719" s="1">
        <f t="shared" si="124"/>
        <v>11.350607222214496</v>
      </c>
      <c r="Q719" s="1">
        <f t="shared" si="125"/>
        <v>11.552936849134621</v>
      </c>
      <c r="R719" s="1">
        <v>125.77909999999996</v>
      </c>
      <c r="S719" s="1" t="e">
        <f t="shared" si="126"/>
        <v>#N/A</v>
      </c>
      <c r="T719" s="1" t="e">
        <v>#N/A</v>
      </c>
    </row>
    <row r="720" spans="1:20" x14ac:dyDescent="0.35">
      <c r="A720" s="1">
        <v>500357.14289999998</v>
      </c>
      <c r="B720" s="1">
        <v>5999999.3269999996</v>
      </c>
      <c r="C720" s="1">
        <v>131.167686591956</v>
      </c>
      <c r="D720" s="1">
        <f t="shared" si="127"/>
        <v>357.76911182599019</v>
      </c>
      <c r="E720" s="1">
        <v>0.01</v>
      </c>
      <c r="F720" s="1">
        <v>0.05</v>
      </c>
      <c r="G720" s="1">
        <v>0.1</v>
      </c>
      <c r="H720" s="1">
        <v>9.81</v>
      </c>
      <c r="I720" s="1">
        <v>2650</v>
      </c>
      <c r="J720" s="1">
        <v>1000</v>
      </c>
      <c r="K720" s="1">
        <v>1.65</v>
      </c>
      <c r="L720" s="1">
        <v>6.5</v>
      </c>
      <c r="M720" s="1">
        <v>2.5</v>
      </c>
      <c r="N720" s="6">
        <v>9.9999999999999995E-7</v>
      </c>
      <c r="O720" s="1">
        <f t="shared" si="123"/>
        <v>10.223838765829584</v>
      </c>
      <c r="P720" s="1">
        <f t="shared" si="124"/>
        <v>10.479732415606993</v>
      </c>
      <c r="Q720" s="1">
        <f t="shared" si="125"/>
        <v>10.915169818910744</v>
      </c>
      <c r="R720" s="1">
        <v>125.77909999999996</v>
      </c>
      <c r="S720" s="1" t="e">
        <f t="shared" si="126"/>
        <v>#N/A</v>
      </c>
      <c r="T720" s="1" t="e">
        <v>#N/A</v>
      </c>
    </row>
    <row r="721" spans="1:20" x14ac:dyDescent="0.35">
      <c r="A721" s="1">
        <v>500367.3469</v>
      </c>
      <c r="B721" s="1">
        <v>5999999.8169999998</v>
      </c>
      <c r="C721" s="1">
        <v>128.83036429882799</v>
      </c>
      <c r="D721" s="1">
        <f t="shared" si="127"/>
        <v>367.98487004556307</v>
      </c>
      <c r="E721" s="1">
        <v>0.01</v>
      </c>
      <c r="F721" s="1">
        <v>0.05</v>
      </c>
      <c r="G721" s="1">
        <v>0.1</v>
      </c>
      <c r="H721" s="1">
        <v>9.81</v>
      </c>
      <c r="I721" s="1">
        <v>2650</v>
      </c>
      <c r="J721" s="1">
        <v>1000</v>
      </c>
      <c r="K721" s="1">
        <v>1.65</v>
      </c>
      <c r="L721" s="1">
        <v>6.5</v>
      </c>
      <c r="M721" s="1">
        <v>2.5</v>
      </c>
      <c r="N721" s="6">
        <v>9.9999999999999995E-7</v>
      </c>
      <c r="O721" s="1">
        <f t="shared" si="123"/>
        <v>10.224509856901079</v>
      </c>
      <c r="P721" s="1">
        <f t="shared" si="124"/>
        <v>10.91645406051112</v>
      </c>
      <c r="Q721" s="1">
        <f t="shared" si="125"/>
        <v>10.698093238059055</v>
      </c>
      <c r="R721" s="1">
        <v>125.77909999999996</v>
      </c>
      <c r="S721" s="1" t="e">
        <f t="shared" si="126"/>
        <v>#N/A</v>
      </c>
      <c r="T721" s="1" t="e">
        <v>#N/A</v>
      </c>
    </row>
    <row r="722" spans="1:20" x14ac:dyDescent="0.35">
      <c r="A722" s="1">
        <v>500377.55099999998</v>
      </c>
      <c r="B722" s="1">
        <v>5999999.0449999999</v>
      </c>
      <c r="C722" s="1">
        <v>125.029137069896</v>
      </c>
      <c r="D722" s="1">
        <f t="shared" si="127"/>
        <v>378.21813153979235</v>
      </c>
      <c r="E722" s="1">
        <v>0.01</v>
      </c>
      <c r="F722" s="1">
        <v>0.05</v>
      </c>
      <c r="G722" s="1">
        <v>0.1</v>
      </c>
      <c r="H722" s="1">
        <v>9.81</v>
      </c>
      <c r="I722" s="1">
        <v>2650</v>
      </c>
      <c r="J722" s="1">
        <v>1000</v>
      </c>
      <c r="K722" s="1">
        <v>1.65</v>
      </c>
      <c r="L722" s="1">
        <v>6.5</v>
      </c>
      <c r="M722" s="1">
        <v>2.5</v>
      </c>
      <c r="N722" s="6">
        <v>9.9999999999999995E-7</v>
      </c>
      <c r="O722" s="1">
        <f t="shared" si="123"/>
        <v>10.221049857319429</v>
      </c>
      <c r="P722" s="1">
        <f t="shared" si="124"/>
        <v>10.237547645163266</v>
      </c>
      <c r="Q722" s="1">
        <f t="shared" si="125"/>
        <v>10.577000852837193</v>
      </c>
      <c r="R722" s="1">
        <v>125.77909999999996</v>
      </c>
      <c r="S722" s="1">
        <f t="shared" si="126"/>
        <v>0.74996293010396187</v>
      </c>
      <c r="T722" s="1">
        <v>0.74996293010396187</v>
      </c>
    </row>
    <row r="723" spans="1:20" x14ac:dyDescent="0.35">
      <c r="A723" s="1">
        <v>500387.75510000001</v>
      </c>
      <c r="B723" s="1">
        <v>5999999.3559999997</v>
      </c>
      <c r="C723" s="1">
        <v>125.795298917349</v>
      </c>
      <c r="D723" s="1">
        <f t="shared" si="127"/>
        <v>388.42696976020193</v>
      </c>
      <c r="E723" s="1">
        <v>0.01</v>
      </c>
      <c r="F723" s="1">
        <v>0.05</v>
      </c>
      <c r="G723" s="1">
        <v>0.1</v>
      </c>
      <c r="H723" s="1">
        <v>9.81</v>
      </c>
      <c r="I723" s="1">
        <v>2650</v>
      </c>
      <c r="J723" s="1">
        <v>1000</v>
      </c>
      <c r="K723" s="1">
        <v>1.65</v>
      </c>
      <c r="L723" s="1">
        <v>6.5</v>
      </c>
      <c r="M723" s="1">
        <v>2.5</v>
      </c>
      <c r="N723" s="6">
        <v>9.9999999999999995E-7</v>
      </c>
      <c r="O723" s="1">
        <f t="shared" si="123"/>
        <v>10.226672955179509</v>
      </c>
      <c r="P723" s="1">
        <f t="shared" si="124"/>
        <v>14.006911426674414</v>
      </c>
      <c r="Q723" s="1">
        <f t="shared" si="125"/>
        <v>12.122229535918841</v>
      </c>
      <c r="R723" s="1">
        <v>125.77909999999996</v>
      </c>
      <c r="S723" s="1" t="e">
        <f t="shared" si="126"/>
        <v>#N/A</v>
      </c>
      <c r="T723" s="1" t="e">
        <v>#N/A</v>
      </c>
    </row>
    <row r="724" spans="1:20" x14ac:dyDescent="0.35">
      <c r="A724" s="1">
        <v>500397.95919999998</v>
      </c>
      <c r="B724" s="1">
        <v>5999998.4469999997</v>
      </c>
      <c r="C724" s="1">
        <v>135.347452072804</v>
      </c>
      <c r="D724" s="1">
        <f t="shared" si="127"/>
        <v>398.67147745015137</v>
      </c>
      <c r="E724" s="1">
        <v>0.01</v>
      </c>
      <c r="F724" s="1">
        <v>0.05</v>
      </c>
      <c r="G724" s="1">
        <v>0.1</v>
      </c>
      <c r="H724" s="1">
        <v>9.81</v>
      </c>
      <c r="I724" s="1">
        <v>2650</v>
      </c>
      <c r="J724" s="1">
        <v>1000</v>
      </c>
      <c r="K724" s="1">
        <v>1.65</v>
      </c>
      <c r="L724" s="1">
        <v>6.5</v>
      </c>
      <c r="M724" s="1">
        <v>2.5</v>
      </c>
      <c r="N724" s="6">
        <v>9.9999999999999995E-7</v>
      </c>
      <c r="O724" s="1">
        <f t="shared" si="123"/>
        <v>10.22650836474881</v>
      </c>
      <c r="P724" s="1">
        <f t="shared" si="124"/>
        <v>12.538849639326756</v>
      </c>
      <c r="Q724" s="1">
        <f t="shared" si="125"/>
        <v>13.272880533000585</v>
      </c>
      <c r="R724" s="1">
        <v>125.77909999999996</v>
      </c>
      <c r="S724" s="1" t="e">
        <f t="shared" si="126"/>
        <v>#N/A</v>
      </c>
      <c r="T724" s="1" t="e">
        <v>#N/A</v>
      </c>
    </row>
    <row r="725" spans="1:20" x14ac:dyDescent="0.35">
      <c r="A725" s="1">
        <v>500408.16330000001</v>
      </c>
      <c r="B725" s="1">
        <v>5999998.1469999999</v>
      </c>
      <c r="C725" s="1">
        <v>128.06671766842501</v>
      </c>
      <c r="D725" s="1">
        <f t="shared" si="127"/>
        <v>408.87998648969955</v>
      </c>
      <c r="E725" s="1">
        <v>0.01</v>
      </c>
      <c r="F725" s="1">
        <v>0.05</v>
      </c>
      <c r="G725" s="1">
        <v>0.1</v>
      </c>
      <c r="H725" s="1">
        <v>9.81</v>
      </c>
      <c r="I725" s="1">
        <v>2650</v>
      </c>
      <c r="J725" s="1">
        <v>1000</v>
      </c>
      <c r="K725" s="1">
        <v>1.65</v>
      </c>
      <c r="L725" s="1">
        <v>6.5</v>
      </c>
      <c r="M725" s="1">
        <v>2.5</v>
      </c>
      <c r="N725" s="6">
        <v>9.9999999999999995E-7</v>
      </c>
      <c r="O725" s="1">
        <f t="shared" si="123"/>
        <v>10.217670819070179</v>
      </c>
      <c r="P725" s="1">
        <f t="shared" si="124"/>
        <v>11.126667604014996</v>
      </c>
      <c r="Q725" s="1">
        <f t="shared" si="125"/>
        <v>11.832758621670877</v>
      </c>
      <c r="R725" s="1">
        <v>125.77909999999996</v>
      </c>
      <c r="S725" s="1" t="e">
        <f t="shared" si="126"/>
        <v>#N/A</v>
      </c>
      <c r="T725" s="1" t="e">
        <v>#N/A</v>
      </c>
    </row>
    <row r="726" spans="1:20" x14ac:dyDescent="0.35">
      <c r="A726" s="1">
        <v>500418.36729999998</v>
      </c>
      <c r="B726" s="1">
        <v>5999997.4639999997</v>
      </c>
      <c r="C726" s="1">
        <v>132.450166877736</v>
      </c>
      <c r="D726" s="1">
        <f t="shared" si="127"/>
        <v>419.10681908829173</v>
      </c>
      <c r="E726" s="1">
        <v>0.01</v>
      </c>
      <c r="F726" s="1">
        <v>0.05</v>
      </c>
      <c r="G726" s="1">
        <v>0.1</v>
      </c>
      <c r="H726" s="1">
        <v>9.81</v>
      </c>
      <c r="I726" s="1">
        <v>2650</v>
      </c>
      <c r="J726" s="1">
        <v>1000</v>
      </c>
      <c r="K726" s="1">
        <v>1.65</v>
      </c>
      <c r="L726" s="1">
        <v>6.5</v>
      </c>
      <c r="M726" s="1">
        <v>2.5</v>
      </c>
      <c r="N726" s="6">
        <v>9.9999999999999995E-7</v>
      </c>
      <c r="O726" s="1">
        <f t="shared" si="123"/>
        <v>10.219153288461655</v>
      </c>
      <c r="P726" s="1">
        <f t="shared" si="124"/>
        <v>12.259823035582844</v>
      </c>
      <c r="Q726" s="1">
        <f t="shared" si="125"/>
        <v>11.693245319798919</v>
      </c>
      <c r="R726" s="1">
        <v>125.77909999999996</v>
      </c>
      <c r="S726" s="1" t="e">
        <f t="shared" si="126"/>
        <v>#N/A</v>
      </c>
      <c r="T726" s="1" t="e">
        <v>#N/A</v>
      </c>
    </row>
    <row r="727" spans="1:20" x14ac:dyDescent="0.35">
      <c r="A727" s="1">
        <v>500428.57140000002</v>
      </c>
      <c r="B727" s="1">
        <v>5999997.0760000004</v>
      </c>
      <c r="C727" s="1">
        <v>139.234638858198</v>
      </c>
      <c r="D727" s="1">
        <f t="shared" si="127"/>
        <v>429.31829306662286</v>
      </c>
      <c r="E727" s="1">
        <v>0.01</v>
      </c>
      <c r="F727" s="1">
        <v>0.05</v>
      </c>
      <c r="G727" s="1">
        <v>0.1</v>
      </c>
      <c r="H727" s="1">
        <v>9.81</v>
      </c>
      <c r="I727" s="1">
        <v>2650</v>
      </c>
      <c r="J727" s="1">
        <v>1000</v>
      </c>
      <c r="K727" s="1">
        <v>1.65</v>
      </c>
      <c r="L727" s="1">
        <v>6.5</v>
      </c>
      <c r="M727" s="1">
        <v>2.5</v>
      </c>
      <c r="N727" s="6">
        <v>9.9999999999999995E-7</v>
      </c>
      <c r="O727" s="1">
        <f t="shared" si="123"/>
        <v>10.213570502749036</v>
      </c>
      <c r="P727" s="1">
        <f t="shared" si="124"/>
        <v>10.221862151517284</v>
      </c>
      <c r="Q727" s="1">
        <f t="shared" si="125"/>
        <v>11.240842593550063</v>
      </c>
      <c r="R727" s="1">
        <v>125.77909999999996</v>
      </c>
      <c r="S727" s="1" t="e">
        <f t="shared" si="126"/>
        <v>#N/A</v>
      </c>
      <c r="T727" s="1" t="e">
        <v>#N/A</v>
      </c>
    </row>
    <row r="728" spans="1:20" x14ac:dyDescent="0.35">
      <c r="A728" s="1">
        <v>500438.77549999999</v>
      </c>
      <c r="B728" s="1">
        <v>5999996.5899999999</v>
      </c>
      <c r="C728" s="1">
        <v>139.590466112179</v>
      </c>
      <c r="D728" s="1">
        <f t="shared" si="127"/>
        <v>439.5339600937898</v>
      </c>
      <c r="E728" s="1">
        <v>0.01</v>
      </c>
      <c r="F728" s="1">
        <v>0.05</v>
      </c>
      <c r="G728" s="1">
        <v>0.1</v>
      </c>
      <c r="H728" s="1">
        <v>9.81</v>
      </c>
      <c r="I728" s="1">
        <v>2650</v>
      </c>
      <c r="J728" s="1">
        <v>1000</v>
      </c>
      <c r="K728" s="1">
        <v>1.65</v>
      </c>
      <c r="L728" s="1">
        <v>6.5</v>
      </c>
      <c r="M728" s="1">
        <v>2.5</v>
      </c>
      <c r="N728" s="6">
        <v>9.9999999999999995E-7</v>
      </c>
      <c r="O728" s="1">
        <f t="shared" si="123"/>
        <v>10.227678867958247</v>
      </c>
      <c r="P728" s="1">
        <f t="shared" si="124"/>
        <v>10.247073843648518</v>
      </c>
      <c r="Q728" s="1">
        <f t="shared" si="125"/>
        <v>10.2344679975829</v>
      </c>
      <c r="R728" s="1">
        <v>125.77909999999996</v>
      </c>
      <c r="S728" s="1" t="e">
        <f t="shared" si="126"/>
        <v>#N/A</v>
      </c>
      <c r="T728" s="1" t="e">
        <v>#N/A</v>
      </c>
    </row>
    <row r="729" spans="1:20" x14ac:dyDescent="0.35">
      <c r="A729" s="1">
        <v>500448.97960000002</v>
      </c>
      <c r="B729" s="1">
        <v>5999995.7369999997</v>
      </c>
      <c r="C729" s="1">
        <v>139.20154896633201</v>
      </c>
      <c r="D729" s="1">
        <f t="shared" si="127"/>
        <v>449.77365080253935</v>
      </c>
      <c r="E729" s="1">
        <v>0.01</v>
      </c>
      <c r="F729" s="1">
        <v>0.05</v>
      </c>
      <c r="G729" s="1">
        <v>0.1</v>
      </c>
      <c r="H729" s="1">
        <v>9.81</v>
      </c>
      <c r="I729" s="1">
        <v>2650</v>
      </c>
      <c r="J729" s="1">
        <v>1000</v>
      </c>
      <c r="K729" s="1">
        <v>1.65</v>
      </c>
      <c r="L729" s="1">
        <v>6.5</v>
      </c>
      <c r="M729" s="1">
        <v>2.5</v>
      </c>
      <c r="N729" s="6">
        <v>9.9999999999999995E-7</v>
      </c>
      <c r="O729" s="1">
        <f t="shared" si="123"/>
        <v>10.226507982984828</v>
      </c>
      <c r="P729" s="1">
        <f t="shared" si="124"/>
        <v>10.216402783069102</v>
      </c>
      <c r="Q729" s="1">
        <f t="shared" si="125"/>
        <v>10.231738313358811</v>
      </c>
      <c r="R729" s="1">
        <v>125.77909999999996</v>
      </c>
      <c r="S729" s="1" t="e">
        <f t="shared" si="126"/>
        <v>#N/A</v>
      </c>
      <c r="T729" s="1" t="e">
        <v>#N/A</v>
      </c>
    </row>
    <row r="730" spans="1:20" x14ac:dyDescent="0.35">
      <c r="A730" s="1">
        <v>500459.18369999999</v>
      </c>
      <c r="B730" s="1">
        <v>5999996.1710000001</v>
      </c>
      <c r="C730" s="1">
        <v>138.95080404388699</v>
      </c>
      <c r="D730" s="1">
        <f t="shared" si="127"/>
        <v>459.98697605975946</v>
      </c>
      <c r="E730" s="1">
        <v>0.01</v>
      </c>
      <c r="F730" s="1">
        <v>0.05</v>
      </c>
      <c r="G730" s="1">
        <v>0.1</v>
      </c>
      <c r="H730" s="1">
        <v>9.81</v>
      </c>
      <c r="I730" s="1">
        <v>2650</v>
      </c>
      <c r="J730" s="1">
        <v>1000</v>
      </c>
      <c r="K730" s="1">
        <v>1.65</v>
      </c>
      <c r="L730" s="1">
        <v>6.5</v>
      </c>
      <c r="M730" s="1">
        <v>2.5</v>
      </c>
      <c r="N730" s="6">
        <v>9.9999999999999995E-7</v>
      </c>
      <c r="O730" s="1">
        <f t="shared" si="123"/>
        <v>10.228563101333435</v>
      </c>
      <c r="P730" s="1">
        <f t="shared" si="124"/>
        <v>10.24381622597874</v>
      </c>
      <c r="Q730" s="1">
        <f t="shared" si="125"/>
        <v>10.23010950452392</v>
      </c>
      <c r="R730" s="1">
        <v>125.77909999999996</v>
      </c>
      <c r="S730" s="1" t="e">
        <f t="shared" si="126"/>
        <v>#N/A</v>
      </c>
      <c r="T730" s="1" t="e">
        <v>#N/A</v>
      </c>
    </row>
    <row r="731" spans="1:20" x14ac:dyDescent="0.35">
      <c r="A731" s="1">
        <v>500469.38780000003</v>
      </c>
      <c r="B731" s="1">
        <v>5999997.0719999997</v>
      </c>
      <c r="C731" s="1">
        <v>138.933110494517</v>
      </c>
      <c r="D731" s="1">
        <f t="shared" si="127"/>
        <v>470.23077700520622</v>
      </c>
      <c r="E731" s="1">
        <v>0.01</v>
      </c>
      <c r="F731" s="1">
        <v>0.05</v>
      </c>
      <c r="G731" s="1">
        <v>0.1</v>
      </c>
      <c r="H731" s="1">
        <v>9.81</v>
      </c>
      <c r="I731" s="1">
        <v>2650</v>
      </c>
      <c r="J731" s="1">
        <v>1000</v>
      </c>
      <c r="K731" s="1">
        <v>1.65</v>
      </c>
      <c r="L731" s="1">
        <v>6.5</v>
      </c>
      <c r="M731" s="1">
        <v>2.5</v>
      </c>
      <c r="N731" s="6">
        <v>9.9999999999999995E-7</v>
      </c>
      <c r="O731" s="1">
        <f t="shared" si="123"/>
        <v>10.235585469869676</v>
      </c>
      <c r="P731" s="1">
        <f t="shared" si="124"/>
        <v>14.038699271405504</v>
      </c>
      <c r="Q731" s="1">
        <f t="shared" si="125"/>
        <v>12.141257748692123</v>
      </c>
      <c r="R731" s="1">
        <v>125.77909999999996</v>
      </c>
      <c r="S731" s="1" t="e">
        <f t="shared" si="126"/>
        <v>#N/A</v>
      </c>
      <c r="T731" s="1" t="e">
        <v>#N/A</v>
      </c>
    </row>
    <row r="732" spans="1:20" x14ac:dyDescent="0.35">
      <c r="A732" s="1">
        <v>500479.59179999999</v>
      </c>
      <c r="B732" s="1">
        <v>5999997.7630000003</v>
      </c>
      <c r="C732" s="1">
        <v>148.55007364474301</v>
      </c>
      <c r="D732" s="1">
        <f t="shared" si="127"/>
        <v>480.45814699949881</v>
      </c>
      <c r="E732" s="1">
        <v>0.01</v>
      </c>
      <c r="F732" s="1">
        <v>0.05</v>
      </c>
      <c r="G732" s="1">
        <v>0.1</v>
      </c>
      <c r="H732" s="1">
        <v>9.81</v>
      </c>
      <c r="I732" s="1">
        <v>2650</v>
      </c>
      <c r="J732" s="1">
        <v>1000</v>
      </c>
      <c r="K732" s="1">
        <v>1.65</v>
      </c>
      <c r="L732" s="1">
        <v>6.5</v>
      </c>
      <c r="M732" s="1">
        <v>2.5</v>
      </c>
      <c r="N732" s="6">
        <v>9.9999999999999995E-7</v>
      </c>
      <c r="O732" s="1">
        <f t="shared" si="123"/>
        <v>10.217030880251457</v>
      </c>
      <c r="P732" s="1">
        <f t="shared" si="124"/>
        <v>10.496604105828091</v>
      </c>
      <c r="Q732" s="1">
        <f t="shared" si="125"/>
        <v>12.267651688616798</v>
      </c>
      <c r="R732" s="1">
        <v>125.77909999999996</v>
      </c>
      <c r="S732" s="1" t="e">
        <f t="shared" si="126"/>
        <v>#N/A</v>
      </c>
      <c r="T732" s="1" t="e">
        <v>#N/A</v>
      </c>
    </row>
    <row r="733" spans="1:20" x14ac:dyDescent="0.35">
      <c r="A733" s="1">
        <v>500489.79590000003</v>
      </c>
      <c r="B733" s="1">
        <v>5999997.9929999998</v>
      </c>
      <c r="C733" s="1">
        <v>146.10014692256101</v>
      </c>
      <c r="D733" s="1">
        <f t="shared" si="127"/>
        <v>490.66483876570913</v>
      </c>
      <c r="E733" s="1">
        <v>0.01</v>
      </c>
      <c r="F733" s="1">
        <v>0.05</v>
      </c>
      <c r="G733" s="1">
        <v>0.1</v>
      </c>
      <c r="H733" s="1">
        <v>9.81</v>
      </c>
      <c r="I733" s="1">
        <v>2650</v>
      </c>
      <c r="J733" s="1">
        <v>1000</v>
      </c>
      <c r="K733" s="1">
        <v>1.65</v>
      </c>
      <c r="L733" s="1">
        <v>6.5</v>
      </c>
      <c r="M733" s="1">
        <v>2.5</v>
      </c>
      <c r="N733" s="6">
        <v>9.9999999999999995E-7</v>
      </c>
      <c r="O733" s="1">
        <f t="shared" si="123"/>
        <v>10.209902888805345</v>
      </c>
      <c r="P733" s="1">
        <f t="shared" si="124"/>
        <v>10.652346301971106</v>
      </c>
      <c r="Q733" s="1">
        <f t="shared" si="125"/>
        <v>10.574475203899599</v>
      </c>
      <c r="R733" s="1">
        <v>125.77909999999996</v>
      </c>
      <c r="S733" s="1" t="e">
        <f t="shared" si="126"/>
        <v>#N/A</v>
      </c>
      <c r="T733" s="1" t="e">
        <v>#N/A</v>
      </c>
    </row>
    <row r="734" spans="1:20" x14ac:dyDescent="0.35">
      <c r="A734" s="1">
        <v>500500</v>
      </c>
      <c r="B734" s="1">
        <v>5999998.4220000003</v>
      </c>
      <c r="C734" s="1">
        <v>149.127486336511</v>
      </c>
      <c r="D734" s="1">
        <f t="shared" si="127"/>
        <v>500.8779527771095</v>
      </c>
      <c r="E734" s="1">
        <v>0.01</v>
      </c>
      <c r="F734" s="1">
        <v>0.05</v>
      </c>
      <c r="G734" s="1">
        <v>0.1</v>
      </c>
      <c r="H734" s="1">
        <v>9.81</v>
      </c>
      <c r="I734" s="1">
        <v>2650</v>
      </c>
      <c r="J734" s="1">
        <v>1000</v>
      </c>
      <c r="K734" s="1">
        <v>1.65</v>
      </c>
      <c r="L734" s="1">
        <v>6.5</v>
      </c>
      <c r="M734" s="1">
        <v>2.5</v>
      </c>
      <c r="N734" s="6">
        <v>9.9999999999999995E-7</v>
      </c>
      <c r="O734" s="1">
        <f xml:space="preserve"> (D734 - D733) / 2</f>
        <v>5.1065570057001821</v>
      </c>
    </row>
    <row r="737" spans="1:57" x14ac:dyDescent="0.35">
      <c r="A737" s="1" t="s">
        <v>0</v>
      </c>
      <c r="B737" s="1" t="s">
        <v>1</v>
      </c>
      <c r="C737" s="1" t="s">
        <v>2</v>
      </c>
      <c r="D737" s="1" t="s">
        <v>18</v>
      </c>
      <c r="E737" s="1" t="s">
        <v>67</v>
      </c>
      <c r="F737" s="1" t="s">
        <v>66</v>
      </c>
      <c r="G737" s="1" t="s">
        <v>65</v>
      </c>
      <c r="H737" s="1" t="s">
        <v>64</v>
      </c>
      <c r="I737" s="1" t="s">
        <v>63</v>
      </c>
      <c r="J737" s="1" t="s">
        <v>62</v>
      </c>
      <c r="K737" s="1" t="s">
        <v>61</v>
      </c>
      <c r="L737" s="1" t="s">
        <v>60</v>
      </c>
      <c r="M737" s="1" t="s">
        <v>59</v>
      </c>
      <c r="N737" s="1" t="s">
        <v>58</v>
      </c>
      <c r="O737" s="1" t="s">
        <v>57</v>
      </c>
      <c r="P737" s="1" t="s">
        <v>56</v>
      </c>
      <c r="Q737" s="1" t="s">
        <v>55</v>
      </c>
      <c r="R737" s="1" t="s">
        <v>54</v>
      </c>
      <c r="S737" s="1" t="s">
        <v>16</v>
      </c>
      <c r="T737" s="1" t="s">
        <v>53</v>
      </c>
      <c r="U737" s="10" t="s">
        <v>52</v>
      </c>
      <c r="V737" s="10" t="s">
        <v>51</v>
      </c>
      <c r="W737" s="10" t="s">
        <v>50</v>
      </c>
      <c r="X737" s="10" t="s">
        <v>49</v>
      </c>
      <c r="Y737" s="1" t="s">
        <v>48</v>
      </c>
      <c r="Z737" s="1" t="s">
        <v>47</v>
      </c>
      <c r="AA737" s="1" t="s">
        <v>46</v>
      </c>
      <c r="AB737" s="1" t="s">
        <v>45</v>
      </c>
      <c r="AC737" s="1" t="s">
        <v>44</v>
      </c>
      <c r="AD737" s="1" t="s">
        <v>43</v>
      </c>
      <c r="AE737" s="1" t="s">
        <v>42</v>
      </c>
      <c r="AF737" s="1" t="s">
        <v>41</v>
      </c>
      <c r="AG737" s="1" t="s">
        <v>40</v>
      </c>
      <c r="AH737" s="1" t="s">
        <v>39</v>
      </c>
      <c r="AI737" s="1" t="s">
        <v>38</v>
      </c>
      <c r="AJ737" s="1" t="s">
        <v>37</v>
      </c>
      <c r="AK737" s="1" t="s">
        <v>36</v>
      </c>
      <c r="AL737" s="1" t="s">
        <v>35</v>
      </c>
      <c r="AM737" s="1" t="s">
        <v>34</v>
      </c>
      <c r="AN737" s="1" t="s">
        <v>34</v>
      </c>
      <c r="AO737" s="7" t="s">
        <v>33</v>
      </c>
      <c r="AP737" s="7" t="s">
        <v>32</v>
      </c>
      <c r="AQ737" s="7" t="s">
        <v>31</v>
      </c>
      <c r="AR737" s="7" t="s">
        <v>30</v>
      </c>
      <c r="AS737" s="7" t="s">
        <v>29</v>
      </c>
      <c r="AT737" s="7" t="s">
        <v>28</v>
      </c>
      <c r="AU737" s="7" t="s">
        <v>27</v>
      </c>
      <c r="AV737" s="7" t="s">
        <v>27</v>
      </c>
      <c r="AW737" s="1" t="s">
        <v>26</v>
      </c>
      <c r="AX737" s="1" t="s">
        <v>25</v>
      </c>
      <c r="AY737" s="1" t="s">
        <v>24</v>
      </c>
      <c r="AZ737" s="1" t="s">
        <v>23</v>
      </c>
      <c r="BA737" s="1" t="s">
        <v>22</v>
      </c>
      <c r="BB737" s="1" t="s">
        <v>21</v>
      </c>
      <c r="BC737" s="1" t="s">
        <v>20</v>
      </c>
      <c r="BD737" s="1" t="s">
        <v>20</v>
      </c>
      <c r="BE737" s="1" t="s">
        <v>19</v>
      </c>
    </row>
    <row r="738" spans="1:57" x14ac:dyDescent="0.35">
      <c r="A738" s="1">
        <v>500000</v>
      </c>
      <c r="B738" s="1">
        <v>5999999.0959999999</v>
      </c>
      <c r="C738" s="1">
        <v>146.95665459614199</v>
      </c>
      <c r="D738" s="1">
        <v>0</v>
      </c>
      <c r="E738" s="1">
        <v>0.01</v>
      </c>
      <c r="F738" s="1">
        <v>0.05</v>
      </c>
      <c r="G738" s="1">
        <v>0.1</v>
      </c>
      <c r="H738" s="1">
        <v>9.81</v>
      </c>
      <c r="I738" s="1">
        <v>2650</v>
      </c>
      <c r="J738" s="1">
        <v>1000</v>
      </c>
      <c r="K738" s="1">
        <v>1.65</v>
      </c>
      <c r="L738" s="1">
        <v>6.5</v>
      </c>
      <c r="M738" s="1">
        <v>2.5</v>
      </c>
      <c r="N738" s="6">
        <v>9.9999999999999995E-7</v>
      </c>
      <c r="O738" s="1">
        <f xml:space="preserve"> (D739 - D738) / 2</f>
        <v>5.1061868798967165</v>
      </c>
      <c r="P738" s="1">
        <f t="shared" ref="P738:P769" si="128">SQRT((D739 - D738)^2 + (C739 - C738)^2)</f>
        <v>12.612081347143071</v>
      </c>
      <c r="Q738" s="1">
        <f t="shared" ref="Q738:Q769" si="129">IF(ROW()=738, P738/2, (P738 + P737)/2)</f>
        <v>6.3060406735715357</v>
      </c>
      <c r="R738" s="1">
        <v>125.82909999999995</v>
      </c>
      <c r="S738" s="1" t="e">
        <f t="shared" ref="S738:S769" si="130">IF(R738 - C738 &lt; 0, NA(), R738 - C738)</f>
        <v>#N/A</v>
      </c>
      <c r="T738" s="1" t="e">
        <v>#N/A</v>
      </c>
      <c r="U738" s="10" cm="1">
        <f t="array" ref="U738">SUMPRODUCT(IF(ISNA(T738:T787), 0, T738:T787), IF(ISNA(O738:O787), 0, O738:O787))</f>
        <v>8.522133610402193</v>
      </c>
      <c r="V738" s="10">
        <f>SUMIF(S738:S787, "&gt;0", O738:O787)</f>
        <v>20.447722812498938</v>
      </c>
      <c r="W738" s="10">
        <f>SUMIF(S738:S787, "&gt;0", Q738:Q787)</f>
        <v>22.699230388756035</v>
      </c>
      <c r="X738" s="10">
        <f>U738/W738</f>
        <v>0.37543711678540409</v>
      </c>
      <c r="Y738" s="1">
        <f xml:space="preserve"> (6.5 * 2.5 * (X738 / G738)) / SQRT(6.5^2 + 2.5^2 * (X738 / G738)^(5/3))</f>
        <v>6.1337076998693645</v>
      </c>
      <c r="Z738" s="1">
        <f>Y738*SQRT(X738*H738*E738)</f>
        <v>1.1771347554747484</v>
      </c>
      <c r="AA738" s="1">
        <f>J738*H738*X738*E738</f>
        <v>36.830381156648144</v>
      </c>
      <c r="AB738" s="1">
        <f>(AA738 / (9.81 * 1000 *1.65 * F738))</f>
        <v>4.5507529307321708E-2</v>
      </c>
      <c r="AC738" s="9">
        <f xml:space="preserve"> F738 * (K738 * H738 / (N738)^2)^(1/3)</f>
        <v>1264.7974700106745</v>
      </c>
      <c r="AD738" s="1">
        <f xml:space="preserve"> 0.3 / (1 + 1.2 * AC738) + 0.055 * (1 - EXP(-0.02 * AC738))</f>
        <v>5.5197529957883754E-2</v>
      </c>
      <c r="AE738" s="1">
        <f>IF(AC738 &lt;= 4, 0.24 * AC738^-1, IF(AC738 &gt; 4, IF(AC738 &lt;= 10, 0.14 * AC738^-0.64, IF(AC738 &lt;= 20, 0.04 * AC738^-0.1, IF(AC738 &lt;= 150, 0.013 * AC738^0.29, 0.056)))))</f>
        <v>5.6000000000000001E-2</v>
      </c>
      <c r="AF738" s="1">
        <f>AB738/AD738-1</f>
        <v>-0.17555134546700935</v>
      </c>
      <c r="AG738" s="1">
        <f xml:space="preserve"> 2.45 * SQRT(AD738) / (K738 + 1)^0.4</f>
        <v>0.38978718496890047</v>
      </c>
      <c r="AH738" s="1">
        <f>SQRT(2/3 + 36 / AC738^3) - SQRT(36 / AC738^3)</f>
        <v>0.81636320289979147</v>
      </c>
      <c r="AI738" s="1">
        <f>AA738* Z738 / (J738 * (H738* K738 * F738)^(3/2))</f>
        <v>5.9545365054722889E-2</v>
      </c>
      <c r="AJ738" s="1">
        <f>AD738* K738 * F738 / E738</f>
        <v>0.45537962215254096</v>
      </c>
      <c r="AK738" s="1">
        <f>Y738 * AD738^(3/2)</f>
        <v>7.9543105345866033E-2</v>
      </c>
      <c r="AL738" s="1">
        <f>(0.92 - 0.25 * SQRT(AK738 / AI738))^9</f>
        <v>1.5870704084484519E-2</v>
      </c>
      <c r="AM738" s="1">
        <v>5.2759527000000001E-2</v>
      </c>
      <c r="AN738" s="1">
        <v>4.7434165E-2</v>
      </c>
      <c r="AO738" s="7">
        <f>IF(AB738 &gt; 0.047, 8 * (AB738 - 0.047)^(3/2), 0)</f>
        <v>0</v>
      </c>
      <c r="AP738" s="7">
        <f>IF(AB738&gt; 0.047, 4 * (AB738 - 0.047)^(3/2), 0)</f>
        <v>0</v>
      </c>
      <c r="AQ738" s="7" t="e">
        <f xml:space="preserve"> (0.053 / AC738^(0.3)) * ((AB738 / AE738) - 1)^2.1</f>
        <v>#NUM!</v>
      </c>
      <c r="AR738" s="7">
        <f xml:space="preserve"> IF(AB738 &gt; AD738, 0.635 * AF738 * SQRT(AB738) * (1 - (1 / (AG738*AF738)) * LOG(1 + AF738*AG738)), 0)</f>
        <v>0</v>
      </c>
      <c r="AS738" s="8">
        <f>IF(AB738&gt;= 0.19, 40 * AH738 * AB738^3, (AH738 * EXP(-0.391 / AB738)) / 0.465)</f>
        <v>3.2582085701672093E-4</v>
      </c>
      <c r="AT738" s="7">
        <f>AL738* AI738</f>
        <v>9.4502686838611233E-4</v>
      </c>
      <c r="AU738" s="7">
        <f>14 * AB738^2.5 / (1 + (AM738/AB738)^4)</f>
        <v>2.2036882839389627E-3</v>
      </c>
      <c r="AV738" s="7">
        <f>14*AB738^2.5/(1+(AN738/AB738)^4)</f>
        <v>2.8366025250518827E-3</v>
      </c>
      <c r="AW738" s="1">
        <f>AO738*SQRT(1.65*9.81*F738^3)</f>
        <v>0</v>
      </c>
      <c r="AX738" s="1">
        <f>AP738*SQRT(1.65*9.81*F738^3)</f>
        <v>0</v>
      </c>
      <c r="AY738" s="1" t="e">
        <f>AQ738*SQRT(1.65*9.81*F738^3)</f>
        <v>#NUM!</v>
      </c>
      <c r="AZ738" s="1">
        <f>AR738*SQRT(1.65*9.81*F738^3)</f>
        <v>0</v>
      </c>
      <c r="BA738" s="1">
        <f>AS738*SQRT(1.65*9.81*F738^3)</f>
        <v>1.4655828151415072E-5</v>
      </c>
      <c r="BB738" s="1">
        <f>AT738*SQRT(1.65*9.81*F738^3)</f>
        <v>4.2508486130542681E-5</v>
      </c>
      <c r="BC738" s="1">
        <f>AU738*SQRT(1.65*9.81*G738^3)</f>
        <v>2.8036683467764015E-4</v>
      </c>
      <c r="BD738" s="1">
        <f>AV738*SQRT(1.65*9.81*G738^3)</f>
        <v>3.6089009365964644E-4</v>
      </c>
      <c r="BE738" s="1">
        <f>U738*Z738</f>
        <v>10.03169966360392</v>
      </c>
    </row>
    <row r="739" spans="1:57" x14ac:dyDescent="0.35">
      <c r="A739" s="1">
        <v>500010.20409999997</v>
      </c>
      <c r="B739" s="1">
        <v>5999998.6849999996</v>
      </c>
      <c r="C739" s="1">
        <v>154.35746658519</v>
      </c>
      <c r="D739" s="1">
        <f t="shared" ref="D739:D770" si="131">D738 + SQRT((A739 - A738)^2 + (B739 - B738)^2)</f>
        <v>10.212373759793433</v>
      </c>
      <c r="E739" s="1">
        <v>0.01</v>
      </c>
      <c r="F739" s="1">
        <v>0.05</v>
      </c>
      <c r="G739" s="1">
        <v>0.1</v>
      </c>
      <c r="H739" s="1">
        <v>9.81</v>
      </c>
      <c r="I739" s="1">
        <v>2650</v>
      </c>
      <c r="J739" s="1">
        <v>1000</v>
      </c>
      <c r="K739" s="1">
        <v>1.65</v>
      </c>
      <c r="L739" s="1">
        <v>6.5</v>
      </c>
      <c r="M739" s="1">
        <v>2.5</v>
      </c>
      <c r="N739" s="6">
        <v>9.9999999999999995E-7</v>
      </c>
      <c r="O739" s="1">
        <f t="shared" ref="O739:O786" si="132" xml:space="preserve"> (D740 - D739 + D739 - D738) / 2</f>
        <v>10.212934886473896</v>
      </c>
      <c r="P739" s="1">
        <f t="shared" si="128"/>
        <v>10.748393624242958</v>
      </c>
      <c r="Q739" s="1">
        <f t="shared" si="129"/>
        <v>11.680237485693015</v>
      </c>
      <c r="R739" s="1">
        <v>125.82909999999995</v>
      </c>
      <c r="S739" s="1" t="e">
        <f t="shared" si="130"/>
        <v>#N/A</v>
      </c>
      <c r="T739" s="1" t="e">
        <v>#N/A</v>
      </c>
      <c r="AO739" s="7"/>
      <c r="AP739" s="7"/>
      <c r="AQ739" s="7"/>
      <c r="AR739" s="7"/>
      <c r="AS739" s="7"/>
      <c r="AT739" s="7"/>
      <c r="AU739" s="7"/>
      <c r="AV739" s="7"/>
    </row>
    <row r="740" spans="1:57" x14ac:dyDescent="0.35">
      <c r="A740" s="1">
        <v>500020.40820000001</v>
      </c>
      <c r="B740" s="1">
        <v>5999999.1229999997</v>
      </c>
      <c r="C740" s="1">
        <v>151.008964727501</v>
      </c>
      <c r="D740" s="1">
        <f t="shared" si="131"/>
        <v>20.425869772947792</v>
      </c>
      <c r="E740" s="1">
        <v>0.01</v>
      </c>
      <c r="F740" s="1">
        <v>0.05</v>
      </c>
      <c r="G740" s="1">
        <v>0.1</v>
      </c>
      <c r="H740" s="1">
        <v>9.81</v>
      </c>
      <c r="I740" s="1">
        <v>2650</v>
      </c>
      <c r="J740" s="1">
        <v>1000</v>
      </c>
      <c r="K740" s="1">
        <v>1.65</v>
      </c>
      <c r="L740" s="1">
        <v>6.5</v>
      </c>
      <c r="M740" s="1">
        <v>2.5</v>
      </c>
      <c r="N740" s="6">
        <v>9.9999999999999995E-7</v>
      </c>
      <c r="O740" s="1">
        <f t="shared" si="132"/>
        <v>10.21125621009096</v>
      </c>
      <c r="P740" s="1">
        <f t="shared" si="128"/>
        <v>13.985433799960637</v>
      </c>
      <c r="Q740" s="1">
        <f t="shared" si="129"/>
        <v>12.366913712101798</v>
      </c>
      <c r="R740" s="1">
        <v>125.82909999999995</v>
      </c>
      <c r="S740" s="1" t="e">
        <f t="shared" si="130"/>
        <v>#N/A</v>
      </c>
      <c r="T740" s="1" t="e">
        <v>#N/A</v>
      </c>
    </row>
    <row r="741" spans="1:57" x14ac:dyDescent="0.35">
      <c r="A741" s="1">
        <v>500030.61219999997</v>
      </c>
      <c r="B741" s="1">
        <v>5999998.8030000003</v>
      </c>
      <c r="C741" s="1">
        <v>160.567643641144</v>
      </c>
      <c r="D741" s="1">
        <f t="shared" si="131"/>
        <v>30.634886179975354</v>
      </c>
      <c r="E741" s="1">
        <v>0.01</v>
      </c>
      <c r="F741" s="1">
        <v>0.05</v>
      </c>
      <c r="G741" s="1">
        <v>0.1</v>
      </c>
      <c r="H741" s="1">
        <v>9.81</v>
      </c>
      <c r="I741" s="1">
        <v>2650</v>
      </c>
      <c r="J741" s="1">
        <v>1000</v>
      </c>
      <c r="K741" s="1">
        <v>1.65</v>
      </c>
      <c r="L741" s="1">
        <v>6.5</v>
      </c>
      <c r="M741" s="1">
        <v>2.5</v>
      </c>
      <c r="N741" s="6">
        <v>9.9999999999999995E-7</v>
      </c>
      <c r="O741" s="1">
        <f t="shared" si="132"/>
        <v>10.214935822867286</v>
      </c>
      <c r="P741" s="1">
        <f t="shared" si="128"/>
        <v>10.224042445454263</v>
      </c>
      <c r="Q741" s="1">
        <f t="shared" si="129"/>
        <v>12.104738122707449</v>
      </c>
      <c r="R741" s="1">
        <v>125.82909999999995</v>
      </c>
      <c r="S741" s="1" t="e">
        <f t="shared" si="130"/>
        <v>#N/A</v>
      </c>
      <c r="T741" s="1" t="e">
        <v>#N/A</v>
      </c>
    </row>
    <row r="742" spans="1:57" x14ac:dyDescent="0.35">
      <c r="A742" s="1">
        <v>500040.81630000001</v>
      </c>
      <c r="B742" s="1">
        <v>5999998.2180000003</v>
      </c>
      <c r="C742" s="1">
        <v>160.82291235416201</v>
      </c>
      <c r="D742" s="1">
        <f t="shared" si="131"/>
        <v>40.855741418682364</v>
      </c>
      <c r="E742" s="1">
        <v>0.01</v>
      </c>
      <c r="F742" s="1">
        <v>0.05</v>
      </c>
      <c r="G742" s="1">
        <v>0.1</v>
      </c>
      <c r="H742" s="1">
        <v>9.81</v>
      </c>
      <c r="I742" s="1">
        <v>2650</v>
      </c>
      <c r="J742" s="1">
        <v>1000</v>
      </c>
      <c r="K742" s="1">
        <v>1.65</v>
      </c>
      <c r="L742" s="1">
        <v>6.5</v>
      </c>
      <c r="M742" s="1">
        <v>2.5</v>
      </c>
      <c r="N742" s="6">
        <v>9.9999999999999995E-7</v>
      </c>
      <c r="O742" s="1">
        <f t="shared" si="132"/>
        <v>10.231243785008825</v>
      </c>
      <c r="P742" s="1">
        <f t="shared" si="128"/>
        <v>10.333484931908488</v>
      </c>
      <c r="Q742" s="1">
        <f t="shared" si="129"/>
        <v>10.278763688681376</v>
      </c>
      <c r="R742" s="1">
        <v>125.82909999999995</v>
      </c>
      <c r="S742" s="1" t="e">
        <f t="shared" si="130"/>
        <v>#N/A</v>
      </c>
      <c r="T742" s="1" t="e">
        <v>#N/A</v>
      </c>
    </row>
    <row r="743" spans="1:57" x14ac:dyDescent="0.35">
      <c r="A743" s="1">
        <v>500051.02039999998</v>
      </c>
      <c r="B743" s="1">
        <v>5999997.3420000002</v>
      </c>
      <c r="C743" s="1">
        <v>159.448184007094</v>
      </c>
      <c r="D743" s="1">
        <f t="shared" si="131"/>
        <v>51.097373749993004</v>
      </c>
      <c r="E743" s="1">
        <v>0.01</v>
      </c>
      <c r="F743" s="1">
        <v>0.05</v>
      </c>
      <c r="G743" s="1">
        <v>0.1</v>
      </c>
      <c r="H743" s="1">
        <v>9.81</v>
      </c>
      <c r="I743" s="1">
        <v>2650</v>
      </c>
      <c r="J743" s="1">
        <v>1000</v>
      </c>
      <c r="K743" s="1">
        <v>1.65</v>
      </c>
      <c r="L743" s="1">
        <v>6.5</v>
      </c>
      <c r="M743" s="1">
        <v>2.5</v>
      </c>
      <c r="N743" s="6">
        <v>9.9999999999999995E-7</v>
      </c>
      <c r="O743" s="1">
        <f t="shared" si="132"/>
        <v>10.22297614478725</v>
      </c>
      <c r="P743" s="1">
        <f t="shared" si="128"/>
        <v>11.164078602095582</v>
      </c>
      <c r="Q743" s="1">
        <f t="shared" si="129"/>
        <v>10.748781767002036</v>
      </c>
      <c r="R743" s="1">
        <v>125.82909999999995</v>
      </c>
      <c r="S743" s="1" t="e">
        <f t="shared" si="130"/>
        <v>#N/A</v>
      </c>
      <c r="T743" s="1" t="e">
        <v>#N/A</v>
      </c>
    </row>
    <row r="744" spans="1:57" x14ac:dyDescent="0.35">
      <c r="A744" s="1">
        <v>500061.22450000001</v>
      </c>
      <c r="B744" s="1">
        <v>5999997.2750000004</v>
      </c>
      <c r="C744" s="1">
        <v>163.976815723534</v>
      </c>
      <c r="D744" s="1">
        <f t="shared" si="131"/>
        <v>61.301693708256863</v>
      </c>
      <c r="E744" s="1">
        <v>0.01</v>
      </c>
      <c r="F744" s="1">
        <v>0.05</v>
      </c>
      <c r="G744" s="1">
        <v>0.1</v>
      </c>
      <c r="H744" s="1">
        <v>9.81</v>
      </c>
      <c r="I744" s="1">
        <v>2650</v>
      </c>
      <c r="J744" s="1">
        <v>1000</v>
      </c>
      <c r="K744" s="1">
        <v>1.65</v>
      </c>
      <c r="L744" s="1">
        <v>6.5</v>
      </c>
      <c r="M744" s="1">
        <v>2.5</v>
      </c>
      <c r="N744" s="6">
        <v>9.9999999999999995E-7</v>
      </c>
      <c r="O744" s="1">
        <f t="shared" si="132"/>
        <v>10.209391538632293</v>
      </c>
      <c r="P744" s="1">
        <f t="shared" si="128"/>
        <v>11.034750060361873</v>
      </c>
      <c r="Q744" s="1">
        <f t="shared" si="129"/>
        <v>11.099414331228727</v>
      </c>
      <c r="R744" s="1">
        <v>125.82909999999995</v>
      </c>
      <c r="S744" s="1" t="e">
        <f t="shared" si="130"/>
        <v>#N/A</v>
      </c>
      <c r="T744" s="1" t="e">
        <v>#N/A</v>
      </c>
    </row>
    <row r="745" spans="1:57" x14ac:dyDescent="0.35">
      <c r="A745" s="1">
        <v>500071.42859999998</v>
      </c>
      <c r="B745" s="1">
        <v>5999996.8150000004</v>
      </c>
      <c r="C745" s="1">
        <v>168.15179501512699</v>
      </c>
      <c r="D745" s="1">
        <f t="shared" si="131"/>
        <v>71.516156827257589</v>
      </c>
      <c r="E745" s="1">
        <v>0.01</v>
      </c>
      <c r="F745" s="1">
        <v>0.05</v>
      </c>
      <c r="G745" s="1">
        <v>0.1</v>
      </c>
      <c r="H745" s="1">
        <v>9.81</v>
      </c>
      <c r="I745" s="1">
        <v>2650</v>
      </c>
      <c r="J745" s="1">
        <v>1000</v>
      </c>
      <c r="K745" s="1">
        <v>1.65</v>
      </c>
      <c r="L745" s="1">
        <v>6.5</v>
      </c>
      <c r="M745" s="1">
        <v>2.5</v>
      </c>
      <c r="N745" s="6">
        <v>9.9999999999999995E-7</v>
      </c>
      <c r="O745" s="1">
        <f t="shared" si="132"/>
        <v>10.229976351370027</v>
      </c>
      <c r="P745" s="1">
        <f t="shared" si="128"/>
        <v>11.687505241745082</v>
      </c>
      <c r="Q745" s="1">
        <f t="shared" si="129"/>
        <v>11.361127651053478</v>
      </c>
      <c r="R745" s="1">
        <v>125.82909999999995</v>
      </c>
      <c r="S745" s="1" t="e">
        <f t="shared" si="130"/>
        <v>#N/A</v>
      </c>
      <c r="T745" s="1" t="e">
        <v>#N/A</v>
      </c>
    </row>
    <row r="746" spans="1:57" x14ac:dyDescent="0.35">
      <c r="A746" s="1">
        <v>500081.63270000002</v>
      </c>
      <c r="B746" s="1">
        <v>5999997.7350000003</v>
      </c>
      <c r="C746" s="1">
        <v>162.52794206849799</v>
      </c>
      <c r="D746" s="1">
        <f t="shared" si="131"/>
        <v>81.761646410996917</v>
      </c>
      <c r="E746" s="1">
        <v>0.01</v>
      </c>
      <c r="F746" s="1">
        <v>0.05</v>
      </c>
      <c r="G746" s="1">
        <v>0.1</v>
      </c>
      <c r="H746" s="1">
        <v>9.81</v>
      </c>
      <c r="I746" s="1">
        <v>2650</v>
      </c>
      <c r="J746" s="1">
        <v>1000</v>
      </c>
      <c r="K746" s="1">
        <v>1.65</v>
      </c>
      <c r="L746" s="1">
        <v>6.5</v>
      </c>
      <c r="M746" s="1">
        <v>2.5</v>
      </c>
      <c r="N746" s="6">
        <v>9.9999999999999995E-7</v>
      </c>
      <c r="O746" s="1">
        <f t="shared" si="132"/>
        <v>10.224765396477437</v>
      </c>
      <c r="P746" s="1">
        <f t="shared" si="128"/>
        <v>11.652977208096294</v>
      </c>
      <c r="Q746" s="1">
        <f t="shared" si="129"/>
        <v>11.670241224920687</v>
      </c>
      <c r="R746" s="1">
        <v>125.82909999999995</v>
      </c>
      <c r="S746" s="1" t="e">
        <f t="shared" si="130"/>
        <v>#N/A</v>
      </c>
      <c r="T746" s="1" t="e">
        <v>#N/A</v>
      </c>
    </row>
    <row r="747" spans="1:57" x14ac:dyDescent="0.35">
      <c r="A747" s="1">
        <v>500091.83669999999</v>
      </c>
      <c r="B747" s="1">
        <v>5999997.7640000004</v>
      </c>
      <c r="C747" s="1">
        <v>168.15550111421601</v>
      </c>
      <c r="D747" s="1">
        <f t="shared" si="131"/>
        <v>91.965687620212464</v>
      </c>
      <c r="E747" s="1">
        <v>0.01</v>
      </c>
      <c r="F747" s="1">
        <v>0.05</v>
      </c>
      <c r="G747" s="1">
        <v>0.1</v>
      </c>
      <c r="H747" s="1">
        <v>9.81</v>
      </c>
      <c r="I747" s="1">
        <v>2650</v>
      </c>
      <c r="J747" s="1">
        <v>1000</v>
      </c>
      <c r="K747" s="1">
        <v>1.65</v>
      </c>
      <c r="L747" s="1">
        <v>6.5</v>
      </c>
      <c r="M747" s="1">
        <v>2.5</v>
      </c>
      <c r="N747" s="6">
        <v>9.9999999999999995E-7</v>
      </c>
      <c r="O747" s="1">
        <f t="shared" si="132"/>
        <v>10.204607223431253</v>
      </c>
      <c r="P747" s="1">
        <f t="shared" si="128"/>
        <v>10.499401533865951</v>
      </c>
      <c r="Q747" s="1">
        <f t="shared" si="129"/>
        <v>11.076189370981123</v>
      </c>
      <c r="R747" s="1">
        <v>125.82909999999995</v>
      </c>
      <c r="S747" s="1" t="e">
        <f t="shared" si="130"/>
        <v>#N/A</v>
      </c>
      <c r="T747" s="1" t="e">
        <v>#N/A</v>
      </c>
    </row>
    <row r="748" spans="1:57" x14ac:dyDescent="0.35">
      <c r="A748" s="1">
        <v>500102.04080000002</v>
      </c>
      <c r="B748" s="1">
        <v>5999997.9119999995</v>
      </c>
      <c r="C748" s="1">
        <v>170.62367285843499</v>
      </c>
      <c r="D748" s="1">
        <f t="shared" si="131"/>
        <v>102.17086085785942</v>
      </c>
      <c r="E748" s="1">
        <v>0.01</v>
      </c>
      <c r="F748" s="1">
        <v>0.05</v>
      </c>
      <c r="G748" s="1">
        <v>0.1</v>
      </c>
      <c r="H748" s="1">
        <v>9.81</v>
      </c>
      <c r="I748" s="1">
        <v>2650</v>
      </c>
      <c r="J748" s="1">
        <v>1000</v>
      </c>
      <c r="K748" s="1">
        <v>1.65</v>
      </c>
      <c r="L748" s="1">
        <v>6.5</v>
      </c>
      <c r="M748" s="1">
        <v>2.5</v>
      </c>
      <c r="N748" s="6">
        <v>9.9999999999999995E-7</v>
      </c>
      <c r="O748" s="1">
        <f t="shared" si="132"/>
        <v>10.21006882166494</v>
      </c>
      <c r="P748" s="1">
        <f t="shared" si="128"/>
        <v>10.948230205101877</v>
      </c>
      <c r="Q748" s="1">
        <f t="shared" si="129"/>
        <v>10.723815869483914</v>
      </c>
      <c r="R748" s="1">
        <v>125.82909999999995</v>
      </c>
      <c r="S748" s="1" t="e">
        <f t="shared" si="130"/>
        <v>#N/A</v>
      </c>
      <c r="T748" s="1" t="e">
        <v>#N/A</v>
      </c>
    </row>
    <row r="749" spans="1:57" x14ac:dyDescent="0.35">
      <c r="A749" s="1">
        <v>500112.24489999999</v>
      </c>
      <c r="B749" s="1">
        <v>5999997.4409999996</v>
      </c>
      <c r="C749" s="1">
        <v>174.56299346160199</v>
      </c>
      <c r="D749" s="1">
        <f t="shared" si="131"/>
        <v>112.38582526354234</v>
      </c>
      <c r="E749" s="1">
        <v>0.01</v>
      </c>
      <c r="F749" s="1">
        <v>0.05</v>
      </c>
      <c r="G749" s="1">
        <v>0.1</v>
      </c>
      <c r="H749" s="1">
        <v>9.81</v>
      </c>
      <c r="I749" s="1">
        <v>2650</v>
      </c>
      <c r="J749" s="1">
        <v>1000</v>
      </c>
      <c r="K749" s="1">
        <v>1.65</v>
      </c>
      <c r="L749" s="1">
        <v>6.5</v>
      </c>
      <c r="M749" s="1">
        <v>2.5</v>
      </c>
      <c r="N749" s="6">
        <v>9.9999999999999995E-7</v>
      </c>
      <c r="O749" s="1">
        <f t="shared" si="132"/>
        <v>10.211692861963954</v>
      </c>
      <c r="P749" s="1">
        <f t="shared" si="128"/>
        <v>13.530011313683339</v>
      </c>
      <c r="Q749" s="1">
        <f t="shared" si="129"/>
        <v>12.239120759392609</v>
      </c>
      <c r="R749" s="1">
        <v>125.82909999999995</v>
      </c>
      <c r="S749" s="1" t="e">
        <f t="shared" si="130"/>
        <v>#N/A</v>
      </c>
      <c r="T749" s="1" t="e">
        <v>#N/A</v>
      </c>
    </row>
    <row r="750" spans="1:57" x14ac:dyDescent="0.35">
      <c r="A750" s="1">
        <v>500122.44900000002</v>
      </c>
      <c r="B750" s="1">
        <v>5999997.7379999999</v>
      </c>
      <c r="C750" s="1">
        <v>165.68327835707299</v>
      </c>
      <c r="D750" s="1">
        <f t="shared" si="131"/>
        <v>122.59424658178733</v>
      </c>
      <c r="E750" s="1">
        <v>0.01</v>
      </c>
      <c r="F750" s="1">
        <v>0.05</v>
      </c>
      <c r="G750" s="1">
        <v>0.1</v>
      </c>
      <c r="H750" s="1">
        <v>9.81</v>
      </c>
      <c r="I750" s="1">
        <v>2650</v>
      </c>
      <c r="J750" s="1">
        <v>1000</v>
      </c>
      <c r="K750" s="1">
        <v>1.65</v>
      </c>
      <c r="L750" s="1">
        <v>6.5</v>
      </c>
      <c r="M750" s="1">
        <v>2.5</v>
      </c>
      <c r="N750" s="6">
        <v>9.9999999999999995E-7</v>
      </c>
      <c r="O750" s="1">
        <f t="shared" si="132"/>
        <v>10.212455607463802</v>
      </c>
      <c r="P750" s="1">
        <f t="shared" si="128"/>
        <v>12.917030195420445</v>
      </c>
      <c r="Q750" s="1">
        <f t="shared" si="129"/>
        <v>13.223520754551892</v>
      </c>
      <c r="R750" s="1">
        <v>125.82909999999995</v>
      </c>
      <c r="S750" s="1" t="e">
        <f t="shared" si="130"/>
        <v>#N/A</v>
      </c>
      <c r="T750" s="1" t="e">
        <v>#N/A</v>
      </c>
    </row>
    <row r="751" spans="1:57" x14ac:dyDescent="0.35">
      <c r="A751" s="1">
        <v>500132.6531</v>
      </c>
      <c r="B751" s="1">
        <v>5999997.2350000003</v>
      </c>
      <c r="C751" s="1">
        <v>173.58726489934301</v>
      </c>
      <c r="D751" s="1">
        <f t="shared" si="131"/>
        <v>132.81073647846995</v>
      </c>
      <c r="E751" s="1">
        <v>0.01</v>
      </c>
      <c r="F751" s="1">
        <v>0.05</v>
      </c>
      <c r="G751" s="1">
        <v>0.1</v>
      </c>
      <c r="H751" s="1">
        <v>9.81</v>
      </c>
      <c r="I751" s="1">
        <v>2650</v>
      </c>
      <c r="J751" s="1">
        <v>1000</v>
      </c>
      <c r="K751" s="1">
        <v>1.65</v>
      </c>
      <c r="L751" s="1">
        <v>6.5</v>
      </c>
      <c r="M751" s="1">
        <v>2.5</v>
      </c>
      <c r="N751" s="6">
        <v>9.9999999999999995E-7</v>
      </c>
      <c r="O751" s="1">
        <f t="shared" si="132"/>
        <v>10.225512676353247</v>
      </c>
      <c r="P751" s="1">
        <f t="shared" si="128"/>
        <v>13.492945518552009</v>
      </c>
      <c r="Q751" s="1">
        <f t="shared" si="129"/>
        <v>13.204987856986227</v>
      </c>
      <c r="R751" s="1">
        <v>125.82909999999995</v>
      </c>
      <c r="S751" s="1" t="e">
        <f t="shared" si="130"/>
        <v>#N/A</v>
      </c>
      <c r="T751" s="1" t="e">
        <v>#N/A</v>
      </c>
    </row>
    <row r="752" spans="1:57" x14ac:dyDescent="0.35">
      <c r="A752" s="1">
        <v>500142.85710000002</v>
      </c>
      <c r="B752" s="1">
        <v>5999996.4450000003</v>
      </c>
      <c r="C752" s="1">
        <v>164.79443470844299</v>
      </c>
      <c r="D752" s="1">
        <f t="shared" si="131"/>
        <v>143.04527193449383</v>
      </c>
      <c r="E752" s="1">
        <v>0.01</v>
      </c>
      <c r="F752" s="1">
        <v>0.05</v>
      </c>
      <c r="G752" s="1">
        <v>0.1</v>
      </c>
      <c r="H752" s="1">
        <v>9.81</v>
      </c>
      <c r="I752" s="1">
        <v>2650</v>
      </c>
      <c r="J752" s="1">
        <v>1000</v>
      </c>
      <c r="K752" s="1">
        <v>1.65</v>
      </c>
      <c r="L752" s="1">
        <v>6.5</v>
      </c>
      <c r="M752" s="1">
        <v>2.5</v>
      </c>
      <c r="N752" s="6">
        <v>9.9999999999999995E-7</v>
      </c>
      <c r="O752" s="1">
        <f t="shared" si="132"/>
        <v>10.219577641411078</v>
      </c>
      <c r="P752" s="1">
        <f t="shared" si="128"/>
        <v>10.57052865269438</v>
      </c>
      <c r="Q752" s="1">
        <f t="shared" si="129"/>
        <v>12.031737085623195</v>
      </c>
      <c r="R752" s="1">
        <v>125.82909999999995</v>
      </c>
      <c r="S752" s="1" t="e">
        <f t="shared" si="130"/>
        <v>#N/A</v>
      </c>
      <c r="T752" s="1" t="e">
        <v>#N/A</v>
      </c>
    </row>
    <row r="753" spans="1:20" x14ac:dyDescent="0.35">
      <c r="A753" s="1">
        <v>500153.0612</v>
      </c>
      <c r="B753" s="1">
        <v>5999996.5480000004</v>
      </c>
      <c r="C753" s="1">
        <v>167.55157275140499</v>
      </c>
      <c r="D753" s="1">
        <f t="shared" si="131"/>
        <v>153.2498917612921</v>
      </c>
      <c r="E753" s="1">
        <v>0.01</v>
      </c>
      <c r="F753" s="1">
        <v>0.05</v>
      </c>
      <c r="G753" s="1">
        <v>0.1</v>
      </c>
      <c r="H753" s="1">
        <v>9.81</v>
      </c>
      <c r="I753" s="1">
        <v>2650</v>
      </c>
      <c r="J753" s="1">
        <v>1000</v>
      </c>
      <c r="K753" s="1">
        <v>1.65</v>
      </c>
      <c r="L753" s="1">
        <v>6.5</v>
      </c>
      <c r="M753" s="1">
        <v>2.5</v>
      </c>
      <c r="N753" s="6">
        <v>9.9999999999999995E-7</v>
      </c>
      <c r="O753" s="1">
        <f t="shared" si="132"/>
        <v>10.204940921281036</v>
      </c>
      <c r="P753" s="1">
        <f t="shared" si="128"/>
        <v>10.682627590463349</v>
      </c>
      <c r="Q753" s="1">
        <f t="shared" si="129"/>
        <v>10.626578121578865</v>
      </c>
      <c r="R753" s="1">
        <v>125.82909999999995</v>
      </c>
      <c r="S753" s="1" t="e">
        <f t="shared" si="130"/>
        <v>#N/A</v>
      </c>
      <c r="T753" s="1" t="e">
        <v>#N/A</v>
      </c>
    </row>
    <row r="754" spans="1:20" x14ac:dyDescent="0.35">
      <c r="A754" s="1">
        <v>500163.26530000003</v>
      </c>
      <c r="B754" s="1">
        <v>5999996.7019999996</v>
      </c>
      <c r="C754" s="1">
        <v>164.39385847900201</v>
      </c>
      <c r="D754" s="1">
        <f t="shared" si="131"/>
        <v>163.4551537770559</v>
      </c>
      <c r="E754" s="1">
        <v>0.01</v>
      </c>
      <c r="F754" s="1">
        <v>0.05</v>
      </c>
      <c r="G754" s="1">
        <v>0.1</v>
      </c>
      <c r="H754" s="1">
        <v>9.81</v>
      </c>
      <c r="I754" s="1">
        <v>2650</v>
      </c>
      <c r="J754" s="1">
        <v>1000</v>
      </c>
      <c r="K754" s="1">
        <v>1.65</v>
      </c>
      <c r="L754" s="1">
        <v>6.5</v>
      </c>
      <c r="M754" s="1">
        <v>2.5</v>
      </c>
      <c r="N754" s="6">
        <v>9.9999999999999995E-7</v>
      </c>
      <c r="O754" s="1">
        <f t="shared" si="132"/>
        <v>10.213849082106762</v>
      </c>
      <c r="P754" s="1">
        <f t="shared" si="128"/>
        <v>11.026540308620518</v>
      </c>
      <c r="Q754" s="1">
        <f t="shared" si="129"/>
        <v>10.854583949541933</v>
      </c>
      <c r="R754" s="1">
        <v>125.82909999999995</v>
      </c>
      <c r="S754" s="1" t="e">
        <f t="shared" si="130"/>
        <v>#N/A</v>
      </c>
      <c r="T754" s="1" t="e">
        <v>#N/A</v>
      </c>
    </row>
    <row r="755" spans="1:20" x14ac:dyDescent="0.35">
      <c r="A755" s="1">
        <v>500173.4694</v>
      </c>
      <c r="B755" s="1">
        <v>5999996.0899999999</v>
      </c>
      <c r="C755" s="1">
        <v>168.52742719967199</v>
      </c>
      <c r="D755" s="1">
        <f t="shared" si="131"/>
        <v>173.67758992550563</v>
      </c>
      <c r="E755" s="1">
        <v>0.01</v>
      </c>
      <c r="F755" s="1">
        <v>0.05</v>
      </c>
      <c r="G755" s="1">
        <v>0.1</v>
      </c>
      <c r="H755" s="1">
        <v>9.81</v>
      </c>
      <c r="I755" s="1">
        <v>2650</v>
      </c>
      <c r="J755" s="1">
        <v>1000</v>
      </c>
      <c r="K755" s="1">
        <v>1.65</v>
      </c>
      <c r="L755" s="1">
        <v>6.5</v>
      </c>
      <c r="M755" s="1">
        <v>2.5</v>
      </c>
      <c r="N755" s="6">
        <v>9.9999999999999995E-7</v>
      </c>
      <c r="O755" s="1">
        <f t="shared" si="132"/>
        <v>10.214988293625822</v>
      </c>
      <c r="P755" s="1">
        <f t="shared" si="128"/>
        <v>10.632479456336906</v>
      </c>
      <c r="Q755" s="1">
        <f t="shared" si="129"/>
        <v>10.829509882478712</v>
      </c>
      <c r="R755" s="1">
        <v>125.82909999999995</v>
      </c>
      <c r="S755" s="1" t="e">
        <f t="shared" si="130"/>
        <v>#N/A</v>
      </c>
      <c r="T755" s="1" t="e">
        <v>#N/A</v>
      </c>
    </row>
    <row r="756" spans="1:20" x14ac:dyDescent="0.35">
      <c r="A756" s="1">
        <v>500183.67349999998</v>
      </c>
      <c r="B756" s="1">
        <v>5999996.3550000004</v>
      </c>
      <c r="C756" s="1">
        <v>165.55156806663999</v>
      </c>
      <c r="D756" s="1">
        <f t="shared" si="131"/>
        <v>183.88513036430754</v>
      </c>
      <c r="E756" s="1">
        <v>0.01</v>
      </c>
      <c r="F756" s="1">
        <v>0.05</v>
      </c>
      <c r="G756" s="1">
        <v>0.1</v>
      </c>
      <c r="H756" s="1">
        <v>9.81</v>
      </c>
      <c r="I756" s="1">
        <v>2650</v>
      </c>
      <c r="J756" s="1">
        <v>1000</v>
      </c>
      <c r="K756" s="1">
        <v>1.65</v>
      </c>
      <c r="L756" s="1">
        <v>6.5</v>
      </c>
      <c r="M756" s="1">
        <v>2.5</v>
      </c>
      <c r="N756" s="6">
        <v>9.9999999999999995E-7</v>
      </c>
      <c r="O756" s="1">
        <f t="shared" si="132"/>
        <v>10.210285318026777</v>
      </c>
      <c r="P756" s="1">
        <f t="shared" si="128"/>
        <v>10.217153370786205</v>
      </c>
      <c r="Q756" s="1">
        <f t="shared" si="129"/>
        <v>10.424816413561555</v>
      </c>
      <c r="R756" s="1">
        <v>125.82909999999995</v>
      </c>
      <c r="S756" s="1" t="e">
        <f t="shared" si="130"/>
        <v>#N/A</v>
      </c>
      <c r="T756" s="1" t="e">
        <v>#N/A</v>
      </c>
    </row>
    <row r="757" spans="1:20" x14ac:dyDescent="0.35">
      <c r="A757" s="1">
        <v>500193.87760000001</v>
      </c>
      <c r="B757" s="1">
        <v>5999996.7819999997</v>
      </c>
      <c r="C757" s="1">
        <v>165.84180450851801</v>
      </c>
      <c r="D757" s="1">
        <f t="shared" si="131"/>
        <v>194.09816056155918</v>
      </c>
      <c r="E757" s="1">
        <v>0.01</v>
      </c>
      <c r="F757" s="1">
        <v>0.05</v>
      </c>
      <c r="G757" s="1">
        <v>0.1</v>
      </c>
      <c r="H757" s="1">
        <v>9.81</v>
      </c>
      <c r="I757" s="1">
        <v>2650</v>
      </c>
      <c r="J757" s="1">
        <v>1000</v>
      </c>
      <c r="K757" s="1">
        <v>1.65</v>
      </c>
      <c r="L757" s="1">
        <v>6.5</v>
      </c>
      <c r="M757" s="1">
        <v>2.5</v>
      </c>
      <c r="N757" s="6">
        <v>9.9999999999999995E-7</v>
      </c>
      <c r="O757" s="1">
        <f t="shared" si="132"/>
        <v>10.225732250662787</v>
      </c>
      <c r="P757" s="1">
        <f t="shared" si="128"/>
        <v>11.805317568883225</v>
      </c>
      <c r="Q757" s="1">
        <f t="shared" si="129"/>
        <v>11.011235469834716</v>
      </c>
      <c r="R757" s="1">
        <v>125.82909999999995</v>
      </c>
      <c r="S757" s="1" t="e">
        <f t="shared" si="130"/>
        <v>#N/A</v>
      </c>
      <c r="T757" s="1" t="e">
        <v>#N/A</v>
      </c>
    </row>
    <row r="758" spans="1:20" x14ac:dyDescent="0.35">
      <c r="A758" s="1">
        <v>500204.08159999998</v>
      </c>
      <c r="B758" s="1">
        <v>5999995.943</v>
      </c>
      <c r="C758" s="1">
        <v>159.96473160584401</v>
      </c>
      <c r="D758" s="1">
        <f t="shared" si="131"/>
        <v>204.33659486563312</v>
      </c>
      <c r="E758" s="1">
        <v>0.01</v>
      </c>
      <c r="F758" s="1">
        <v>0.05</v>
      </c>
      <c r="G758" s="1">
        <v>0.1</v>
      </c>
      <c r="H758" s="1">
        <v>9.81</v>
      </c>
      <c r="I758" s="1">
        <v>2650</v>
      </c>
      <c r="J758" s="1">
        <v>1000</v>
      </c>
      <c r="K758" s="1">
        <v>1.65</v>
      </c>
      <c r="L758" s="1">
        <v>6.5</v>
      </c>
      <c r="M758" s="1">
        <v>2.5</v>
      </c>
      <c r="N758" s="6">
        <v>9.9999999999999995E-7</v>
      </c>
      <c r="O758" s="1">
        <f t="shared" si="132"/>
        <v>10.222474465035148</v>
      </c>
      <c r="P758" s="1">
        <f t="shared" si="128"/>
        <v>10.510110351296964</v>
      </c>
      <c r="Q758" s="1">
        <f t="shared" si="129"/>
        <v>11.157713960090096</v>
      </c>
      <c r="R758" s="1">
        <v>125.82909999999995</v>
      </c>
      <c r="S758" s="1" t="e">
        <f t="shared" si="130"/>
        <v>#N/A</v>
      </c>
      <c r="T758" s="1" t="e">
        <v>#N/A</v>
      </c>
    </row>
    <row r="759" spans="1:20" x14ac:dyDescent="0.35">
      <c r="A759" s="1">
        <v>500214.28570000001</v>
      </c>
      <c r="B759" s="1">
        <v>5999995.7209999999</v>
      </c>
      <c r="C759" s="1">
        <v>162.47261493362501</v>
      </c>
      <c r="D759" s="1">
        <f t="shared" si="131"/>
        <v>214.54310949162948</v>
      </c>
      <c r="E759" s="1">
        <v>0.01</v>
      </c>
      <c r="F759" s="1">
        <v>0.05</v>
      </c>
      <c r="G759" s="1">
        <v>0.1</v>
      </c>
      <c r="H759" s="1">
        <v>9.81</v>
      </c>
      <c r="I759" s="1">
        <v>2650</v>
      </c>
      <c r="J759" s="1">
        <v>1000</v>
      </c>
      <c r="K759" s="1">
        <v>1.65</v>
      </c>
      <c r="L759" s="1">
        <v>6.5</v>
      </c>
      <c r="M759" s="1">
        <v>2.5</v>
      </c>
      <c r="N759" s="6">
        <v>9.9999999999999995E-7</v>
      </c>
      <c r="O759" s="1">
        <f t="shared" si="132"/>
        <v>10.209668499185454</v>
      </c>
      <c r="P759" s="1">
        <f t="shared" si="128"/>
        <v>13.932835838967597</v>
      </c>
      <c r="Q759" s="1">
        <f t="shared" si="129"/>
        <v>12.22147309513228</v>
      </c>
      <c r="R759" s="1">
        <v>125.82909999999995</v>
      </c>
      <c r="S759" s="1" t="e">
        <f t="shared" si="130"/>
        <v>#N/A</v>
      </c>
      <c r="T759" s="1" t="e">
        <v>#N/A</v>
      </c>
    </row>
    <row r="760" spans="1:20" x14ac:dyDescent="0.35">
      <c r="A760" s="1">
        <v>500224.48979999998</v>
      </c>
      <c r="B760" s="1">
        <v>5999996.1430000002</v>
      </c>
      <c r="C760" s="1">
        <v>152.99515885586101</v>
      </c>
      <c r="D760" s="1">
        <f t="shared" si="131"/>
        <v>224.75593186400403</v>
      </c>
      <c r="E760" s="1">
        <v>0.01</v>
      </c>
      <c r="F760" s="1">
        <v>0.05</v>
      </c>
      <c r="G760" s="1">
        <v>0.1</v>
      </c>
      <c r="H760" s="1">
        <v>9.81</v>
      </c>
      <c r="I760" s="1">
        <v>2650</v>
      </c>
      <c r="J760" s="1">
        <v>1000</v>
      </c>
      <c r="K760" s="1">
        <v>1.65</v>
      </c>
      <c r="L760" s="1">
        <v>6.5</v>
      </c>
      <c r="M760" s="1">
        <v>2.5</v>
      </c>
      <c r="N760" s="6">
        <v>9.9999999999999995E-7</v>
      </c>
      <c r="O760" s="1">
        <f t="shared" si="132"/>
        <v>10.211706300347956</v>
      </c>
      <c r="P760" s="1">
        <f t="shared" si="128"/>
        <v>10.301820481574744</v>
      </c>
      <c r="Q760" s="1">
        <f t="shared" si="129"/>
        <v>12.117328160271171</v>
      </c>
      <c r="R760" s="1">
        <v>125.82909999999995</v>
      </c>
      <c r="S760" s="1" t="e">
        <f t="shared" si="130"/>
        <v>#N/A</v>
      </c>
      <c r="T760" s="1" t="e">
        <v>#N/A</v>
      </c>
    </row>
    <row r="761" spans="1:20" x14ac:dyDescent="0.35">
      <c r="A761" s="1">
        <v>500234.69390000001</v>
      </c>
      <c r="B761" s="1">
        <v>5999996.5070000002</v>
      </c>
      <c r="C761" s="1">
        <v>151.627185016966</v>
      </c>
      <c r="D761" s="1">
        <f t="shared" si="131"/>
        <v>234.96652209232539</v>
      </c>
      <c r="E761" s="1">
        <v>0.01</v>
      </c>
      <c r="F761" s="1">
        <v>0.05</v>
      </c>
      <c r="G761" s="1">
        <v>0.1</v>
      </c>
      <c r="H761" s="1">
        <v>9.81</v>
      </c>
      <c r="I761" s="1">
        <v>2650</v>
      </c>
      <c r="J761" s="1">
        <v>1000</v>
      </c>
      <c r="K761" s="1">
        <v>1.65</v>
      </c>
      <c r="L761" s="1">
        <v>6.5</v>
      </c>
      <c r="M761" s="1">
        <v>2.5</v>
      </c>
      <c r="N761" s="6">
        <v>9.9999999999999995E-7</v>
      </c>
      <c r="O761" s="1">
        <f t="shared" si="132"/>
        <v>10.212172653557417</v>
      </c>
      <c r="P761" s="1">
        <f t="shared" si="128"/>
        <v>11.089044194999135</v>
      </c>
      <c r="Q761" s="1">
        <f t="shared" si="129"/>
        <v>10.695432338286938</v>
      </c>
      <c r="R761" s="1">
        <v>125.82909999999995</v>
      </c>
      <c r="S761" s="1" t="e">
        <f t="shared" si="130"/>
        <v>#N/A</v>
      </c>
      <c r="T761" s="1" t="e">
        <v>#N/A</v>
      </c>
    </row>
    <row r="762" spans="1:20" x14ac:dyDescent="0.35">
      <c r="A762" s="1">
        <v>500244.89799999999</v>
      </c>
      <c r="B762" s="1">
        <v>5999996.9510000004</v>
      </c>
      <c r="C762" s="1">
        <v>155.94529899752101</v>
      </c>
      <c r="D762" s="1">
        <f t="shared" si="131"/>
        <v>245.18027717111886</v>
      </c>
      <c r="E762" s="1">
        <v>0.01</v>
      </c>
      <c r="F762" s="1">
        <v>0.05</v>
      </c>
      <c r="G762" s="1">
        <v>0.1</v>
      </c>
      <c r="H762" s="1">
        <v>9.81</v>
      </c>
      <c r="I762" s="1">
        <v>2650</v>
      </c>
      <c r="J762" s="1">
        <v>1000</v>
      </c>
      <c r="K762" s="1">
        <v>1.65</v>
      </c>
      <c r="L762" s="1">
        <v>6.5</v>
      </c>
      <c r="M762" s="1">
        <v>2.5</v>
      </c>
      <c r="N762" s="6">
        <v>9.9999999999999995E-7</v>
      </c>
      <c r="O762" s="1">
        <f t="shared" si="132"/>
        <v>10.228334363400478</v>
      </c>
      <c r="P762" s="1">
        <f t="shared" si="128"/>
        <v>11.738479864242503</v>
      </c>
      <c r="Q762" s="1">
        <f t="shared" si="129"/>
        <v>11.41376202962082</v>
      </c>
      <c r="R762" s="1">
        <v>125.82909999999995</v>
      </c>
      <c r="S762" s="1" t="e">
        <f t="shared" si="130"/>
        <v>#N/A</v>
      </c>
      <c r="T762" s="1" t="e">
        <v>#N/A</v>
      </c>
    </row>
    <row r="763" spans="1:20" x14ac:dyDescent="0.35">
      <c r="A763" s="1">
        <v>500255.10200000001</v>
      </c>
      <c r="B763" s="1">
        <v>5999997.8430000003</v>
      </c>
      <c r="C763" s="1">
        <v>150.21165883417899</v>
      </c>
      <c r="D763" s="1">
        <f t="shared" si="131"/>
        <v>255.42319081912635</v>
      </c>
      <c r="E763" s="1">
        <v>0.01</v>
      </c>
      <c r="F763" s="1">
        <v>0.05</v>
      </c>
      <c r="G763" s="1">
        <v>0.1</v>
      </c>
      <c r="H763" s="1">
        <v>9.81</v>
      </c>
      <c r="I763" s="1">
        <v>2650</v>
      </c>
      <c r="J763" s="1">
        <v>1000</v>
      </c>
      <c r="K763" s="1">
        <v>1.65</v>
      </c>
      <c r="L763" s="1">
        <v>6.5</v>
      </c>
      <c r="M763" s="1">
        <v>2.5</v>
      </c>
      <c r="N763" s="6">
        <v>9.9999999999999995E-7</v>
      </c>
      <c r="O763" s="1">
        <f t="shared" si="132"/>
        <v>10.228247812702051</v>
      </c>
      <c r="P763" s="1">
        <f t="shared" si="128"/>
        <v>10.415569048554094</v>
      </c>
      <c r="Q763" s="1">
        <f t="shared" si="129"/>
        <v>11.077024456398298</v>
      </c>
      <c r="R763" s="1">
        <v>125.82909999999995</v>
      </c>
      <c r="S763" s="1" t="e">
        <f t="shared" si="130"/>
        <v>#N/A</v>
      </c>
      <c r="T763" s="1" t="e">
        <v>#N/A</v>
      </c>
    </row>
    <row r="764" spans="1:20" x14ac:dyDescent="0.35">
      <c r="A764" s="1">
        <v>500265.30609999999</v>
      </c>
      <c r="B764" s="1">
        <v>5999998.2829999998</v>
      </c>
      <c r="C764" s="1">
        <v>148.17037938339399</v>
      </c>
      <c r="D764" s="1">
        <f t="shared" si="131"/>
        <v>265.63677279652296</v>
      </c>
      <c r="E764" s="1">
        <v>0.01</v>
      </c>
      <c r="F764" s="1">
        <v>0.05</v>
      </c>
      <c r="G764" s="1">
        <v>0.1</v>
      </c>
      <c r="H764" s="1">
        <v>9.81</v>
      </c>
      <c r="I764" s="1">
        <v>2650</v>
      </c>
      <c r="J764" s="1">
        <v>1000</v>
      </c>
      <c r="K764" s="1">
        <v>1.65</v>
      </c>
      <c r="L764" s="1">
        <v>6.5</v>
      </c>
      <c r="M764" s="1">
        <v>2.5</v>
      </c>
      <c r="N764" s="6">
        <v>9.9999999999999995E-7</v>
      </c>
      <c r="O764" s="1">
        <f t="shared" si="132"/>
        <v>10.23198332194535</v>
      </c>
      <c r="P764" s="1">
        <f t="shared" si="128"/>
        <v>10.753746192038282</v>
      </c>
      <c r="Q764" s="1">
        <f t="shared" si="129"/>
        <v>10.584657620296188</v>
      </c>
      <c r="R764" s="1">
        <v>125.82909999999995</v>
      </c>
      <c r="S764" s="1" t="e">
        <f t="shared" si="130"/>
        <v>#N/A</v>
      </c>
      <c r="T764" s="1" t="e">
        <v>#N/A</v>
      </c>
    </row>
    <row r="765" spans="1:20" x14ac:dyDescent="0.35">
      <c r="A765" s="1">
        <v>500275.51020000002</v>
      </c>
      <c r="B765" s="1">
        <v>5999997.3099999996</v>
      </c>
      <c r="C765" s="1">
        <v>144.91881493659599</v>
      </c>
      <c r="D765" s="1">
        <f t="shared" si="131"/>
        <v>275.88715746301705</v>
      </c>
      <c r="E765" s="1">
        <v>0.01</v>
      </c>
      <c r="F765" s="1">
        <v>0.05</v>
      </c>
      <c r="G765" s="1">
        <v>0.1</v>
      </c>
      <c r="H765" s="1">
        <v>9.81</v>
      </c>
      <c r="I765" s="1">
        <v>2650</v>
      </c>
      <c r="J765" s="1">
        <v>1000</v>
      </c>
      <c r="K765" s="1">
        <v>1.65</v>
      </c>
      <c r="L765" s="1">
        <v>6.5</v>
      </c>
      <c r="M765" s="1">
        <v>2.5</v>
      </c>
      <c r="N765" s="6">
        <v>9.9999999999999995E-7</v>
      </c>
      <c r="O765" s="1">
        <f t="shared" si="132"/>
        <v>10.247668609691146</v>
      </c>
      <c r="P765" s="1">
        <f t="shared" si="128"/>
        <v>10.247801935839309</v>
      </c>
      <c r="Q765" s="1">
        <f t="shared" si="129"/>
        <v>10.500774063938795</v>
      </c>
      <c r="R765" s="1">
        <v>125.82909999999995</v>
      </c>
      <c r="S765" s="1" t="e">
        <f t="shared" si="130"/>
        <v>#N/A</v>
      </c>
      <c r="T765" s="1" t="e">
        <v>#N/A</v>
      </c>
    </row>
    <row r="766" spans="1:20" x14ac:dyDescent="0.35">
      <c r="A766" s="1">
        <v>500285.71429999999</v>
      </c>
      <c r="B766" s="1">
        <v>5999998.2240000004</v>
      </c>
      <c r="C766" s="1">
        <v>144.67717117967001</v>
      </c>
      <c r="D766" s="1">
        <f t="shared" si="131"/>
        <v>286.13211001590525</v>
      </c>
      <c r="E766" s="1">
        <v>0.01</v>
      </c>
      <c r="F766" s="1">
        <v>0.05</v>
      </c>
      <c r="G766" s="1">
        <v>0.1</v>
      </c>
      <c r="H766" s="1">
        <v>9.81</v>
      </c>
      <c r="I766" s="1">
        <v>2650</v>
      </c>
      <c r="J766" s="1">
        <v>1000</v>
      </c>
      <c r="K766" s="1">
        <v>1.65</v>
      </c>
      <c r="L766" s="1">
        <v>6.5</v>
      </c>
      <c r="M766" s="1">
        <v>2.5</v>
      </c>
      <c r="N766" s="6">
        <v>9.9999999999999995E-7</v>
      </c>
      <c r="O766" s="1">
        <f t="shared" si="132"/>
        <v>10.245310960713113</v>
      </c>
      <c r="P766" s="1">
        <f t="shared" si="128"/>
        <v>10.773986209295044</v>
      </c>
      <c r="Q766" s="1">
        <f t="shared" si="129"/>
        <v>10.510894072567176</v>
      </c>
      <c r="R766" s="1">
        <v>125.82909999999995</v>
      </c>
      <c r="S766" s="1" t="e">
        <f t="shared" si="130"/>
        <v>#N/A</v>
      </c>
      <c r="T766" s="1" t="e">
        <v>#N/A</v>
      </c>
    </row>
    <row r="767" spans="1:20" x14ac:dyDescent="0.35">
      <c r="A767" s="1">
        <v>500295.91840000002</v>
      </c>
      <c r="B767" s="1">
        <v>5999999.1459999997</v>
      </c>
      <c r="C767" s="1">
        <v>141.344748933213</v>
      </c>
      <c r="D767" s="1">
        <f t="shared" si="131"/>
        <v>296.37777938444327</v>
      </c>
      <c r="E767" s="1">
        <v>0.01</v>
      </c>
      <c r="F767" s="1">
        <v>0.05</v>
      </c>
      <c r="G767" s="1">
        <v>0.1</v>
      </c>
      <c r="H767" s="1">
        <v>9.81</v>
      </c>
      <c r="I767" s="1">
        <v>2650</v>
      </c>
      <c r="J767" s="1">
        <v>1000</v>
      </c>
      <c r="K767" s="1">
        <v>1.65</v>
      </c>
      <c r="L767" s="1">
        <v>6.5</v>
      </c>
      <c r="M767" s="1">
        <v>2.5</v>
      </c>
      <c r="N767" s="6">
        <v>9.9999999999999995E-7</v>
      </c>
      <c r="O767" s="1">
        <f t="shared" si="132"/>
        <v>10.233098302678485</v>
      </c>
      <c r="P767" s="1">
        <f t="shared" si="128"/>
        <v>10.320041754295742</v>
      </c>
      <c r="Q767" s="1">
        <f t="shared" si="129"/>
        <v>10.547013981795393</v>
      </c>
      <c r="R767" s="1">
        <v>125.82909999999995</v>
      </c>
      <c r="S767" s="1" t="e">
        <f t="shared" si="130"/>
        <v>#N/A</v>
      </c>
      <c r="T767" s="1" t="e">
        <v>#N/A</v>
      </c>
    </row>
    <row r="768" spans="1:20" x14ac:dyDescent="0.35">
      <c r="A768" s="1">
        <v>500306.12239999999</v>
      </c>
      <c r="B768" s="1">
        <v>5999998.5650000004</v>
      </c>
      <c r="C768" s="1">
        <v>139.91503399244701</v>
      </c>
      <c r="D768" s="1">
        <f t="shared" si="131"/>
        <v>306.59830662126222</v>
      </c>
      <c r="E768" s="1">
        <v>0.01</v>
      </c>
      <c r="F768" s="1">
        <v>0.05</v>
      </c>
      <c r="G768" s="1">
        <v>0.1</v>
      </c>
      <c r="H768" s="1">
        <v>9.81</v>
      </c>
      <c r="I768" s="1">
        <v>2650</v>
      </c>
      <c r="J768" s="1">
        <v>1000</v>
      </c>
      <c r="K768" s="1">
        <v>1.65</v>
      </c>
      <c r="L768" s="1">
        <v>6.5</v>
      </c>
      <c r="M768" s="1">
        <v>2.5</v>
      </c>
      <c r="N768" s="6">
        <v>9.9999999999999995E-7</v>
      </c>
      <c r="O768" s="1">
        <f t="shared" si="132"/>
        <v>10.221874954638196</v>
      </c>
      <c r="P768" s="1">
        <f t="shared" si="128"/>
        <v>13.893706980070347</v>
      </c>
      <c r="Q768" s="1">
        <f t="shared" si="129"/>
        <v>12.106874367183044</v>
      </c>
      <c r="R768" s="1">
        <v>125.82909999999995</v>
      </c>
      <c r="S768" s="1" t="e">
        <f t="shared" si="130"/>
        <v>#N/A</v>
      </c>
      <c r="T768" s="1" t="e">
        <v>#N/A</v>
      </c>
    </row>
    <row r="769" spans="1:20" x14ac:dyDescent="0.35">
      <c r="A769" s="1">
        <v>500316.32650000002</v>
      </c>
      <c r="B769" s="1">
        <v>5999999.1900000004</v>
      </c>
      <c r="C769" s="1">
        <v>130.506484059678</v>
      </c>
      <c r="D769" s="1">
        <f t="shared" si="131"/>
        <v>316.82152929371966</v>
      </c>
      <c r="E769" s="1">
        <v>0.01</v>
      </c>
      <c r="F769" s="1">
        <v>0.05</v>
      </c>
      <c r="G769" s="1">
        <v>0.1</v>
      </c>
      <c r="H769" s="1">
        <v>9.81</v>
      </c>
      <c r="I769" s="1">
        <v>2650</v>
      </c>
      <c r="J769" s="1">
        <v>1000</v>
      </c>
      <c r="K769" s="1">
        <v>1.65</v>
      </c>
      <c r="L769" s="1">
        <v>6.5</v>
      </c>
      <c r="M769" s="1">
        <v>2.5</v>
      </c>
      <c r="N769" s="6">
        <v>9.9999999999999995E-7</v>
      </c>
      <c r="O769" s="1">
        <f t="shared" si="132"/>
        <v>10.235493697492075</v>
      </c>
      <c r="P769" s="1">
        <f t="shared" si="128"/>
        <v>10.418299398725649</v>
      </c>
      <c r="Q769" s="1">
        <f t="shared" si="129"/>
        <v>12.156003189397998</v>
      </c>
      <c r="R769" s="1">
        <v>125.82909999999995</v>
      </c>
      <c r="S769" s="1" t="e">
        <f t="shared" si="130"/>
        <v>#N/A</v>
      </c>
      <c r="T769" s="1" t="e">
        <v>#N/A</v>
      </c>
    </row>
    <row r="770" spans="1:20" x14ac:dyDescent="0.35">
      <c r="A770" s="1">
        <v>500326.5306</v>
      </c>
      <c r="B770" s="1">
        <v>6000000.1349999998</v>
      </c>
      <c r="C770" s="1">
        <v>128.62917733108401</v>
      </c>
      <c r="D770" s="1">
        <f t="shared" si="131"/>
        <v>327.06929401624637</v>
      </c>
      <c r="E770" s="1">
        <v>0.01</v>
      </c>
      <c r="F770" s="1">
        <v>0.05</v>
      </c>
      <c r="G770" s="1">
        <v>0.1</v>
      </c>
      <c r="H770" s="1">
        <v>9.81</v>
      </c>
      <c r="I770" s="1">
        <v>2650</v>
      </c>
      <c r="J770" s="1">
        <v>1000</v>
      </c>
      <c r="K770" s="1">
        <v>1.65</v>
      </c>
      <c r="L770" s="1">
        <v>6.5</v>
      </c>
      <c r="M770" s="1">
        <v>2.5</v>
      </c>
      <c r="N770" s="6">
        <v>9.9999999999999995E-7</v>
      </c>
      <c r="O770" s="1">
        <f t="shared" si="132"/>
        <v>10.241238558797846</v>
      </c>
      <c r="P770" s="1">
        <f t="shared" ref="P770:P786" si="133">SQRT((D771 - D770)^2 + (C771 - C770)^2)</f>
        <v>10.787841757464356</v>
      </c>
      <c r="Q770" s="1">
        <f t="shared" ref="Q770:Q786" si="134">IF(ROW()=738, P770/2, (P770 + P769)/2)</f>
        <v>10.603070578095004</v>
      </c>
      <c r="R770" s="1">
        <v>125.82909999999995</v>
      </c>
      <c r="S770" s="1" t="e">
        <f t="shared" ref="S770:S786" si="135">IF(R770 - C770 &lt; 0, NA(), R770 - C770)</f>
        <v>#N/A</v>
      </c>
      <c r="T770" s="1" t="e">
        <v>#N/A</v>
      </c>
    </row>
    <row r="771" spans="1:20" x14ac:dyDescent="0.35">
      <c r="A771" s="1">
        <v>500336.73469999997</v>
      </c>
      <c r="B771" s="1">
        <v>5999999.3439999996</v>
      </c>
      <c r="C771" s="1">
        <v>132.03919081702699</v>
      </c>
      <c r="D771" s="1">
        <f t="shared" ref="D771:D787" si="136">D770 + SQRT((A771 - A770)^2 + (B771 - B770)^2)</f>
        <v>337.30400641131536</v>
      </c>
      <c r="E771" s="1">
        <v>0.01</v>
      </c>
      <c r="F771" s="1">
        <v>0.05</v>
      </c>
      <c r="G771" s="1">
        <v>0.1</v>
      </c>
      <c r="H771" s="1">
        <v>9.81</v>
      </c>
      <c r="I771" s="1">
        <v>2650</v>
      </c>
      <c r="J771" s="1">
        <v>1000</v>
      </c>
      <c r="K771" s="1">
        <v>1.65</v>
      </c>
      <c r="L771" s="1">
        <v>6.5</v>
      </c>
      <c r="M771" s="1">
        <v>2.5</v>
      </c>
      <c r="N771" s="6">
        <v>9.9999999999999995E-7</v>
      </c>
      <c r="O771" s="1">
        <f t="shared" si="132"/>
        <v>10.233949248828765</v>
      </c>
      <c r="P771" s="1">
        <f t="shared" si="133"/>
        <v>11.755266476054745</v>
      </c>
      <c r="Q771" s="1">
        <f t="shared" si="134"/>
        <v>11.27155411675955</v>
      </c>
      <c r="R771" s="1">
        <v>125.82909999999995</v>
      </c>
      <c r="S771" s="1" t="e">
        <f t="shared" si="135"/>
        <v>#N/A</v>
      </c>
      <c r="T771" s="1" t="e">
        <v>#N/A</v>
      </c>
    </row>
    <row r="772" spans="1:20" x14ac:dyDescent="0.35">
      <c r="A772" s="1">
        <v>500346.9388</v>
      </c>
      <c r="B772" s="1">
        <v>5999998.5729999999</v>
      </c>
      <c r="C772" s="1">
        <v>126.254020801129</v>
      </c>
      <c r="D772" s="1">
        <f t="shared" si="136"/>
        <v>347.5371925139039</v>
      </c>
      <c r="E772" s="1">
        <v>0.01</v>
      </c>
      <c r="F772" s="1">
        <v>0.05</v>
      </c>
      <c r="G772" s="1">
        <v>0.1</v>
      </c>
      <c r="H772" s="1">
        <v>9.81</v>
      </c>
      <c r="I772" s="1">
        <v>2650</v>
      </c>
      <c r="J772" s="1">
        <v>1000</v>
      </c>
      <c r="K772" s="1">
        <v>1.65</v>
      </c>
      <c r="L772" s="1">
        <v>6.5</v>
      </c>
      <c r="M772" s="1">
        <v>2.5</v>
      </c>
      <c r="N772" s="6">
        <v>9.9999999999999995E-7</v>
      </c>
      <c r="O772" s="1">
        <f t="shared" si="132"/>
        <v>10.232552707337419</v>
      </c>
      <c r="P772" s="1">
        <f t="shared" si="133"/>
        <v>11.350607222214496</v>
      </c>
      <c r="Q772" s="1">
        <f t="shared" si="134"/>
        <v>11.552936849134621</v>
      </c>
      <c r="R772" s="1">
        <v>125.82909999999995</v>
      </c>
      <c r="S772" s="1" t="e">
        <f t="shared" si="135"/>
        <v>#N/A</v>
      </c>
      <c r="T772" s="1" t="e">
        <v>#N/A</v>
      </c>
    </row>
    <row r="773" spans="1:20" x14ac:dyDescent="0.35">
      <c r="A773" s="1">
        <v>500357.14289999998</v>
      </c>
      <c r="B773" s="1">
        <v>5999999.3269999996</v>
      </c>
      <c r="C773" s="1">
        <v>131.167686591956</v>
      </c>
      <c r="D773" s="1">
        <f t="shared" si="136"/>
        <v>357.76911182599019</v>
      </c>
      <c r="E773" s="1">
        <v>0.01</v>
      </c>
      <c r="F773" s="1">
        <v>0.05</v>
      </c>
      <c r="G773" s="1">
        <v>0.1</v>
      </c>
      <c r="H773" s="1">
        <v>9.81</v>
      </c>
      <c r="I773" s="1">
        <v>2650</v>
      </c>
      <c r="J773" s="1">
        <v>1000</v>
      </c>
      <c r="K773" s="1">
        <v>1.65</v>
      </c>
      <c r="L773" s="1">
        <v>6.5</v>
      </c>
      <c r="M773" s="1">
        <v>2.5</v>
      </c>
      <c r="N773" s="6">
        <v>9.9999999999999995E-7</v>
      </c>
      <c r="O773" s="1">
        <f t="shared" si="132"/>
        <v>10.223838765829584</v>
      </c>
      <c r="P773" s="1">
        <f t="shared" si="133"/>
        <v>10.479732415606993</v>
      </c>
      <c r="Q773" s="1">
        <f t="shared" si="134"/>
        <v>10.915169818910744</v>
      </c>
      <c r="R773" s="1">
        <v>125.82909999999995</v>
      </c>
      <c r="S773" s="1" t="e">
        <f t="shared" si="135"/>
        <v>#N/A</v>
      </c>
      <c r="T773" s="1" t="e">
        <v>#N/A</v>
      </c>
    </row>
    <row r="774" spans="1:20" x14ac:dyDescent="0.35">
      <c r="A774" s="1">
        <v>500367.3469</v>
      </c>
      <c r="B774" s="1">
        <v>5999999.8169999998</v>
      </c>
      <c r="C774" s="1">
        <v>128.83036429882799</v>
      </c>
      <c r="D774" s="1">
        <f t="shared" si="136"/>
        <v>367.98487004556307</v>
      </c>
      <c r="E774" s="1">
        <v>0.01</v>
      </c>
      <c r="F774" s="1">
        <v>0.05</v>
      </c>
      <c r="G774" s="1">
        <v>0.1</v>
      </c>
      <c r="H774" s="1">
        <v>9.81</v>
      </c>
      <c r="I774" s="1">
        <v>2650</v>
      </c>
      <c r="J774" s="1">
        <v>1000</v>
      </c>
      <c r="K774" s="1">
        <v>1.65</v>
      </c>
      <c r="L774" s="1">
        <v>6.5</v>
      </c>
      <c r="M774" s="1">
        <v>2.5</v>
      </c>
      <c r="N774" s="6">
        <v>9.9999999999999995E-7</v>
      </c>
      <c r="O774" s="1">
        <f t="shared" si="132"/>
        <v>10.224509856901079</v>
      </c>
      <c r="P774" s="1">
        <f t="shared" si="133"/>
        <v>10.91645406051112</v>
      </c>
      <c r="Q774" s="1">
        <f t="shared" si="134"/>
        <v>10.698093238059055</v>
      </c>
      <c r="R774" s="1">
        <v>125.82909999999995</v>
      </c>
      <c r="S774" s="1" t="e">
        <f t="shared" si="135"/>
        <v>#N/A</v>
      </c>
      <c r="T774" s="1" t="e">
        <v>#N/A</v>
      </c>
    </row>
    <row r="775" spans="1:20" x14ac:dyDescent="0.35">
      <c r="A775" s="1">
        <v>500377.55099999998</v>
      </c>
      <c r="B775" s="1">
        <v>5999999.0449999999</v>
      </c>
      <c r="C775" s="1">
        <v>125.029137069896</v>
      </c>
      <c r="D775" s="1">
        <f t="shared" si="136"/>
        <v>378.21813153979235</v>
      </c>
      <c r="E775" s="1">
        <v>0.01</v>
      </c>
      <c r="F775" s="1">
        <v>0.05</v>
      </c>
      <c r="G775" s="1">
        <v>0.1</v>
      </c>
      <c r="H775" s="1">
        <v>9.81</v>
      </c>
      <c r="I775" s="1">
        <v>2650</v>
      </c>
      <c r="J775" s="1">
        <v>1000</v>
      </c>
      <c r="K775" s="1">
        <v>1.65</v>
      </c>
      <c r="L775" s="1">
        <v>6.5</v>
      </c>
      <c r="M775" s="1">
        <v>2.5</v>
      </c>
      <c r="N775" s="6">
        <v>9.9999999999999995E-7</v>
      </c>
      <c r="O775" s="1">
        <f t="shared" si="132"/>
        <v>10.221049857319429</v>
      </c>
      <c r="P775" s="1">
        <f t="shared" si="133"/>
        <v>10.237547645163266</v>
      </c>
      <c r="Q775" s="1">
        <f t="shared" si="134"/>
        <v>10.577000852837193</v>
      </c>
      <c r="R775" s="1">
        <v>125.82909999999995</v>
      </c>
      <c r="S775" s="1">
        <f t="shared" si="135"/>
        <v>0.79996293010395902</v>
      </c>
      <c r="T775" s="1">
        <v>0.79996293010395902</v>
      </c>
    </row>
    <row r="776" spans="1:20" x14ac:dyDescent="0.35">
      <c r="A776" s="1">
        <v>500387.75510000001</v>
      </c>
      <c r="B776" s="1">
        <v>5999999.3559999997</v>
      </c>
      <c r="C776" s="1">
        <v>125.795298917349</v>
      </c>
      <c r="D776" s="1">
        <f t="shared" si="136"/>
        <v>388.42696976020193</v>
      </c>
      <c r="E776" s="1">
        <v>0.01</v>
      </c>
      <c r="F776" s="1">
        <v>0.05</v>
      </c>
      <c r="G776" s="1">
        <v>0.1</v>
      </c>
      <c r="H776" s="1">
        <v>9.81</v>
      </c>
      <c r="I776" s="1">
        <v>2650</v>
      </c>
      <c r="J776" s="1">
        <v>1000</v>
      </c>
      <c r="K776" s="1">
        <v>1.65</v>
      </c>
      <c r="L776" s="1">
        <v>6.5</v>
      </c>
      <c r="M776" s="1">
        <v>2.5</v>
      </c>
      <c r="N776" s="6">
        <v>9.9999999999999995E-7</v>
      </c>
      <c r="O776" s="1">
        <f t="shared" si="132"/>
        <v>10.226672955179509</v>
      </c>
      <c r="P776" s="1">
        <f t="shared" si="133"/>
        <v>14.006911426674414</v>
      </c>
      <c r="Q776" s="1">
        <f t="shared" si="134"/>
        <v>12.122229535918841</v>
      </c>
      <c r="R776" s="1">
        <v>125.82909999999995</v>
      </c>
      <c r="S776" s="1">
        <f t="shared" si="135"/>
        <v>3.3801082650953163E-2</v>
      </c>
      <c r="T776" s="1">
        <v>3.3801082650953163E-2</v>
      </c>
    </row>
    <row r="777" spans="1:20" x14ac:dyDescent="0.35">
      <c r="A777" s="1">
        <v>500397.95919999998</v>
      </c>
      <c r="B777" s="1">
        <v>5999998.4469999997</v>
      </c>
      <c r="C777" s="1">
        <v>135.347452072804</v>
      </c>
      <c r="D777" s="1">
        <f t="shared" si="136"/>
        <v>398.67147745015137</v>
      </c>
      <c r="E777" s="1">
        <v>0.01</v>
      </c>
      <c r="F777" s="1">
        <v>0.05</v>
      </c>
      <c r="G777" s="1">
        <v>0.1</v>
      </c>
      <c r="H777" s="1">
        <v>9.81</v>
      </c>
      <c r="I777" s="1">
        <v>2650</v>
      </c>
      <c r="J777" s="1">
        <v>1000</v>
      </c>
      <c r="K777" s="1">
        <v>1.65</v>
      </c>
      <c r="L777" s="1">
        <v>6.5</v>
      </c>
      <c r="M777" s="1">
        <v>2.5</v>
      </c>
      <c r="N777" s="6">
        <v>9.9999999999999995E-7</v>
      </c>
      <c r="O777" s="1">
        <f t="shared" si="132"/>
        <v>10.22650836474881</v>
      </c>
      <c r="P777" s="1">
        <f t="shared" si="133"/>
        <v>12.538849639326756</v>
      </c>
      <c r="Q777" s="1">
        <f t="shared" si="134"/>
        <v>13.272880533000585</v>
      </c>
      <c r="R777" s="1">
        <v>125.82909999999995</v>
      </c>
      <c r="S777" s="1" t="e">
        <f t="shared" si="135"/>
        <v>#N/A</v>
      </c>
      <c r="T777" s="1" t="e">
        <v>#N/A</v>
      </c>
    </row>
    <row r="778" spans="1:20" x14ac:dyDescent="0.35">
      <c r="A778" s="1">
        <v>500408.16330000001</v>
      </c>
      <c r="B778" s="1">
        <v>5999998.1469999999</v>
      </c>
      <c r="C778" s="1">
        <v>128.06671766842501</v>
      </c>
      <c r="D778" s="1">
        <f t="shared" si="136"/>
        <v>408.87998648969955</v>
      </c>
      <c r="E778" s="1">
        <v>0.01</v>
      </c>
      <c r="F778" s="1">
        <v>0.05</v>
      </c>
      <c r="G778" s="1">
        <v>0.1</v>
      </c>
      <c r="H778" s="1">
        <v>9.81</v>
      </c>
      <c r="I778" s="1">
        <v>2650</v>
      </c>
      <c r="J778" s="1">
        <v>1000</v>
      </c>
      <c r="K778" s="1">
        <v>1.65</v>
      </c>
      <c r="L778" s="1">
        <v>6.5</v>
      </c>
      <c r="M778" s="1">
        <v>2.5</v>
      </c>
      <c r="N778" s="6">
        <v>9.9999999999999995E-7</v>
      </c>
      <c r="O778" s="1">
        <f t="shared" si="132"/>
        <v>10.217670819070179</v>
      </c>
      <c r="P778" s="1">
        <f t="shared" si="133"/>
        <v>11.126667604014996</v>
      </c>
      <c r="Q778" s="1">
        <f t="shared" si="134"/>
        <v>11.832758621670877</v>
      </c>
      <c r="R778" s="1">
        <v>125.82909999999995</v>
      </c>
      <c r="S778" s="1" t="e">
        <f t="shared" si="135"/>
        <v>#N/A</v>
      </c>
      <c r="T778" s="1" t="e">
        <v>#N/A</v>
      </c>
    </row>
    <row r="779" spans="1:20" x14ac:dyDescent="0.35">
      <c r="A779" s="1">
        <v>500418.36729999998</v>
      </c>
      <c r="B779" s="1">
        <v>5999997.4639999997</v>
      </c>
      <c r="C779" s="1">
        <v>132.450166877736</v>
      </c>
      <c r="D779" s="1">
        <f t="shared" si="136"/>
        <v>419.10681908829173</v>
      </c>
      <c r="E779" s="1">
        <v>0.01</v>
      </c>
      <c r="F779" s="1">
        <v>0.05</v>
      </c>
      <c r="G779" s="1">
        <v>0.1</v>
      </c>
      <c r="H779" s="1">
        <v>9.81</v>
      </c>
      <c r="I779" s="1">
        <v>2650</v>
      </c>
      <c r="J779" s="1">
        <v>1000</v>
      </c>
      <c r="K779" s="1">
        <v>1.65</v>
      </c>
      <c r="L779" s="1">
        <v>6.5</v>
      </c>
      <c r="M779" s="1">
        <v>2.5</v>
      </c>
      <c r="N779" s="6">
        <v>9.9999999999999995E-7</v>
      </c>
      <c r="O779" s="1">
        <f t="shared" si="132"/>
        <v>10.219153288461655</v>
      </c>
      <c r="P779" s="1">
        <f t="shared" si="133"/>
        <v>12.259823035582844</v>
      </c>
      <c r="Q779" s="1">
        <f t="shared" si="134"/>
        <v>11.693245319798919</v>
      </c>
      <c r="R779" s="1">
        <v>125.82909999999995</v>
      </c>
      <c r="S779" s="1" t="e">
        <f t="shared" si="135"/>
        <v>#N/A</v>
      </c>
      <c r="T779" s="1" t="e">
        <v>#N/A</v>
      </c>
    </row>
    <row r="780" spans="1:20" x14ac:dyDescent="0.35">
      <c r="A780" s="1">
        <v>500428.57140000002</v>
      </c>
      <c r="B780" s="1">
        <v>5999997.0760000004</v>
      </c>
      <c r="C780" s="1">
        <v>139.234638858198</v>
      </c>
      <c r="D780" s="1">
        <f t="shared" si="136"/>
        <v>429.31829306662286</v>
      </c>
      <c r="E780" s="1">
        <v>0.01</v>
      </c>
      <c r="F780" s="1">
        <v>0.05</v>
      </c>
      <c r="G780" s="1">
        <v>0.1</v>
      </c>
      <c r="H780" s="1">
        <v>9.81</v>
      </c>
      <c r="I780" s="1">
        <v>2650</v>
      </c>
      <c r="J780" s="1">
        <v>1000</v>
      </c>
      <c r="K780" s="1">
        <v>1.65</v>
      </c>
      <c r="L780" s="1">
        <v>6.5</v>
      </c>
      <c r="M780" s="1">
        <v>2.5</v>
      </c>
      <c r="N780" s="6">
        <v>9.9999999999999995E-7</v>
      </c>
      <c r="O780" s="1">
        <f t="shared" si="132"/>
        <v>10.213570502749036</v>
      </c>
      <c r="P780" s="1">
        <f t="shared" si="133"/>
        <v>10.221862151517284</v>
      </c>
      <c r="Q780" s="1">
        <f t="shared" si="134"/>
        <v>11.240842593550063</v>
      </c>
      <c r="R780" s="1">
        <v>125.82909999999995</v>
      </c>
      <c r="S780" s="1" t="e">
        <f t="shared" si="135"/>
        <v>#N/A</v>
      </c>
      <c r="T780" s="1" t="e">
        <v>#N/A</v>
      </c>
    </row>
    <row r="781" spans="1:20" x14ac:dyDescent="0.35">
      <c r="A781" s="1">
        <v>500438.77549999999</v>
      </c>
      <c r="B781" s="1">
        <v>5999996.5899999999</v>
      </c>
      <c r="C781" s="1">
        <v>139.590466112179</v>
      </c>
      <c r="D781" s="1">
        <f t="shared" si="136"/>
        <v>439.5339600937898</v>
      </c>
      <c r="E781" s="1">
        <v>0.01</v>
      </c>
      <c r="F781" s="1">
        <v>0.05</v>
      </c>
      <c r="G781" s="1">
        <v>0.1</v>
      </c>
      <c r="H781" s="1">
        <v>9.81</v>
      </c>
      <c r="I781" s="1">
        <v>2650</v>
      </c>
      <c r="J781" s="1">
        <v>1000</v>
      </c>
      <c r="K781" s="1">
        <v>1.65</v>
      </c>
      <c r="L781" s="1">
        <v>6.5</v>
      </c>
      <c r="M781" s="1">
        <v>2.5</v>
      </c>
      <c r="N781" s="6">
        <v>9.9999999999999995E-7</v>
      </c>
      <c r="O781" s="1">
        <f t="shared" si="132"/>
        <v>10.227678867958247</v>
      </c>
      <c r="P781" s="1">
        <f t="shared" si="133"/>
        <v>10.247073843648518</v>
      </c>
      <c r="Q781" s="1">
        <f t="shared" si="134"/>
        <v>10.2344679975829</v>
      </c>
      <c r="R781" s="1">
        <v>125.82909999999995</v>
      </c>
      <c r="S781" s="1" t="e">
        <f t="shared" si="135"/>
        <v>#N/A</v>
      </c>
      <c r="T781" s="1" t="e">
        <v>#N/A</v>
      </c>
    </row>
    <row r="782" spans="1:20" x14ac:dyDescent="0.35">
      <c r="A782" s="1">
        <v>500448.97960000002</v>
      </c>
      <c r="B782" s="1">
        <v>5999995.7369999997</v>
      </c>
      <c r="C782" s="1">
        <v>139.20154896633201</v>
      </c>
      <c r="D782" s="1">
        <f t="shared" si="136"/>
        <v>449.77365080253935</v>
      </c>
      <c r="E782" s="1">
        <v>0.01</v>
      </c>
      <c r="F782" s="1">
        <v>0.05</v>
      </c>
      <c r="G782" s="1">
        <v>0.1</v>
      </c>
      <c r="H782" s="1">
        <v>9.81</v>
      </c>
      <c r="I782" s="1">
        <v>2650</v>
      </c>
      <c r="J782" s="1">
        <v>1000</v>
      </c>
      <c r="K782" s="1">
        <v>1.65</v>
      </c>
      <c r="L782" s="1">
        <v>6.5</v>
      </c>
      <c r="M782" s="1">
        <v>2.5</v>
      </c>
      <c r="N782" s="6">
        <v>9.9999999999999995E-7</v>
      </c>
      <c r="O782" s="1">
        <f t="shared" si="132"/>
        <v>10.226507982984828</v>
      </c>
      <c r="P782" s="1">
        <f t="shared" si="133"/>
        <v>10.216402783069102</v>
      </c>
      <c r="Q782" s="1">
        <f t="shared" si="134"/>
        <v>10.231738313358811</v>
      </c>
      <c r="R782" s="1">
        <v>125.82909999999995</v>
      </c>
      <c r="S782" s="1" t="e">
        <f t="shared" si="135"/>
        <v>#N/A</v>
      </c>
      <c r="T782" s="1" t="e">
        <v>#N/A</v>
      </c>
    </row>
    <row r="783" spans="1:20" x14ac:dyDescent="0.35">
      <c r="A783" s="1">
        <v>500459.18369999999</v>
      </c>
      <c r="B783" s="1">
        <v>5999996.1710000001</v>
      </c>
      <c r="C783" s="1">
        <v>138.95080404388699</v>
      </c>
      <c r="D783" s="1">
        <f t="shared" si="136"/>
        <v>459.98697605975946</v>
      </c>
      <c r="E783" s="1">
        <v>0.01</v>
      </c>
      <c r="F783" s="1">
        <v>0.05</v>
      </c>
      <c r="G783" s="1">
        <v>0.1</v>
      </c>
      <c r="H783" s="1">
        <v>9.81</v>
      </c>
      <c r="I783" s="1">
        <v>2650</v>
      </c>
      <c r="J783" s="1">
        <v>1000</v>
      </c>
      <c r="K783" s="1">
        <v>1.65</v>
      </c>
      <c r="L783" s="1">
        <v>6.5</v>
      </c>
      <c r="M783" s="1">
        <v>2.5</v>
      </c>
      <c r="N783" s="6">
        <v>9.9999999999999995E-7</v>
      </c>
      <c r="O783" s="1">
        <f t="shared" si="132"/>
        <v>10.228563101333435</v>
      </c>
      <c r="P783" s="1">
        <f t="shared" si="133"/>
        <v>10.24381622597874</v>
      </c>
      <c r="Q783" s="1">
        <f t="shared" si="134"/>
        <v>10.23010950452392</v>
      </c>
      <c r="R783" s="1">
        <v>125.82909999999995</v>
      </c>
      <c r="S783" s="1" t="e">
        <f t="shared" si="135"/>
        <v>#N/A</v>
      </c>
      <c r="T783" s="1" t="e">
        <v>#N/A</v>
      </c>
    </row>
    <row r="784" spans="1:20" x14ac:dyDescent="0.35">
      <c r="A784" s="1">
        <v>500469.38780000003</v>
      </c>
      <c r="B784" s="1">
        <v>5999997.0719999997</v>
      </c>
      <c r="C784" s="1">
        <v>138.933110494517</v>
      </c>
      <c r="D784" s="1">
        <f t="shared" si="136"/>
        <v>470.23077700520622</v>
      </c>
      <c r="E784" s="1">
        <v>0.01</v>
      </c>
      <c r="F784" s="1">
        <v>0.05</v>
      </c>
      <c r="G784" s="1">
        <v>0.1</v>
      </c>
      <c r="H784" s="1">
        <v>9.81</v>
      </c>
      <c r="I784" s="1">
        <v>2650</v>
      </c>
      <c r="J784" s="1">
        <v>1000</v>
      </c>
      <c r="K784" s="1">
        <v>1.65</v>
      </c>
      <c r="L784" s="1">
        <v>6.5</v>
      </c>
      <c r="M784" s="1">
        <v>2.5</v>
      </c>
      <c r="N784" s="6">
        <v>9.9999999999999995E-7</v>
      </c>
      <c r="O784" s="1">
        <f t="shared" si="132"/>
        <v>10.235585469869676</v>
      </c>
      <c r="P784" s="1">
        <f t="shared" si="133"/>
        <v>14.038699271405504</v>
      </c>
      <c r="Q784" s="1">
        <f t="shared" si="134"/>
        <v>12.141257748692123</v>
      </c>
      <c r="R784" s="1">
        <v>125.82909999999995</v>
      </c>
      <c r="S784" s="1" t="e">
        <f t="shared" si="135"/>
        <v>#N/A</v>
      </c>
      <c r="T784" s="1" t="e">
        <v>#N/A</v>
      </c>
    </row>
    <row r="785" spans="1:57" x14ac:dyDescent="0.35">
      <c r="A785" s="1">
        <v>500479.59179999999</v>
      </c>
      <c r="B785" s="1">
        <v>5999997.7630000003</v>
      </c>
      <c r="C785" s="1">
        <v>148.55007364474301</v>
      </c>
      <c r="D785" s="1">
        <f t="shared" si="136"/>
        <v>480.45814699949881</v>
      </c>
      <c r="E785" s="1">
        <v>0.01</v>
      </c>
      <c r="F785" s="1">
        <v>0.05</v>
      </c>
      <c r="G785" s="1">
        <v>0.1</v>
      </c>
      <c r="H785" s="1">
        <v>9.81</v>
      </c>
      <c r="I785" s="1">
        <v>2650</v>
      </c>
      <c r="J785" s="1">
        <v>1000</v>
      </c>
      <c r="K785" s="1">
        <v>1.65</v>
      </c>
      <c r="L785" s="1">
        <v>6.5</v>
      </c>
      <c r="M785" s="1">
        <v>2.5</v>
      </c>
      <c r="N785" s="6">
        <v>9.9999999999999995E-7</v>
      </c>
      <c r="O785" s="1">
        <f t="shared" si="132"/>
        <v>10.217030880251457</v>
      </c>
      <c r="P785" s="1">
        <f t="shared" si="133"/>
        <v>10.496604105828091</v>
      </c>
      <c r="Q785" s="1">
        <f t="shared" si="134"/>
        <v>12.267651688616798</v>
      </c>
      <c r="R785" s="1">
        <v>125.82909999999995</v>
      </c>
      <c r="S785" s="1" t="e">
        <f t="shared" si="135"/>
        <v>#N/A</v>
      </c>
      <c r="T785" s="1" t="e">
        <v>#N/A</v>
      </c>
    </row>
    <row r="786" spans="1:57" x14ac:dyDescent="0.35">
      <c r="A786" s="1">
        <v>500489.79590000003</v>
      </c>
      <c r="B786" s="1">
        <v>5999997.9929999998</v>
      </c>
      <c r="C786" s="1">
        <v>146.10014692256101</v>
      </c>
      <c r="D786" s="1">
        <f t="shared" si="136"/>
        <v>490.66483876570913</v>
      </c>
      <c r="E786" s="1">
        <v>0.01</v>
      </c>
      <c r="F786" s="1">
        <v>0.05</v>
      </c>
      <c r="G786" s="1">
        <v>0.1</v>
      </c>
      <c r="H786" s="1">
        <v>9.81</v>
      </c>
      <c r="I786" s="1">
        <v>2650</v>
      </c>
      <c r="J786" s="1">
        <v>1000</v>
      </c>
      <c r="K786" s="1">
        <v>1.65</v>
      </c>
      <c r="L786" s="1">
        <v>6.5</v>
      </c>
      <c r="M786" s="1">
        <v>2.5</v>
      </c>
      <c r="N786" s="6">
        <v>9.9999999999999995E-7</v>
      </c>
      <c r="O786" s="1">
        <f t="shared" si="132"/>
        <v>10.209902888805345</v>
      </c>
      <c r="P786" s="1">
        <f t="shared" si="133"/>
        <v>10.652346301971106</v>
      </c>
      <c r="Q786" s="1">
        <f t="shared" si="134"/>
        <v>10.574475203899599</v>
      </c>
      <c r="R786" s="1">
        <v>125.82909999999995</v>
      </c>
      <c r="S786" s="1" t="e">
        <f t="shared" si="135"/>
        <v>#N/A</v>
      </c>
      <c r="T786" s="1" t="e">
        <v>#N/A</v>
      </c>
    </row>
    <row r="787" spans="1:57" x14ac:dyDescent="0.35">
      <c r="A787" s="1">
        <v>500500</v>
      </c>
      <c r="B787" s="1">
        <v>5999998.4220000003</v>
      </c>
      <c r="C787" s="1">
        <v>149.127486336511</v>
      </c>
      <c r="D787" s="1">
        <f t="shared" si="136"/>
        <v>500.8779527771095</v>
      </c>
      <c r="E787" s="1">
        <v>0.01</v>
      </c>
      <c r="F787" s="1">
        <v>0.05</v>
      </c>
      <c r="G787" s="1">
        <v>0.1</v>
      </c>
      <c r="H787" s="1">
        <v>9.81</v>
      </c>
      <c r="I787" s="1">
        <v>2650</v>
      </c>
      <c r="J787" s="1">
        <v>1000</v>
      </c>
      <c r="K787" s="1">
        <v>1.65</v>
      </c>
      <c r="L787" s="1">
        <v>6.5</v>
      </c>
      <c r="M787" s="1">
        <v>2.5</v>
      </c>
      <c r="N787" s="6">
        <v>9.9999999999999995E-7</v>
      </c>
      <c r="O787" s="1">
        <f xml:space="preserve"> (D787 - D786) / 2</f>
        <v>5.1065570057001821</v>
      </c>
    </row>
    <row r="790" spans="1:57" x14ac:dyDescent="0.35">
      <c r="A790" s="1" t="s">
        <v>0</v>
      </c>
      <c r="B790" s="1" t="s">
        <v>1</v>
      </c>
      <c r="C790" s="1" t="s">
        <v>2</v>
      </c>
      <c r="D790" s="1" t="s">
        <v>18</v>
      </c>
      <c r="E790" s="1" t="s">
        <v>67</v>
      </c>
      <c r="F790" s="1" t="s">
        <v>66</v>
      </c>
      <c r="G790" s="1" t="s">
        <v>65</v>
      </c>
      <c r="H790" s="1" t="s">
        <v>64</v>
      </c>
      <c r="I790" s="1" t="s">
        <v>63</v>
      </c>
      <c r="J790" s="1" t="s">
        <v>62</v>
      </c>
      <c r="K790" s="1" t="s">
        <v>61</v>
      </c>
      <c r="L790" s="1" t="s">
        <v>60</v>
      </c>
      <c r="M790" s="1" t="s">
        <v>59</v>
      </c>
      <c r="N790" s="1" t="s">
        <v>58</v>
      </c>
      <c r="O790" s="1" t="s">
        <v>57</v>
      </c>
      <c r="P790" s="1" t="s">
        <v>56</v>
      </c>
      <c r="Q790" s="1" t="s">
        <v>55</v>
      </c>
      <c r="R790" s="1" t="s">
        <v>54</v>
      </c>
      <c r="S790" s="1" t="s">
        <v>16</v>
      </c>
      <c r="T790" s="1" t="s">
        <v>53</v>
      </c>
      <c r="U790" s="10" t="s">
        <v>52</v>
      </c>
      <c r="V790" s="10" t="s">
        <v>51</v>
      </c>
      <c r="W790" s="10" t="s">
        <v>50</v>
      </c>
      <c r="X790" s="10" t="s">
        <v>49</v>
      </c>
      <c r="Y790" s="1" t="s">
        <v>48</v>
      </c>
      <c r="Z790" s="1" t="s">
        <v>47</v>
      </c>
      <c r="AA790" s="1" t="s">
        <v>46</v>
      </c>
      <c r="AB790" s="1" t="s">
        <v>45</v>
      </c>
      <c r="AC790" s="1" t="s">
        <v>44</v>
      </c>
      <c r="AD790" s="1" t="s">
        <v>43</v>
      </c>
      <c r="AE790" s="1" t="s">
        <v>42</v>
      </c>
      <c r="AF790" s="1" t="s">
        <v>41</v>
      </c>
      <c r="AG790" s="1" t="s">
        <v>40</v>
      </c>
      <c r="AH790" s="1" t="s">
        <v>39</v>
      </c>
      <c r="AI790" s="1" t="s">
        <v>38</v>
      </c>
      <c r="AJ790" s="1" t="s">
        <v>37</v>
      </c>
      <c r="AK790" s="1" t="s">
        <v>36</v>
      </c>
      <c r="AL790" s="1" t="s">
        <v>35</v>
      </c>
      <c r="AM790" s="1" t="s">
        <v>34</v>
      </c>
      <c r="AN790" s="1" t="s">
        <v>34</v>
      </c>
      <c r="AO790" s="7" t="s">
        <v>33</v>
      </c>
      <c r="AP790" s="7" t="s">
        <v>32</v>
      </c>
      <c r="AQ790" s="7" t="s">
        <v>31</v>
      </c>
      <c r="AR790" s="7" t="s">
        <v>30</v>
      </c>
      <c r="AS790" s="7" t="s">
        <v>29</v>
      </c>
      <c r="AT790" s="7" t="s">
        <v>28</v>
      </c>
      <c r="AU790" s="7" t="s">
        <v>27</v>
      </c>
      <c r="AV790" s="7" t="s">
        <v>27</v>
      </c>
      <c r="AW790" s="1" t="s">
        <v>26</v>
      </c>
      <c r="AX790" s="1" t="s">
        <v>25</v>
      </c>
      <c r="AY790" s="1" t="s">
        <v>24</v>
      </c>
      <c r="AZ790" s="1" t="s">
        <v>23</v>
      </c>
      <c r="BA790" s="1" t="s">
        <v>22</v>
      </c>
      <c r="BB790" s="1" t="s">
        <v>21</v>
      </c>
      <c r="BC790" s="1" t="s">
        <v>20</v>
      </c>
      <c r="BD790" s="1" t="s">
        <v>20</v>
      </c>
      <c r="BE790" s="1" t="s">
        <v>19</v>
      </c>
    </row>
    <row r="791" spans="1:57" x14ac:dyDescent="0.35">
      <c r="A791" s="1">
        <v>500000</v>
      </c>
      <c r="B791" s="1">
        <v>5999999.0959999999</v>
      </c>
      <c r="C791" s="1">
        <v>146.95665459614199</v>
      </c>
      <c r="D791" s="1">
        <v>0</v>
      </c>
      <c r="E791" s="1">
        <v>0.01</v>
      </c>
      <c r="F791" s="1">
        <v>0.05</v>
      </c>
      <c r="G791" s="1">
        <v>0.1</v>
      </c>
      <c r="H791" s="1">
        <v>9.81</v>
      </c>
      <c r="I791" s="1">
        <v>2650</v>
      </c>
      <c r="J791" s="1">
        <v>1000</v>
      </c>
      <c r="K791" s="1">
        <v>1.65</v>
      </c>
      <c r="L791" s="1">
        <v>6.5</v>
      </c>
      <c r="M791" s="1">
        <v>2.5</v>
      </c>
      <c r="N791" s="6">
        <v>9.9999999999999995E-7</v>
      </c>
      <c r="O791" s="1">
        <f xml:space="preserve"> (D792 - D791) / 2</f>
        <v>5.1061868798967165</v>
      </c>
      <c r="P791" s="1">
        <f t="shared" ref="P791:P822" si="137">SQRT((D792 - D791)^2 + (C792 - C791)^2)</f>
        <v>12.612081347143071</v>
      </c>
      <c r="Q791" s="1">
        <f t="shared" ref="Q791:Q822" si="138">IF(ROW()=791, P791/2, (P791 + P790)/2)</f>
        <v>6.3060406735715357</v>
      </c>
      <c r="R791" s="1">
        <v>125.87909999999995</v>
      </c>
      <c r="S791" s="1" t="e">
        <f t="shared" ref="S791:S822" si="139">IF(R791 - C791 &lt; 0, NA(), R791 - C791)</f>
        <v>#N/A</v>
      </c>
      <c r="T791" s="1" t="e">
        <v>#N/A</v>
      </c>
      <c r="U791" s="10" cm="1">
        <f t="array" ref="U791">SUMPRODUCT(IF(ISNA(T791:T840), 0, T791:T840), IF(ISNA(O791:O840), 0, O791:O840))</f>
        <v>9.5445197510270816</v>
      </c>
      <c r="V791" s="10">
        <f>SUMIF(S791:S840, "&gt;0", O791:O840)</f>
        <v>20.447722812498938</v>
      </c>
      <c r="W791" s="10">
        <f>SUMIF(S791:S840, "&gt;0", Q791:Q840)</f>
        <v>22.699230388756035</v>
      </c>
      <c r="X791" s="10">
        <f>U791/W791</f>
        <v>0.42047768085366094</v>
      </c>
      <c r="Y791" s="1">
        <f xml:space="preserve"> (6.5 * 2.5 * (X791 / G791)) / SQRT(6.5^2 + 2.5^2 * (X791 / G791)^(5/3))</f>
        <v>6.4937915270721529</v>
      </c>
      <c r="Z791" s="1">
        <f>Y791*SQRT(X791*H791*E791)</f>
        <v>1.3188770769413856</v>
      </c>
      <c r="AA791" s="1">
        <f>J791*H791*X791*E791</f>
        <v>41.248860491744139</v>
      </c>
      <c r="AB791" s="1">
        <f>(AA791 / (9.81 * 1000 *1.65 * F791))</f>
        <v>5.0966991618625564E-2</v>
      </c>
      <c r="AC791" s="9">
        <f xml:space="preserve"> F791 * (K791 * H791 / (N791)^2)^(1/3)</f>
        <v>1264.7974700106745</v>
      </c>
      <c r="AD791" s="1">
        <f xml:space="preserve"> 0.3 / (1 + 1.2 * AC791) + 0.055 * (1 - EXP(-0.02 * AC791))</f>
        <v>5.5197529957883754E-2</v>
      </c>
      <c r="AE791" s="1">
        <f>IF(AC791 &lt;= 4, 0.24 * AC791^-1, IF(AC791 &gt; 4, IF(AC791 &lt;= 10, 0.14 * AC791^-0.64, IF(AC791 &lt;= 20, 0.04 * AC791^-0.1, IF(AC791 &lt;= 150, 0.013 * AC791^0.29, 0.056)))))</f>
        <v>5.6000000000000001E-2</v>
      </c>
      <c r="AF791" s="1">
        <f>AB791/AD791-1</f>
        <v>-7.6643616888040667E-2</v>
      </c>
      <c r="AG791" s="1">
        <f xml:space="preserve"> 2.45 * SQRT(AD791) / (K791 + 1)^0.4</f>
        <v>0.38978718496890047</v>
      </c>
      <c r="AH791" s="1">
        <f>SQRT(2/3 + 36 / AC791^3) - SQRT(36 / AC791^3)</f>
        <v>0.81636320289979147</v>
      </c>
      <c r="AI791" s="1">
        <f>AA791* Z791 / (J791 * (H791* K791 * F791)^(3/2))</f>
        <v>7.4719136047058529E-2</v>
      </c>
      <c r="AJ791" s="1">
        <f>AD791* K791 * F791 / E791</f>
        <v>0.45537962215254096</v>
      </c>
      <c r="AK791" s="1">
        <f>Y791 * AD791^(3/2)</f>
        <v>8.4212741918398504E-2</v>
      </c>
      <c r="AL791" s="1">
        <f>(0.92 - 0.25 * SQRT(AK791 / AI791))^9</f>
        <v>2.2066830192407745E-2</v>
      </c>
      <c r="AM791" s="1">
        <v>5.2759527000000001E-2</v>
      </c>
      <c r="AN791" s="1">
        <v>4.7434165E-2</v>
      </c>
      <c r="AO791" s="7">
        <f>IF(AB791 &gt; 0.047, 8 * (AB791 - 0.047)^(3/2), 0)</f>
        <v>1.9988578557731166E-3</v>
      </c>
      <c r="AP791" s="7">
        <f>IF(AB791&gt; 0.047, 4 * (AB791 - 0.047)^(3/2), 0)</f>
        <v>9.9942892788655829E-4</v>
      </c>
      <c r="AQ791" s="7" t="e">
        <f xml:space="preserve"> (0.053 / AC791^(0.3)) * ((AB791 / AE791) - 1)^2.1</f>
        <v>#NUM!</v>
      </c>
      <c r="AR791" s="7">
        <f xml:space="preserve"> IF(AB791 &gt; AD791, 0.635 * AF791 * SQRT(AB791) * (1 - (1 / (AG791*AF791)) * LOG(1 + AF791*AG791)), 0)</f>
        <v>0</v>
      </c>
      <c r="AS791" s="8">
        <f>IF(AB791&gt;= 0.19, 40 * AH791 * AB791^3, (AH791 * EXP(-0.391 / AB791)) / 0.465)</f>
        <v>8.1786769817560393E-4</v>
      </c>
      <c r="AT791" s="7">
        <f>AL791* AI791</f>
        <v>1.648814487273853E-3</v>
      </c>
      <c r="AU791" s="7">
        <f>14 * AB791^2.5 / (1 + (AM791/AB791)^4)</f>
        <v>3.8217279647802414E-3</v>
      </c>
      <c r="AV791" s="7">
        <f>14*AB791^2.5/(1+(AN791/AB791)^4)</f>
        <v>4.6908240875715591E-3</v>
      </c>
      <c r="AW791" s="1">
        <f>AO791*SQRT(1.65*9.81*F791^3)</f>
        <v>8.9911117113700953E-5</v>
      </c>
      <c r="AX791" s="1">
        <f>AP791*SQRT(1.65*9.81*F791^3)</f>
        <v>4.4955558556850476E-5</v>
      </c>
      <c r="AY791" s="1" t="e">
        <f>AQ791*SQRT(1.65*9.81*F791^3)</f>
        <v>#NUM!</v>
      </c>
      <c r="AZ791" s="1">
        <f>AR791*SQRT(1.65*9.81*F791^3)</f>
        <v>0</v>
      </c>
      <c r="BA791" s="1">
        <f>AS791*SQRT(1.65*9.81*F791^3)</f>
        <v>3.6788708202433831E-5</v>
      </c>
      <c r="BB791" s="1">
        <f>AT791*SQRT(1.65*9.81*F791^3)</f>
        <v>7.4165730212320398E-5</v>
      </c>
      <c r="BC791" s="1">
        <f>AU791*SQRT(1.65*9.81*G791^3)</f>
        <v>4.8622383678023574E-4</v>
      </c>
      <c r="BD791" s="1">
        <f>AV791*SQRT(1.65*9.81*G791^3)</f>
        <v>5.9679561353900368E-4</v>
      </c>
      <c r="BE791" s="1">
        <f>U791*Z791</f>
        <v>12.588048310043918</v>
      </c>
    </row>
    <row r="792" spans="1:57" x14ac:dyDescent="0.35">
      <c r="A792" s="1">
        <v>500010.20409999997</v>
      </c>
      <c r="B792" s="1">
        <v>5999998.6849999996</v>
      </c>
      <c r="C792" s="1">
        <v>154.35746658519</v>
      </c>
      <c r="D792" s="1">
        <f t="shared" ref="D792:D823" si="140">D791 + SQRT((A792 - A791)^2 + (B792 - B791)^2)</f>
        <v>10.212373759793433</v>
      </c>
      <c r="E792" s="1">
        <v>0.01</v>
      </c>
      <c r="F792" s="1">
        <v>0.05</v>
      </c>
      <c r="G792" s="1">
        <v>0.1</v>
      </c>
      <c r="H792" s="1">
        <v>9.81</v>
      </c>
      <c r="I792" s="1">
        <v>2650</v>
      </c>
      <c r="J792" s="1">
        <v>1000</v>
      </c>
      <c r="K792" s="1">
        <v>1.65</v>
      </c>
      <c r="L792" s="1">
        <v>6.5</v>
      </c>
      <c r="M792" s="1">
        <v>2.5</v>
      </c>
      <c r="N792" s="6">
        <v>9.9999999999999995E-7</v>
      </c>
      <c r="O792" s="1">
        <f t="shared" ref="O792:O839" si="141" xml:space="preserve"> (D793 - D792 + D792 - D791) / 2</f>
        <v>10.212934886473896</v>
      </c>
      <c r="P792" s="1">
        <f t="shared" si="137"/>
        <v>10.748393624242958</v>
      </c>
      <c r="Q792" s="1">
        <f t="shared" si="138"/>
        <v>11.680237485693015</v>
      </c>
      <c r="R792" s="1">
        <v>125.87909999999995</v>
      </c>
      <c r="S792" s="1" t="e">
        <f t="shared" si="139"/>
        <v>#N/A</v>
      </c>
      <c r="T792" s="1" t="e">
        <v>#N/A</v>
      </c>
      <c r="AO792" s="7"/>
      <c r="AP792" s="7"/>
      <c r="AQ792" s="7"/>
      <c r="AR792" s="7"/>
      <c r="AS792" s="7"/>
      <c r="AT792" s="7"/>
      <c r="AU792" s="7"/>
      <c r="AV792" s="7"/>
    </row>
    <row r="793" spans="1:57" x14ac:dyDescent="0.35">
      <c r="A793" s="1">
        <v>500020.40820000001</v>
      </c>
      <c r="B793" s="1">
        <v>5999999.1229999997</v>
      </c>
      <c r="C793" s="1">
        <v>151.008964727501</v>
      </c>
      <c r="D793" s="1">
        <f t="shared" si="140"/>
        <v>20.425869772947792</v>
      </c>
      <c r="E793" s="1">
        <v>0.01</v>
      </c>
      <c r="F793" s="1">
        <v>0.05</v>
      </c>
      <c r="G793" s="1">
        <v>0.1</v>
      </c>
      <c r="H793" s="1">
        <v>9.81</v>
      </c>
      <c r="I793" s="1">
        <v>2650</v>
      </c>
      <c r="J793" s="1">
        <v>1000</v>
      </c>
      <c r="K793" s="1">
        <v>1.65</v>
      </c>
      <c r="L793" s="1">
        <v>6.5</v>
      </c>
      <c r="M793" s="1">
        <v>2.5</v>
      </c>
      <c r="N793" s="6">
        <v>9.9999999999999995E-7</v>
      </c>
      <c r="O793" s="1">
        <f t="shared" si="141"/>
        <v>10.21125621009096</v>
      </c>
      <c r="P793" s="1">
        <f t="shared" si="137"/>
        <v>13.985433799960637</v>
      </c>
      <c r="Q793" s="1">
        <f t="shared" si="138"/>
        <v>12.366913712101798</v>
      </c>
      <c r="R793" s="1">
        <v>125.87909999999995</v>
      </c>
      <c r="S793" s="1" t="e">
        <f t="shared" si="139"/>
        <v>#N/A</v>
      </c>
      <c r="T793" s="1" t="e">
        <v>#N/A</v>
      </c>
    </row>
    <row r="794" spans="1:57" x14ac:dyDescent="0.35">
      <c r="A794" s="1">
        <v>500030.61219999997</v>
      </c>
      <c r="B794" s="1">
        <v>5999998.8030000003</v>
      </c>
      <c r="C794" s="1">
        <v>160.567643641144</v>
      </c>
      <c r="D794" s="1">
        <f t="shared" si="140"/>
        <v>30.634886179975354</v>
      </c>
      <c r="E794" s="1">
        <v>0.01</v>
      </c>
      <c r="F794" s="1">
        <v>0.05</v>
      </c>
      <c r="G794" s="1">
        <v>0.1</v>
      </c>
      <c r="H794" s="1">
        <v>9.81</v>
      </c>
      <c r="I794" s="1">
        <v>2650</v>
      </c>
      <c r="J794" s="1">
        <v>1000</v>
      </c>
      <c r="K794" s="1">
        <v>1.65</v>
      </c>
      <c r="L794" s="1">
        <v>6.5</v>
      </c>
      <c r="M794" s="1">
        <v>2.5</v>
      </c>
      <c r="N794" s="6">
        <v>9.9999999999999995E-7</v>
      </c>
      <c r="O794" s="1">
        <f t="shared" si="141"/>
        <v>10.214935822867286</v>
      </c>
      <c r="P794" s="1">
        <f t="shared" si="137"/>
        <v>10.224042445454263</v>
      </c>
      <c r="Q794" s="1">
        <f t="shared" si="138"/>
        <v>12.104738122707449</v>
      </c>
      <c r="R794" s="1">
        <v>125.87909999999995</v>
      </c>
      <c r="S794" s="1" t="e">
        <f t="shared" si="139"/>
        <v>#N/A</v>
      </c>
      <c r="T794" s="1" t="e">
        <v>#N/A</v>
      </c>
    </row>
    <row r="795" spans="1:57" x14ac:dyDescent="0.35">
      <c r="A795" s="1">
        <v>500040.81630000001</v>
      </c>
      <c r="B795" s="1">
        <v>5999998.2180000003</v>
      </c>
      <c r="C795" s="1">
        <v>160.82291235416201</v>
      </c>
      <c r="D795" s="1">
        <f t="shared" si="140"/>
        <v>40.855741418682364</v>
      </c>
      <c r="E795" s="1">
        <v>0.01</v>
      </c>
      <c r="F795" s="1">
        <v>0.05</v>
      </c>
      <c r="G795" s="1">
        <v>0.1</v>
      </c>
      <c r="H795" s="1">
        <v>9.81</v>
      </c>
      <c r="I795" s="1">
        <v>2650</v>
      </c>
      <c r="J795" s="1">
        <v>1000</v>
      </c>
      <c r="K795" s="1">
        <v>1.65</v>
      </c>
      <c r="L795" s="1">
        <v>6.5</v>
      </c>
      <c r="M795" s="1">
        <v>2.5</v>
      </c>
      <c r="N795" s="6">
        <v>9.9999999999999995E-7</v>
      </c>
      <c r="O795" s="1">
        <f t="shared" si="141"/>
        <v>10.231243785008825</v>
      </c>
      <c r="P795" s="1">
        <f t="shared" si="137"/>
        <v>10.333484931908488</v>
      </c>
      <c r="Q795" s="1">
        <f t="shared" si="138"/>
        <v>10.278763688681376</v>
      </c>
      <c r="R795" s="1">
        <v>125.87909999999995</v>
      </c>
      <c r="S795" s="1" t="e">
        <f t="shared" si="139"/>
        <v>#N/A</v>
      </c>
      <c r="T795" s="1" t="e">
        <v>#N/A</v>
      </c>
    </row>
    <row r="796" spans="1:57" x14ac:dyDescent="0.35">
      <c r="A796" s="1">
        <v>500051.02039999998</v>
      </c>
      <c r="B796" s="1">
        <v>5999997.3420000002</v>
      </c>
      <c r="C796" s="1">
        <v>159.448184007094</v>
      </c>
      <c r="D796" s="1">
        <f t="shared" si="140"/>
        <v>51.097373749993004</v>
      </c>
      <c r="E796" s="1">
        <v>0.01</v>
      </c>
      <c r="F796" s="1">
        <v>0.05</v>
      </c>
      <c r="G796" s="1">
        <v>0.1</v>
      </c>
      <c r="H796" s="1">
        <v>9.81</v>
      </c>
      <c r="I796" s="1">
        <v>2650</v>
      </c>
      <c r="J796" s="1">
        <v>1000</v>
      </c>
      <c r="K796" s="1">
        <v>1.65</v>
      </c>
      <c r="L796" s="1">
        <v>6.5</v>
      </c>
      <c r="M796" s="1">
        <v>2.5</v>
      </c>
      <c r="N796" s="6">
        <v>9.9999999999999995E-7</v>
      </c>
      <c r="O796" s="1">
        <f t="shared" si="141"/>
        <v>10.22297614478725</v>
      </c>
      <c r="P796" s="1">
        <f t="shared" si="137"/>
        <v>11.164078602095582</v>
      </c>
      <c r="Q796" s="1">
        <f t="shared" si="138"/>
        <v>10.748781767002036</v>
      </c>
      <c r="R796" s="1">
        <v>125.87909999999995</v>
      </c>
      <c r="S796" s="1" t="e">
        <f t="shared" si="139"/>
        <v>#N/A</v>
      </c>
      <c r="T796" s="1" t="e">
        <v>#N/A</v>
      </c>
    </row>
    <row r="797" spans="1:57" x14ac:dyDescent="0.35">
      <c r="A797" s="1">
        <v>500061.22450000001</v>
      </c>
      <c r="B797" s="1">
        <v>5999997.2750000004</v>
      </c>
      <c r="C797" s="1">
        <v>163.976815723534</v>
      </c>
      <c r="D797" s="1">
        <f t="shared" si="140"/>
        <v>61.301693708256863</v>
      </c>
      <c r="E797" s="1">
        <v>0.01</v>
      </c>
      <c r="F797" s="1">
        <v>0.05</v>
      </c>
      <c r="G797" s="1">
        <v>0.1</v>
      </c>
      <c r="H797" s="1">
        <v>9.81</v>
      </c>
      <c r="I797" s="1">
        <v>2650</v>
      </c>
      <c r="J797" s="1">
        <v>1000</v>
      </c>
      <c r="K797" s="1">
        <v>1.65</v>
      </c>
      <c r="L797" s="1">
        <v>6.5</v>
      </c>
      <c r="M797" s="1">
        <v>2.5</v>
      </c>
      <c r="N797" s="6">
        <v>9.9999999999999995E-7</v>
      </c>
      <c r="O797" s="1">
        <f t="shared" si="141"/>
        <v>10.209391538632293</v>
      </c>
      <c r="P797" s="1">
        <f t="shared" si="137"/>
        <v>11.034750060361873</v>
      </c>
      <c r="Q797" s="1">
        <f t="shared" si="138"/>
        <v>11.099414331228727</v>
      </c>
      <c r="R797" s="1">
        <v>125.87909999999995</v>
      </c>
      <c r="S797" s="1" t="e">
        <f t="shared" si="139"/>
        <v>#N/A</v>
      </c>
      <c r="T797" s="1" t="e">
        <v>#N/A</v>
      </c>
    </row>
    <row r="798" spans="1:57" x14ac:dyDescent="0.35">
      <c r="A798" s="1">
        <v>500071.42859999998</v>
      </c>
      <c r="B798" s="1">
        <v>5999996.8150000004</v>
      </c>
      <c r="C798" s="1">
        <v>168.15179501512699</v>
      </c>
      <c r="D798" s="1">
        <f t="shared" si="140"/>
        <v>71.516156827257589</v>
      </c>
      <c r="E798" s="1">
        <v>0.01</v>
      </c>
      <c r="F798" s="1">
        <v>0.05</v>
      </c>
      <c r="G798" s="1">
        <v>0.1</v>
      </c>
      <c r="H798" s="1">
        <v>9.81</v>
      </c>
      <c r="I798" s="1">
        <v>2650</v>
      </c>
      <c r="J798" s="1">
        <v>1000</v>
      </c>
      <c r="K798" s="1">
        <v>1.65</v>
      </c>
      <c r="L798" s="1">
        <v>6.5</v>
      </c>
      <c r="M798" s="1">
        <v>2.5</v>
      </c>
      <c r="N798" s="6">
        <v>9.9999999999999995E-7</v>
      </c>
      <c r="O798" s="1">
        <f t="shared" si="141"/>
        <v>10.229976351370027</v>
      </c>
      <c r="P798" s="1">
        <f t="shared" si="137"/>
        <v>11.687505241745082</v>
      </c>
      <c r="Q798" s="1">
        <f t="shared" si="138"/>
        <v>11.361127651053478</v>
      </c>
      <c r="R798" s="1">
        <v>125.87909999999995</v>
      </c>
      <c r="S798" s="1" t="e">
        <f t="shared" si="139"/>
        <v>#N/A</v>
      </c>
      <c r="T798" s="1" t="e">
        <v>#N/A</v>
      </c>
    </row>
    <row r="799" spans="1:57" x14ac:dyDescent="0.35">
      <c r="A799" s="1">
        <v>500081.63270000002</v>
      </c>
      <c r="B799" s="1">
        <v>5999997.7350000003</v>
      </c>
      <c r="C799" s="1">
        <v>162.52794206849799</v>
      </c>
      <c r="D799" s="1">
        <f t="shared" si="140"/>
        <v>81.761646410996917</v>
      </c>
      <c r="E799" s="1">
        <v>0.01</v>
      </c>
      <c r="F799" s="1">
        <v>0.05</v>
      </c>
      <c r="G799" s="1">
        <v>0.1</v>
      </c>
      <c r="H799" s="1">
        <v>9.81</v>
      </c>
      <c r="I799" s="1">
        <v>2650</v>
      </c>
      <c r="J799" s="1">
        <v>1000</v>
      </c>
      <c r="K799" s="1">
        <v>1.65</v>
      </c>
      <c r="L799" s="1">
        <v>6.5</v>
      </c>
      <c r="M799" s="1">
        <v>2.5</v>
      </c>
      <c r="N799" s="6">
        <v>9.9999999999999995E-7</v>
      </c>
      <c r="O799" s="1">
        <f t="shared" si="141"/>
        <v>10.224765396477437</v>
      </c>
      <c r="P799" s="1">
        <f t="shared" si="137"/>
        <v>11.652977208096294</v>
      </c>
      <c r="Q799" s="1">
        <f t="shared" si="138"/>
        <v>11.670241224920687</v>
      </c>
      <c r="R799" s="1">
        <v>125.87909999999995</v>
      </c>
      <c r="S799" s="1" t="e">
        <f t="shared" si="139"/>
        <v>#N/A</v>
      </c>
      <c r="T799" s="1" t="e">
        <v>#N/A</v>
      </c>
    </row>
    <row r="800" spans="1:57" x14ac:dyDescent="0.35">
      <c r="A800" s="1">
        <v>500091.83669999999</v>
      </c>
      <c r="B800" s="1">
        <v>5999997.7640000004</v>
      </c>
      <c r="C800" s="1">
        <v>168.15550111421601</v>
      </c>
      <c r="D800" s="1">
        <f t="shared" si="140"/>
        <v>91.965687620212464</v>
      </c>
      <c r="E800" s="1">
        <v>0.01</v>
      </c>
      <c r="F800" s="1">
        <v>0.05</v>
      </c>
      <c r="G800" s="1">
        <v>0.1</v>
      </c>
      <c r="H800" s="1">
        <v>9.81</v>
      </c>
      <c r="I800" s="1">
        <v>2650</v>
      </c>
      <c r="J800" s="1">
        <v>1000</v>
      </c>
      <c r="K800" s="1">
        <v>1.65</v>
      </c>
      <c r="L800" s="1">
        <v>6.5</v>
      </c>
      <c r="M800" s="1">
        <v>2.5</v>
      </c>
      <c r="N800" s="6">
        <v>9.9999999999999995E-7</v>
      </c>
      <c r="O800" s="1">
        <f t="shared" si="141"/>
        <v>10.204607223431253</v>
      </c>
      <c r="P800" s="1">
        <f t="shared" si="137"/>
        <v>10.499401533865951</v>
      </c>
      <c r="Q800" s="1">
        <f t="shared" si="138"/>
        <v>11.076189370981123</v>
      </c>
      <c r="R800" s="1">
        <v>125.87909999999995</v>
      </c>
      <c r="S800" s="1" t="e">
        <f t="shared" si="139"/>
        <v>#N/A</v>
      </c>
      <c r="T800" s="1" t="e">
        <v>#N/A</v>
      </c>
    </row>
    <row r="801" spans="1:20" x14ac:dyDescent="0.35">
      <c r="A801" s="1">
        <v>500102.04080000002</v>
      </c>
      <c r="B801" s="1">
        <v>5999997.9119999995</v>
      </c>
      <c r="C801" s="1">
        <v>170.62367285843499</v>
      </c>
      <c r="D801" s="1">
        <f t="shared" si="140"/>
        <v>102.17086085785942</v>
      </c>
      <c r="E801" s="1">
        <v>0.01</v>
      </c>
      <c r="F801" s="1">
        <v>0.05</v>
      </c>
      <c r="G801" s="1">
        <v>0.1</v>
      </c>
      <c r="H801" s="1">
        <v>9.81</v>
      </c>
      <c r="I801" s="1">
        <v>2650</v>
      </c>
      <c r="J801" s="1">
        <v>1000</v>
      </c>
      <c r="K801" s="1">
        <v>1.65</v>
      </c>
      <c r="L801" s="1">
        <v>6.5</v>
      </c>
      <c r="M801" s="1">
        <v>2.5</v>
      </c>
      <c r="N801" s="6">
        <v>9.9999999999999995E-7</v>
      </c>
      <c r="O801" s="1">
        <f t="shared" si="141"/>
        <v>10.21006882166494</v>
      </c>
      <c r="P801" s="1">
        <f t="shared" si="137"/>
        <v>10.948230205101877</v>
      </c>
      <c r="Q801" s="1">
        <f t="shared" si="138"/>
        <v>10.723815869483914</v>
      </c>
      <c r="R801" s="1">
        <v>125.87909999999995</v>
      </c>
      <c r="S801" s="1" t="e">
        <f t="shared" si="139"/>
        <v>#N/A</v>
      </c>
      <c r="T801" s="1" t="e">
        <v>#N/A</v>
      </c>
    </row>
    <row r="802" spans="1:20" x14ac:dyDescent="0.35">
      <c r="A802" s="1">
        <v>500112.24489999999</v>
      </c>
      <c r="B802" s="1">
        <v>5999997.4409999996</v>
      </c>
      <c r="C802" s="1">
        <v>174.56299346160199</v>
      </c>
      <c r="D802" s="1">
        <f t="shared" si="140"/>
        <v>112.38582526354234</v>
      </c>
      <c r="E802" s="1">
        <v>0.01</v>
      </c>
      <c r="F802" s="1">
        <v>0.05</v>
      </c>
      <c r="G802" s="1">
        <v>0.1</v>
      </c>
      <c r="H802" s="1">
        <v>9.81</v>
      </c>
      <c r="I802" s="1">
        <v>2650</v>
      </c>
      <c r="J802" s="1">
        <v>1000</v>
      </c>
      <c r="K802" s="1">
        <v>1.65</v>
      </c>
      <c r="L802" s="1">
        <v>6.5</v>
      </c>
      <c r="M802" s="1">
        <v>2.5</v>
      </c>
      <c r="N802" s="6">
        <v>9.9999999999999995E-7</v>
      </c>
      <c r="O802" s="1">
        <f t="shared" si="141"/>
        <v>10.211692861963954</v>
      </c>
      <c r="P802" s="1">
        <f t="shared" si="137"/>
        <v>13.530011313683339</v>
      </c>
      <c r="Q802" s="1">
        <f t="shared" si="138"/>
        <v>12.239120759392609</v>
      </c>
      <c r="R802" s="1">
        <v>125.87909999999995</v>
      </c>
      <c r="S802" s="1" t="e">
        <f t="shared" si="139"/>
        <v>#N/A</v>
      </c>
      <c r="T802" s="1" t="e">
        <v>#N/A</v>
      </c>
    </row>
    <row r="803" spans="1:20" x14ac:dyDescent="0.35">
      <c r="A803" s="1">
        <v>500122.44900000002</v>
      </c>
      <c r="B803" s="1">
        <v>5999997.7379999999</v>
      </c>
      <c r="C803" s="1">
        <v>165.68327835707299</v>
      </c>
      <c r="D803" s="1">
        <f t="shared" si="140"/>
        <v>122.59424658178733</v>
      </c>
      <c r="E803" s="1">
        <v>0.01</v>
      </c>
      <c r="F803" s="1">
        <v>0.05</v>
      </c>
      <c r="G803" s="1">
        <v>0.1</v>
      </c>
      <c r="H803" s="1">
        <v>9.81</v>
      </c>
      <c r="I803" s="1">
        <v>2650</v>
      </c>
      <c r="J803" s="1">
        <v>1000</v>
      </c>
      <c r="K803" s="1">
        <v>1.65</v>
      </c>
      <c r="L803" s="1">
        <v>6.5</v>
      </c>
      <c r="M803" s="1">
        <v>2.5</v>
      </c>
      <c r="N803" s="6">
        <v>9.9999999999999995E-7</v>
      </c>
      <c r="O803" s="1">
        <f t="shared" si="141"/>
        <v>10.212455607463802</v>
      </c>
      <c r="P803" s="1">
        <f t="shared" si="137"/>
        <v>12.917030195420445</v>
      </c>
      <c r="Q803" s="1">
        <f t="shared" si="138"/>
        <v>13.223520754551892</v>
      </c>
      <c r="R803" s="1">
        <v>125.87909999999995</v>
      </c>
      <c r="S803" s="1" t="e">
        <f t="shared" si="139"/>
        <v>#N/A</v>
      </c>
      <c r="T803" s="1" t="e">
        <v>#N/A</v>
      </c>
    </row>
    <row r="804" spans="1:20" x14ac:dyDescent="0.35">
      <c r="A804" s="1">
        <v>500132.6531</v>
      </c>
      <c r="B804" s="1">
        <v>5999997.2350000003</v>
      </c>
      <c r="C804" s="1">
        <v>173.58726489934301</v>
      </c>
      <c r="D804" s="1">
        <f t="shared" si="140"/>
        <v>132.81073647846995</v>
      </c>
      <c r="E804" s="1">
        <v>0.01</v>
      </c>
      <c r="F804" s="1">
        <v>0.05</v>
      </c>
      <c r="G804" s="1">
        <v>0.1</v>
      </c>
      <c r="H804" s="1">
        <v>9.81</v>
      </c>
      <c r="I804" s="1">
        <v>2650</v>
      </c>
      <c r="J804" s="1">
        <v>1000</v>
      </c>
      <c r="K804" s="1">
        <v>1.65</v>
      </c>
      <c r="L804" s="1">
        <v>6.5</v>
      </c>
      <c r="M804" s="1">
        <v>2.5</v>
      </c>
      <c r="N804" s="6">
        <v>9.9999999999999995E-7</v>
      </c>
      <c r="O804" s="1">
        <f t="shared" si="141"/>
        <v>10.225512676353247</v>
      </c>
      <c r="P804" s="1">
        <f t="shared" si="137"/>
        <v>13.492945518552009</v>
      </c>
      <c r="Q804" s="1">
        <f t="shared" si="138"/>
        <v>13.204987856986227</v>
      </c>
      <c r="R804" s="1">
        <v>125.87909999999995</v>
      </c>
      <c r="S804" s="1" t="e">
        <f t="shared" si="139"/>
        <v>#N/A</v>
      </c>
      <c r="T804" s="1" t="e">
        <v>#N/A</v>
      </c>
    </row>
    <row r="805" spans="1:20" x14ac:dyDescent="0.35">
      <c r="A805" s="1">
        <v>500142.85710000002</v>
      </c>
      <c r="B805" s="1">
        <v>5999996.4450000003</v>
      </c>
      <c r="C805" s="1">
        <v>164.79443470844299</v>
      </c>
      <c r="D805" s="1">
        <f t="shared" si="140"/>
        <v>143.04527193449383</v>
      </c>
      <c r="E805" s="1">
        <v>0.01</v>
      </c>
      <c r="F805" s="1">
        <v>0.05</v>
      </c>
      <c r="G805" s="1">
        <v>0.1</v>
      </c>
      <c r="H805" s="1">
        <v>9.81</v>
      </c>
      <c r="I805" s="1">
        <v>2650</v>
      </c>
      <c r="J805" s="1">
        <v>1000</v>
      </c>
      <c r="K805" s="1">
        <v>1.65</v>
      </c>
      <c r="L805" s="1">
        <v>6.5</v>
      </c>
      <c r="M805" s="1">
        <v>2.5</v>
      </c>
      <c r="N805" s="6">
        <v>9.9999999999999995E-7</v>
      </c>
      <c r="O805" s="1">
        <f t="shared" si="141"/>
        <v>10.219577641411078</v>
      </c>
      <c r="P805" s="1">
        <f t="shared" si="137"/>
        <v>10.57052865269438</v>
      </c>
      <c r="Q805" s="1">
        <f t="shared" si="138"/>
        <v>12.031737085623195</v>
      </c>
      <c r="R805" s="1">
        <v>125.87909999999995</v>
      </c>
      <c r="S805" s="1" t="e">
        <f t="shared" si="139"/>
        <v>#N/A</v>
      </c>
      <c r="T805" s="1" t="e">
        <v>#N/A</v>
      </c>
    </row>
    <row r="806" spans="1:20" x14ac:dyDescent="0.35">
      <c r="A806" s="1">
        <v>500153.0612</v>
      </c>
      <c r="B806" s="1">
        <v>5999996.5480000004</v>
      </c>
      <c r="C806" s="1">
        <v>167.55157275140499</v>
      </c>
      <c r="D806" s="1">
        <f t="shared" si="140"/>
        <v>153.2498917612921</v>
      </c>
      <c r="E806" s="1">
        <v>0.01</v>
      </c>
      <c r="F806" s="1">
        <v>0.05</v>
      </c>
      <c r="G806" s="1">
        <v>0.1</v>
      </c>
      <c r="H806" s="1">
        <v>9.81</v>
      </c>
      <c r="I806" s="1">
        <v>2650</v>
      </c>
      <c r="J806" s="1">
        <v>1000</v>
      </c>
      <c r="K806" s="1">
        <v>1.65</v>
      </c>
      <c r="L806" s="1">
        <v>6.5</v>
      </c>
      <c r="M806" s="1">
        <v>2.5</v>
      </c>
      <c r="N806" s="6">
        <v>9.9999999999999995E-7</v>
      </c>
      <c r="O806" s="1">
        <f t="shared" si="141"/>
        <v>10.204940921281036</v>
      </c>
      <c r="P806" s="1">
        <f t="shared" si="137"/>
        <v>10.682627590463349</v>
      </c>
      <c r="Q806" s="1">
        <f t="shared" si="138"/>
        <v>10.626578121578865</v>
      </c>
      <c r="R806" s="1">
        <v>125.87909999999995</v>
      </c>
      <c r="S806" s="1" t="e">
        <f t="shared" si="139"/>
        <v>#N/A</v>
      </c>
      <c r="T806" s="1" t="e">
        <v>#N/A</v>
      </c>
    </row>
    <row r="807" spans="1:20" x14ac:dyDescent="0.35">
      <c r="A807" s="1">
        <v>500163.26530000003</v>
      </c>
      <c r="B807" s="1">
        <v>5999996.7019999996</v>
      </c>
      <c r="C807" s="1">
        <v>164.39385847900201</v>
      </c>
      <c r="D807" s="1">
        <f t="shared" si="140"/>
        <v>163.4551537770559</v>
      </c>
      <c r="E807" s="1">
        <v>0.01</v>
      </c>
      <c r="F807" s="1">
        <v>0.05</v>
      </c>
      <c r="G807" s="1">
        <v>0.1</v>
      </c>
      <c r="H807" s="1">
        <v>9.81</v>
      </c>
      <c r="I807" s="1">
        <v>2650</v>
      </c>
      <c r="J807" s="1">
        <v>1000</v>
      </c>
      <c r="K807" s="1">
        <v>1.65</v>
      </c>
      <c r="L807" s="1">
        <v>6.5</v>
      </c>
      <c r="M807" s="1">
        <v>2.5</v>
      </c>
      <c r="N807" s="6">
        <v>9.9999999999999995E-7</v>
      </c>
      <c r="O807" s="1">
        <f t="shared" si="141"/>
        <v>10.213849082106762</v>
      </c>
      <c r="P807" s="1">
        <f t="shared" si="137"/>
        <v>11.026540308620518</v>
      </c>
      <c r="Q807" s="1">
        <f t="shared" si="138"/>
        <v>10.854583949541933</v>
      </c>
      <c r="R807" s="1">
        <v>125.87909999999995</v>
      </c>
      <c r="S807" s="1" t="e">
        <f t="shared" si="139"/>
        <v>#N/A</v>
      </c>
      <c r="T807" s="1" t="e">
        <v>#N/A</v>
      </c>
    </row>
    <row r="808" spans="1:20" x14ac:dyDescent="0.35">
      <c r="A808" s="1">
        <v>500173.4694</v>
      </c>
      <c r="B808" s="1">
        <v>5999996.0899999999</v>
      </c>
      <c r="C808" s="1">
        <v>168.52742719967199</v>
      </c>
      <c r="D808" s="1">
        <f t="shared" si="140"/>
        <v>173.67758992550563</v>
      </c>
      <c r="E808" s="1">
        <v>0.01</v>
      </c>
      <c r="F808" s="1">
        <v>0.05</v>
      </c>
      <c r="G808" s="1">
        <v>0.1</v>
      </c>
      <c r="H808" s="1">
        <v>9.81</v>
      </c>
      <c r="I808" s="1">
        <v>2650</v>
      </c>
      <c r="J808" s="1">
        <v>1000</v>
      </c>
      <c r="K808" s="1">
        <v>1.65</v>
      </c>
      <c r="L808" s="1">
        <v>6.5</v>
      </c>
      <c r="M808" s="1">
        <v>2.5</v>
      </c>
      <c r="N808" s="6">
        <v>9.9999999999999995E-7</v>
      </c>
      <c r="O808" s="1">
        <f t="shared" si="141"/>
        <v>10.214988293625822</v>
      </c>
      <c r="P808" s="1">
        <f t="shared" si="137"/>
        <v>10.632479456336906</v>
      </c>
      <c r="Q808" s="1">
        <f t="shared" si="138"/>
        <v>10.829509882478712</v>
      </c>
      <c r="R808" s="1">
        <v>125.87909999999995</v>
      </c>
      <c r="S808" s="1" t="e">
        <f t="shared" si="139"/>
        <v>#N/A</v>
      </c>
      <c r="T808" s="1" t="e">
        <v>#N/A</v>
      </c>
    </row>
    <row r="809" spans="1:20" x14ac:dyDescent="0.35">
      <c r="A809" s="1">
        <v>500183.67349999998</v>
      </c>
      <c r="B809" s="1">
        <v>5999996.3550000004</v>
      </c>
      <c r="C809" s="1">
        <v>165.55156806663999</v>
      </c>
      <c r="D809" s="1">
        <f t="shared" si="140"/>
        <v>183.88513036430754</v>
      </c>
      <c r="E809" s="1">
        <v>0.01</v>
      </c>
      <c r="F809" s="1">
        <v>0.05</v>
      </c>
      <c r="G809" s="1">
        <v>0.1</v>
      </c>
      <c r="H809" s="1">
        <v>9.81</v>
      </c>
      <c r="I809" s="1">
        <v>2650</v>
      </c>
      <c r="J809" s="1">
        <v>1000</v>
      </c>
      <c r="K809" s="1">
        <v>1.65</v>
      </c>
      <c r="L809" s="1">
        <v>6.5</v>
      </c>
      <c r="M809" s="1">
        <v>2.5</v>
      </c>
      <c r="N809" s="6">
        <v>9.9999999999999995E-7</v>
      </c>
      <c r="O809" s="1">
        <f t="shared" si="141"/>
        <v>10.210285318026777</v>
      </c>
      <c r="P809" s="1">
        <f t="shared" si="137"/>
        <v>10.217153370786205</v>
      </c>
      <c r="Q809" s="1">
        <f t="shared" si="138"/>
        <v>10.424816413561555</v>
      </c>
      <c r="R809" s="1">
        <v>125.87909999999995</v>
      </c>
      <c r="S809" s="1" t="e">
        <f t="shared" si="139"/>
        <v>#N/A</v>
      </c>
      <c r="T809" s="1" t="e">
        <v>#N/A</v>
      </c>
    </row>
    <row r="810" spans="1:20" x14ac:dyDescent="0.35">
      <c r="A810" s="1">
        <v>500193.87760000001</v>
      </c>
      <c r="B810" s="1">
        <v>5999996.7819999997</v>
      </c>
      <c r="C810" s="1">
        <v>165.84180450851801</v>
      </c>
      <c r="D810" s="1">
        <f t="shared" si="140"/>
        <v>194.09816056155918</v>
      </c>
      <c r="E810" s="1">
        <v>0.01</v>
      </c>
      <c r="F810" s="1">
        <v>0.05</v>
      </c>
      <c r="G810" s="1">
        <v>0.1</v>
      </c>
      <c r="H810" s="1">
        <v>9.81</v>
      </c>
      <c r="I810" s="1">
        <v>2650</v>
      </c>
      <c r="J810" s="1">
        <v>1000</v>
      </c>
      <c r="K810" s="1">
        <v>1.65</v>
      </c>
      <c r="L810" s="1">
        <v>6.5</v>
      </c>
      <c r="M810" s="1">
        <v>2.5</v>
      </c>
      <c r="N810" s="6">
        <v>9.9999999999999995E-7</v>
      </c>
      <c r="O810" s="1">
        <f t="shared" si="141"/>
        <v>10.225732250662787</v>
      </c>
      <c r="P810" s="1">
        <f t="shared" si="137"/>
        <v>11.805317568883225</v>
      </c>
      <c r="Q810" s="1">
        <f t="shared" si="138"/>
        <v>11.011235469834716</v>
      </c>
      <c r="R810" s="1">
        <v>125.87909999999995</v>
      </c>
      <c r="S810" s="1" t="e">
        <f t="shared" si="139"/>
        <v>#N/A</v>
      </c>
      <c r="T810" s="1" t="e">
        <v>#N/A</v>
      </c>
    </row>
    <row r="811" spans="1:20" x14ac:dyDescent="0.35">
      <c r="A811" s="1">
        <v>500204.08159999998</v>
      </c>
      <c r="B811" s="1">
        <v>5999995.943</v>
      </c>
      <c r="C811" s="1">
        <v>159.96473160584401</v>
      </c>
      <c r="D811" s="1">
        <f t="shared" si="140"/>
        <v>204.33659486563312</v>
      </c>
      <c r="E811" s="1">
        <v>0.01</v>
      </c>
      <c r="F811" s="1">
        <v>0.05</v>
      </c>
      <c r="G811" s="1">
        <v>0.1</v>
      </c>
      <c r="H811" s="1">
        <v>9.81</v>
      </c>
      <c r="I811" s="1">
        <v>2650</v>
      </c>
      <c r="J811" s="1">
        <v>1000</v>
      </c>
      <c r="K811" s="1">
        <v>1.65</v>
      </c>
      <c r="L811" s="1">
        <v>6.5</v>
      </c>
      <c r="M811" s="1">
        <v>2.5</v>
      </c>
      <c r="N811" s="6">
        <v>9.9999999999999995E-7</v>
      </c>
      <c r="O811" s="1">
        <f t="shared" si="141"/>
        <v>10.222474465035148</v>
      </c>
      <c r="P811" s="1">
        <f t="shared" si="137"/>
        <v>10.510110351296964</v>
      </c>
      <c r="Q811" s="1">
        <f t="shared" si="138"/>
        <v>11.157713960090096</v>
      </c>
      <c r="R811" s="1">
        <v>125.87909999999995</v>
      </c>
      <c r="S811" s="1" t="e">
        <f t="shared" si="139"/>
        <v>#N/A</v>
      </c>
      <c r="T811" s="1" t="e">
        <v>#N/A</v>
      </c>
    </row>
    <row r="812" spans="1:20" x14ac:dyDescent="0.35">
      <c r="A812" s="1">
        <v>500214.28570000001</v>
      </c>
      <c r="B812" s="1">
        <v>5999995.7209999999</v>
      </c>
      <c r="C812" s="1">
        <v>162.47261493362501</v>
      </c>
      <c r="D812" s="1">
        <f t="shared" si="140"/>
        <v>214.54310949162948</v>
      </c>
      <c r="E812" s="1">
        <v>0.01</v>
      </c>
      <c r="F812" s="1">
        <v>0.05</v>
      </c>
      <c r="G812" s="1">
        <v>0.1</v>
      </c>
      <c r="H812" s="1">
        <v>9.81</v>
      </c>
      <c r="I812" s="1">
        <v>2650</v>
      </c>
      <c r="J812" s="1">
        <v>1000</v>
      </c>
      <c r="K812" s="1">
        <v>1.65</v>
      </c>
      <c r="L812" s="1">
        <v>6.5</v>
      </c>
      <c r="M812" s="1">
        <v>2.5</v>
      </c>
      <c r="N812" s="6">
        <v>9.9999999999999995E-7</v>
      </c>
      <c r="O812" s="1">
        <f t="shared" si="141"/>
        <v>10.209668499185454</v>
      </c>
      <c r="P812" s="1">
        <f t="shared" si="137"/>
        <v>13.932835838967597</v>
      </c>
      <c r="Q812" s="1">
        <f t="shared" si="138"/>
        <v>12.22147309513228</v>
      </c>
      <c r="R812" s="1">
        <v>125.87909999999995</v>
      </c>
      <c r="S812" s="1" t="e">
        <f t="shared" si="139"/>
        <v>#N/A</v>
      </c>
      <c r="T812" s="1" t="e">
        <v>#N/A</v>
      </c>
    </row>
    <row r="813" spans="1:20" x14ac:dyDescent="0.35">
      <c r="A813" s="1">
        <v>500224.48979999998</v>
      </c>
      <c r="B813" s="1">
        <v>5999996.1430000002</v>
      </c>
      <c r="C813" s="1">
        <v>152.99515885586101</v>
      </c>
      <c r="D813" s="1">
        <f t="shared" si="140"/>
        <v>224.75593186400403</v>
      </c>
      <c r="E813" s="1">
        <v>0.01</v>
      </c>
      <c r="F813" s="1">
        <v>0.05</v>
      </c>
      <c r="G813" s="1">
        <v>0.1</v>
      </c>
      <c r="H813" s="1">
        <v>9.81</v>
      </c>
      <c r="I813" s="1">
        <v>2650</v>
      </c>
      <c r="J813" s="1">
        <v>1000</v>
      </c>
      <c r="K813" s="1">
        <v>1.65</v>
      </c>
      <c r="L813" s="1">
        <v>6.5</v>
      </c>
      <c r="M813" s="1">
        <v>2.5</v>
      </c>
      <c r="N813" s="6">
        <v>9.9999999999999995E-7</v>
      </c>
      <c r="O813" s="1">
        <f t="shared" si="141"/>
        <v>10.211706300347956</v>
      </c>
      <c r="P813" s="1">
        <f t="shared" si="137"/>
        <v>10.301820481574744</v>
      </c>
      <c r="Q813" s="1">
        <f t="shared" si="138"/>
        <v>12.117328160271171</v>
      </c>
      <c r="R813" s="1">
        <v>125.87909999999995</v>
      </c>
      <c r="S813" s="1" t="e">
        <f t="shared" si="139"/>
        <v>#N/A</v>
      </c>
      <c r="T813" s="1" t="e">
        <v>#N/A</v>
      </c>
    </row>
    <row r="814" spans="1:20" x14ac:dyDescent="0.35">
      <c r="A814" s="1">
        <v>500234.69390000001</v>
      </c>
      <c r="B814" s="1">
        <v>5999996.5070000002</v>
      </c>
      <c r="C814" s="1">
        <v>151.627185016966</v>
      </c>
      <c r="D814" s="1">
        <f t="shared" si="140"/>
        <v>234.96652209232539</v>
      </c>
      <c r="E814" s="1">
        <v>0.01</v>
      </c>
      <c r="F814" s="1">
        <v>0.05</v>
      </c>
      <c r="G814" s="1">
        <v>0.1</v>
      </c>
      <c r="H814" s="1">
        <v>9.81</v>
      </c>
      <c r="I814" s="1">
        <v>2650</v>
      </c>
      <c r="J814" s="1">
        <v>1000</v>
      </c>
      <c r="K814" s="1">
        <v>1.65</v>
      </c>
      <c r="L814" s="1">
        <v>6.5</v>
      </c>
      <c r="M814" s="1">
        <v>2.5</v>
      </c>
      <c r="N814" s="6">
        <v>9.9999999999999995E-7</v>
      </c>
      <c r="O814" s="1">
        <f t="shared" si="141"/>
        <v>10.212172653557417</v>
      </c>
      <c r="P814" s="1">
        <f t="shared" si="137"/>
        <v>11.089044194999135</v>
      </c>
      <c r="Q814" s="1">
        <f t="shared" si="138"/>
        <v>10.695432338286938</v>
      </c>
      <c r="R814" s="1">
        <v>125.87909999999995</v>
      </c>
      <c r="S814" s="1" t="e">
        <f t="shared" si="139"/>
        <v>#N/A</v>
      </c>
      <c r="T814" s="1" t="e">
        <v>#N/A</v>
      </c>
    </row>
    <row r="815" spans="1:20" x14ac:dyDescent="0.35">
      <c r="A815" s="1">
        <v>500244.89799999999</v>
      </c>
      <c r="B815" s="1">
        <v>5999996.9510000004</v>
      </c>
      <c r="C815" s="1">
        <v>155.94529899752101</v>
      </c>
      <c r="D815" s="1">
        <f t="shared" si="140"/>
        <v>245.18027717111886</v>
      </c>
      <c r="E815" s="1">
        <v>0.01</v>
      </c>
      <c r="F815" s="1">
        <v>0.05</v>
      </c>
      <c r="G815" s="1">
        <v>0.1</v>
      </c>
      <c r="H815" s="1">
        <v>9.81</v>
      </c>
      <c r="I815" s="1">
        <v>2650</v>
      </c>
      <c r="J815" s="1">
        <v>1000</v>
      </c>
      <c r="K815" s="1">
        <v>1.65</v>
      </c>
      <c r="L815" s="1">
        <v>6.5</v>
      </c>
      <c r="M815" s="1">
        <v>2.5</v>
      </c>
      <c r="N815" s="6">
        <v>9.9999999999999995E-7</v>
      </c>
      <c r="O815" s="1">
        <f t="shared" si="141"/>
        <v>10.228334363400478</v>
      </c>
      <c r="P815" s="1">
        <f t="shared" si="137"/>
        <v>11.738479864242503</v>
      </c>
      <c r="Q815" s="1">
        <f t="shared" si="138"/>
        <v>11.41376202962082</v>
      </c>
      <c r="R815" s="1">
        <v>125.87909999999995</v>
      </c>
      <c r="S815" s="1" t="e">
        <f t="shared" si="139"/>
        <v>#N/A</v>
      </c>
      <c r="T815" s="1" t="e">
        <v>#N/A</v>
      </c>
    </row>
    <row r="816" spans="1:20" x14ac:dyDescent="0.35">
      <c r="A816" s="1">
        <v>500255.10200000001</v>
      </c>
      <c r="B816" s="1">
        <v>5999997.8430000003</v>
      </c>
      <c r="C816" s="1">
        <v>150.21165883417899</v>
      </c>
      <c r="D816" s="1">
        <f t="shared" si="140"/>
        <v>255.42319081912635</v>
      </c>
      <c r="E816" s="1">
        <v>0.01</v>
      </c>
      <c r="F816" s="1">
        <v>0.05</v>
      </c>
      <c r="G816" s="1">
        <v>0.1</v>
      </c>
      <c r="H816" s="1">
        <v>9.81</v>
      </c>
      <c r="I816" s="1">
        <v>2650</v>
      </c>
      <c r="J816" s="1">
        <v>1000</v>
      </c>
      <c r="K816" s="1">
        <v>1.65</v>
      </c>
      <c r="L816" s="1">
        <v>6.5</v>
      </c>
      <c r="M816" s="1">
        <v>2.5</v>
      </c>
      <c r="N816" s="6">
        <v>9.9999999999999995E-7</v>
      </c>
      <c r="O816" s="1">
        <f t="shared" si="141"/>
        <v>10.228247812702051</v>
      </c>
      <c r="P816" s="1">
        <f t="shared" si="137"/>
        <v>10.415569048554094</v>
      </c>
      <c r="Q816" s="1">
        <f t="shared" si="138"/>
        <v>11.077024456398298</v>
      </c>
      <c r="R816" s="1">
        <v>125.87909999999995</v>
      </c>
      <c r="S816" s="1" t="e">
        <f t="shared" si="139"/>
        <v>#N/A</v>
      </c>
      <c r="T816" s="1" t="e">
        <v>#N/A</v>
      </c>
    </row>
    <row r="817" spans="1:20" x14ac:dyDescent="0.35">
      <c r="A817" s="1">
        <v>500265.30609999999</v>
      </c>
      <c r="B817" s="1">
        <v>5999998.2829999998</v>
      </c>
      <c r="C817" s="1">
        <v>148.17037938339399</v>
      </c>
      <c r="D817" s="1">
        <f t="shared" si="140"/>
        <v>265.63677279652296</v>
      </c>
      <c r="E817" s="1">
        <v>0.01</v>
      </c>
      <c r="F817" s="1">
        <v>0.05</v>
      </c>
      <c r="G817" s="1">
        <v>0.1</v>
      </c>
      <c r="H817" s="1">
        <v>9.81</v>
      </c>
      <c r="I817" s="1">
        <v>2650</v>
      </c>
      <c r="J817" s="1">
        <v>1000</v>
      </c>
      <c r="K817" s="1">
        <v>1.65</v>
      </c>
      <c r="L817" s="1">
        <v>6.5</v>
      </c>
      <c r="M817" s="1">
        <v>2.5</v>
      </c>
      <c r="N817" s="6">
        <v>9.9999999999999995E-7</v>
      </c>
      <c r="O817" s="1">
        <f t="shared" si="141"/>
        <v>10.23198332194535</v>
      </c>
      <c r="P817" s="1">
        <f t="shared" si="137"/>
        <v>10.753746192038282</v>
      </c>
      <c r="Q817" s="1">
        <f t="shared" si="138"/>
        <v>10.584657620296188</v>
      </c>
      <c r="R817" s="1">
        <v>125.87909999999995</v>
      </c>
      <c r="S817" s="1" t="e">
        <f t="shared" si="139"/>
        <v>#N/A</v>
      </c>
      <c r="T817" s="1" t="e">
        <v>#N/A</v>
      </c>
    </row>
    <row r="818" spans="1:20" x14ac:dyDescent="0.35">
      <c r="A818" s="1">
        <v>500275.51020000002</v>
      </c>
      <c r="B818" s="1">
        <v>5999997.3099999996</v>
      </c>
      <c r="C818" s="1">
        <v>144.91881493659599</v>
      </c>
      <c r="D818" s="1">
        <f t="shared" si="140"/>
        <v>275.88715746301705</v>
      </c>
      <c r="E818" s="1">
        <v>0.01</v>
      </c>
      <c r="F818" s="1">
        <v>0.05</v>
      </c>
      <c r="G818" s="1">
        <v>0.1</v>
      </c>
      <c r="H818" s="1">
        <v>9.81</v>
      </c>
      <c r="I818" s="1">
        <v>2650</v>
      </c>
      <c r="J818" s="1">
        <v>1000</v>
      </c>
      <c r="K818" s="1">
        <v>1.65</v>
      </c>
      <c r="L818" s="1">
        <v>6.5</v>
      </c>
      <c r="M818" s="1">
        <v>2.5</v>
      </c>
      <c r="N818" s="6">
        <v>9.9999999999999995E-7</v>
      </c>
      <c r="O818" s="1">
        <f t="shared" si="141"/>
        <v>10.247668609691146</v>
      </c>
      <c r="P818" s="1">
        <f t="shared" si="137"/>
        <v>10.247801935839309</v>
      </c>
      <c r="Q818" s="1">
        <f t="shared" si="138"/>
        <v>10.500774063938795</v>
      </c>
      <c r="R818" s="1">
        <v>125.87909999999995</v>
      </c>
      <c r="S818" s="1" t="e">
        <f t="shared" si="139"/>
        <v>#N/A</v>
      </c>
      <c r="T818" s="1" t="e">
        <v>#N/A</v>
      </c>
    </row>
    <row r="819" spans="1:20" x14ac:dyDescent="0.35">
      <c r="A819" s="1">
        <v>500285.71429999999</v>
      </c>
      <c r="B819" s="1">
        <v>5999998.2240000004</v>
      </c>
      <c r="C819" s="1">
        <v>144.67717117967001</v>
      </c>
      <c r="D819" s="1">
        <f t="shared" si="140"/>
        <v>286.13211001590525</v>
      </c>
      <c r="E819" s="1">
        <v>0.01</v>
      </c>
      <c r="F819" s="1">
        <v>0.05</v>
      </c>
      <c r="G819" s="1">
        <v>0.1</v>
      </c>
      <c r="H819" s="1">
        <v>9.81</v>
      </c>
      <c r="I819" s="1">
        <v>2650</v>
      </c>
      <c r="J819" s="1">
        <v>1000</v>
      </c>
      <c r="K819" s="1">
        <v>1.65</v>
      </c>
      <c r="L819" s="1">
        <v>6.5</v>
      </c>
      <c r="M819" s="1">
        <v>2.5</v>
      </c>
      <c r="N819" s="6">
        <v>9.9999999999999995E-7</v>
      </c>
      <c r="O819" s="1">
        <f t="shared" si="141"/>
        <v>10.245310960713113</v>
      </c>
      <c r="P819" s="1">
        <f t="shared" si="137"/>
        <v>10.773986209295044</v>
      </c>
      <c r="Q819" s="1">
        <f t="shared" si="138"/>
        <v>10.510894072567176</v>
      </c>
      <c r="R819" s="1">
        <v>125.87909999999995</v>
      </c>
      <c r="S819" s="1" t="e">
        <f t="shared" si="139"/>
        <v>#N/A</v>
      </c>
      <c r="T819" s="1" t="e">
        <v>#N/A</v>
      </c>
    </row>
    <row r="820" spans="1:20" x14ac:dyDescent="0.35">
      <c r="A820" s="1">
        <v>500295.91840000002</v>
      </c>
      <c r="B820" s="1">
        <v>5999999.1459999997</v>
      </c>
      <c r="C820" s="1">
        <v>141.344748933213</v>
      </c>
      <c r="D820" s="1">
        <f t="shared" si="140"/>
        <v>296.37777938444327</v>
      </c>
      <c r="E820" s="1">
        <v>0.01</v>
      </c>
      <c r="F820" s="1">
        <v>0.05</v>
      </c>
      <c r="G820" s="1">
        <v>0.1</v>
      </c>
      <c r="H820" s="1">
        <v>9.81</v>
      </c>
      <c r="I820" s="1">
        <v>2650</v>
      </c>
      <c r="J820" s="1">
        <v>1000</v>
      </c>
      <c r="K820" s="1">
        <v>1.65</v>
      </c>
      <c r="L820" s="1">
        <v>6.5</v>
      </c>
      <c r="M820" s="1">
        <v>2.5</v>
      </c>
      <c r="N820" s="6">
        <v>9.9999999999999995E-7</v>
      </c>
      <c r="O820" s="1">
        <f t="shared" si="141"/>
        <v>10.233098302678485</v>
      </c>
      <c r="P820" s="1">
        <f t="shared" si="137"/>
        <v>10.320041754295742</v>
      </c>
      <c r="Q820" s="1">
        <f t="shared" si="138"/>
        <v>10.547013981795393</v>
      </c>
      <c r="R820" s="1">
        <v>125.87909999999995</v>
      </c>
      <c r="S820" s="1" t="e">
        <f t="shared" si="139"/>
        <v>#N/A</v>
      </c>
      <c r="T820" s="1" t="e">
        <v>#N/A</v>
      </c>
    </row>
    <row r="821" spans="1:20" x14ac:dyDescent="0.35">
      <c r="A821" s="1">
        <v>500306.12239999999</v>
      </c>
      <c r="B821" s="1">
        <v>5999998.5650000004</v>
      </c>
      <c r="C821" s="1">
        <v>139.91503399244701</v>
      </c>
      <c r="D821" s="1">
        <f t="shared" si="140"/>
        <v>306.59830662126222</v>
      </c>
      <c r="E821" s="1">
        <v>0.01</v>
      </c>
      <c r="F821" s="1">
        <v>0.05</v>
      </c>
      <c r="G821" s="1">
        <v>0.1</v>
      </c>
      <c r="H821" s="1">
        <v>9.81</v>
      </c>
      <c r="I821" s="1">
        <v>2650</v>
      </c>
      <c r="J821" s="1">
        <v>1000</v>
      </c>
      <c r="K821" s="1">
        <v>1.65</v>
      </c>
      <c r="L821" s="1">
        <v>6.5</v>
      </c>
      <c r="M821" s="1">
        <v>2.5</v>
      </c>
      <c r="N821" s="6">
        <v>9.9999999999999995E-7</v>
      </c>
      <c r="O821" s="1">
        <f t="shared" si="141"/>
        <v>10.221874954638196</v>
      </c>
      <c r="P821" s="1">
        <f t="shared" si="137"/>
        <v>13.893706980070347</v>
      </c>
      <c r="Q821" s="1">
        <f t="shared" si="138"/>
        <v>12.106874367183044</v>
      </c>
      <c r="R821" s="1">
        <v>125.87909999999995</v>
      </c>
      <c r="S821" s="1" t="e">
        <f t="shared" si="139"/>
        <v>#N/A</v>
      </c>
      <c r="T821" s="1" t="e">
        <v>#N/A</v>
      </c>
    </row>
    <row r="822" spans="1:20" x14ac:dyDescent="0.35">
      <c r="A822" s="1">
        <v>500316.32650000002</v>
      </c>
      <c r="B822" s="1">
        <v>5999999.1900000004</v>
      </c>
      <c r="C822" s="1">
        <v>130.506484059678</v>
      </c>
      <c r="D822" s="1">
        <f t="shared" si="140"/>
        <v>316.82152929371966</v>
      </c>
      <c r="E822" s="1">
        <v>0.01</v>
      </c>
      <c r="F822" s="1">
        <v>0.05</v>
      </c>
      <c r="G822" s="1">
        <v>0.1</v>
      </c>
      <c r="H822" s="1">
        <v>9.81</v>
      </c>
      <c r="I822" s="1">
        <v>2650</v>
      </c>
      <c r="J822" s="1">
        <v>1000</v>
      </c>
      <c r="K822" s="1">
        <v>1.65</v>
      </c>
      <c r="L822" s="1">
        <v>6.5</v>
      </c>
      <c r="M822" s="1">
        <v>2.5</v>
      </c>
      <c r="N822" s="6">
        <v>9.9999999999999995E-7</v>
      </c>
      <c r="O822" s="1">
        <f t="shared" si="141"/>
        <v>10.235493697492075</v>
      </c>
      <c r="P822" s="1">
        <f t="shared" si="137"/>
        <v>10.418299398725649</v>
      </c>
      <c r="Q822" s="1">
        <f t="shared" si="138"/>
        <v>12.156003189397998</v>
      </c>
      <c r="R822" s="1">
        <v>125.87909999999995</v>
      </c>
      <c r="S822" s="1" t="e">
        <f t="shared" si="139"/>
        <v>#N/A</v>
      </c>
      <c r="T822" s="1" t="e">
        <v>#N/A</v>
      </c>
    </row>
    <row r="823" spans="1:20" x14ac:dyDescent="0.35">
      <c r="A823" s="1">
        <v>500326.5306</v>
      </c>
      <c r="B823" s="1">
        <v>6000000.1349999998</v>
      </c>
      <c r="C823" s="1">
        <v>128.62917733108401</v>
      </c>
      <c r="D823" s="1">
        <f t="shared" si="140"/>
        <v>327.06929401624637</v>
      </c>
      <c r="E823" s="1">
        <v>0.01</v>
      </c>
      <c r="F823" s="1">
        <v>0.05</v>
      </c>
      <c r="G823" s="1">
        <v>0.1</v>
      </c>
      <c r="H823" s="1">
        <v>9.81</v>
      </c>
      <c r="I823" s="1">
        <v>2650</v>
      </c>
      <c r="J823" s="1">
        <v>1000</v>
      </c>
      <c r="K823" s="1">
        <v>1.65</v>
      </c>
      <c r="L823" s="1">
        <v>6.5</v>
      </c>
      <c r="M823" s="1">
        <v>2.5</v>
      </c>
      <c r="N823" s="6">
        <v>9.9999999999999995E-7</v>
      </c>
      <c r="O823" s="1">
        <f t="shared" si="141"/>
        <v>10.241238558797846</v>
      </c>
      <c r="P823" s="1">
        <f t="shared" ref="P823:P839" si="142">SQRT((D824 - D823)^2 + (C824 - C823)^2)</f>
        <v>10.787841757464356</v>
      </c>
      <c r="Q823" s="1">
        <f t="shared" ref="Q823:Q839" si="143">IF(ROW()=791, P823/2, (P823 + P822)/2)</f>
        <v>10.603070578095004</v>
      </c>
      <c r="R823" s="1">
        <v>125.87909999999995</v>
      </c>
      <c r="S823" s="1" t="e">
        <f t="shared" ref="S823:S839" si="144">IF(R823 - C823 &lt; 0, NA(), R823 - C823)</f>
        <v>#N/A</v>
      </c>
      <c r="T823" s="1" t="e">
        <v>#N/A</v>
      </c>
    </row>
    <row r="824" spans="1:20" x14ac:dyDescent="0.35">
      <c r="A824" s="1">
        <v>500336.73469999997</v>
      </c>
      <c r="B824" s="1">
        <v>5999999.3439999996</v>
      </c>
      <c r="C824" s="1">
        <v>132.03919081702699</v>
      </c>
      <c r="D824" s="1">
        <f t="shared" ref="D824:D840" si="145">D823 + SQRT((A824 - A823)^2 + (B824 - B823)^2)</f>
        <v>337.30400641131536</v>
      </c>
      <c r="E824" s="1">
        <v>0.01</v>
      </c>
      <c r="F824" s="1">
        <v>0.05</v>
      </c>
      <c r="G824" s="1">
        <v>0.1</v>
      </c>
      <c r="H824" s="1">
        <v>9.81</v>
      </c>
      <c r="I824" s="1">
        <v>2650</v>
      </c>
      <c r="J824" s="1">
        <v>1000</v>
      </c>
      <c r="K824" s="1">
        <v>1.65</v>
      </c>
      <c r="L824" s="1">
        <v>6.5</v>
      </c>
      <c r="M824" s="1">
        <v>2.5</v>
      </c>
      <c r="N824" s="6">
        <v>9.9999999999999995E-7</v>
      </c>
      <c r="O824" s="1">
        <f t="shared" si="141"/>
        <v>10.233949248828765</v>
      </c>
      <c r="P824" s="1">
        <f t="shared" si="142"/>
        <v>11.755266476054745</v>
      </c>
      <c r="Q824" s="1">
        <f t="shared" si="143"/>
        <v>11.27155411675955</v>
      </c>
      <c r="R824" s="1">
        <v>125.87909999999995</v>
      </c>
      <c r="S824" s="1" t="e">
        <f t="shared" si="144"/>
        <v>#N/A</v>
      </c>
      <c r="T824" s="1" t="e">
        <v>#N/A</v>
      </c>
    </row>
    <row r="825" spans="1:20" x14ac:dyDescent="0.35">
      <c r="A825" s="1">
        <v>500346.9388</v>
      </c>
      <c r="B825" s="1">
        <v>5999998.5729999999</v>
      </c>
      <c r="C825" s="1">
        <v>126.254020801129</v>
      </c>
      <c r="D825" s="1">
        <f t="shared" si="145"/>
        <v>347.5371925139039</v>
      </c>
      <c r="E825" s="1">
        <v>0.01</v>
      </c>
      <c r="F825" s="1">
        <v>0.05</v>
      </c>
      <c r="G825" s="1">
        <v>0.1</v>
      </c>
      <c r="H825" s="1">
        <v>9.81</v>
      </c>
      <c r="I825" s="1">
        <v>2650</v>
      </c>
      <c r="J825" s="1">
        <v>1000</v>
      </c>
      <c r="K825" s="1">
        <v>1.65</v>
      </c>
      <c r="L825" s="1">
        <v>6.5</v>
      </c>
      <c r="M825" s="1">
        <v>2.5</v>
      </c>
      <c r="N825" s="6">
        <v>9.9999999999999995E-7</v>
      </c>
      <c r="O825" s="1">
        <f t="shared" si="141"/>
        <v>10.232552707337419</v>
      </c>
      <c r="P825" s="1">
        <f t="shared" si="142"/>
        <v>11.350607222214496</v>
      </c>
      <c r="Q825" s="1">
        <f t="shared" si="143"/>
        <v>11.552936849134621</v>
      </c>
      <c r="R825" s="1">
        <v>125.87909999999995</v>
      </c>
      <c r="S825" s="1" t="e">
        <f t="shared" si="144"/>
        <v>#N/A</v>
      </c>
      <c r="T825" s="1" t="e">
        <v>#N/A</v>
      </c>
    </row>
    <row r="826" spans="1:20" x14ac:dyDescent="0.35">
      <c r="A826" s="1">
        <v>500357.14289999998</v>
      </c>
      <c r="B826" s="1">
        <v>5999999.3269999996</v>
      </c>
      <c r="C826" s="1">
        <v>131.167686591956</v>
      </c>
      <c r="D826" s="1">
        <f t="shared" si="145"/>
        <v>357.76911182599019</v>
      </c>
      <c r="E826" s="1">
        <v>0.01</v>
      </c>
      <c r="F826" s="1">
        <v>0.05</v>
      </c>
      <c r="G826" s="1">
        <v>0.1</v>
      </c>
      <c r="H826" s="1">
        <v>9.81</v>
      </c>
      <c r="I826" s="1">
        <v>2650</v>
      </c>
      <c r="J826" s="1">
        <v>1000</v>
      </c>
      <c r="K826" s="1">
        <v>1.65</v>
      </c>
      <c r="L826" s="1">
        <v>6.5</v>
      </c>
      <c r="M826" s="1">
        <v>2.5</v>
      </c>
      <c r="N826" s="6">
        <v>9.9999999999999995E-7</v>
      </c>
      <c r="O826" s="1">
        <f t="shared" si="141"/>
        <v>10.223838765829584</v>
      </c>
      <c r="P826" s="1">
        <f t="shared" si="142"/>
        <v>10.479732415606993</v>
      </c>
      <c r="Q826" s="1">
        <f t="shared" si="143"/>
        <v>10.915169818910744</v>
      </c>
      <c r="R826" s="1">
        <v>125.87909999999995</v>
      </c>
      <c r="S826" s="1" t="e">
        <f t="shared" si="144"/>
        <v>#N/A</v>
      </c>
      <c r="T826" s="1" t="e">
        <v>#N/A</v>
      </c>
    </row>
    <row r="827" spans="1:20" x14ac:dyDescent="0.35">
      <c r="A827" s="1">
        <v>500367.3469</v>
      </c>
      <c r="B827" s="1">
        <v>5999999.8169999998</v>
      </c>
      <c r="C827" s="1">
        <v>128.83036429882799</v>
      </c>
      <c r="D827" s="1">
        <f t="shared" si="145"/>
        <v>367.98487004556307</v>
      </c>
      <c r="E827" s="1">
        <v>0.01</v>
      </c>
      <c r="F827" s="1">
        <v>0.05</v>
      </c>
      <c r="G827" s="1">
        <v>0.1</v>
      </c>
      <c r="H827" s="1">
        <v>9.81</v>
      </c>
      <c r="I827" s="1">
        <v>2650</v>
      </c>
      <c r="J827" s="1">
        <v>1000</v>
      </c>
      <c r="K827" s="1">
        <v>1.65</v>
      </c>
      <c r="L827" s="1">
        <v>6.5</v>
      </c>
      <c r="M827" s="1">
        <v>2.5</v>
      </c>
      <c r="N827" s="6">
        <v>9.9999999999999995E-7</v>
      </c>
      <c r="O827" s="1">
        <f t="shared" si="141"/>
        <v>10.224509856901079</v>
      </c>
      <c r="P827" s="1">
        <f t="shared" si="142"/>
        <v>10.91645406051112</v>
      </c>
      <c r="Q827" s="1">
        <f t="shared" si="143"/>
        <v>10.698093238059055</v>
      </c>
      <c r="R827" s="1">
        <v>125.87909999999995</v>
      </c>
      <c r="S827" s="1" t="e">
        <f t="shared" si="144"/>
        <v>#N/A</v>
      </c>
      <c r="T827" s="1" t="e">
        <v>#N/A</v>
      </c>
    </row>
    <row r="828" spans="1:20" x14ac:dyDescent="0.35">
      <c r="A828" s="1">
        <v>500377.55099999998</v>
      </c>
      <c r="B828" s="1">
        <v>5999999.0449999999</v>
      </c>
      <c r="C828" s="1">
        <v>125.029137069896</v>
      </c>
      <c r="D828" s="1">
        <f t="shared" si="145"/>
        <v>378.21813153979235</v>
      </c>
      <c r="E828" s="1">
        <v>0.01</v>
      </c>
      <c r="F828" s="1">
        <v>0.05</v>
      </c>
      <c r="G828" s="1">
        <v>0.1</v>
      </c>
      <c r="H828" s="1">
        <v>9.81</v>
      </c>
      <c r="I828" s="1">
        <v>2650</v>
      </c>
      <c r="J828" s="1">
        <v>1000</v>
      </c>
      <c r="K828" s="1">
        <v>1.65</v>
      </c>
      <c r="L828" s="1">
        <v>6.5</v>
      </c>
      <c r="M828" s="1">
        <v>2.5</v>
      </c>
      <c r="N828" s="6">
        <v>9.9999999999999995E-7</v>
      </c>
      <c r="O828" s="1">
        <f t="shared" si="141"/>
        <v>10.221049857319429</v>
      </c>
      <c r="P828" s="1">
        <f t="shared" si="142"/>
        <v>10.237547645163266</v>
      </c>
      <c r="Q828" s="1">
        <f t="shared" si="143"/>
        <v>10.577000852837193</v>
      </c>
      <c r="R828" s="1">
        <v>125.87909999999995</v>
      </c>
      <c r="S828" s="1">
        <f t="shared" si="144"/>
        <v>0.84996293010395618</v>
      </c>
      <c r="T828" s="1">
        <v>0.84996293010395618</v>
      </c>
    </row>
    <row r="829" spans="1:20" x14ac:dyDescent="0.35">
      <c r="A829" s="1">
        <v>500387.75510000001</v>
      </c>
      <c r="B829" s="1">
        <v>5999999.3559999997</v>
      </c>
      <c r="C829" s="1">
        <v>125.795298917349</v>
      </c>
      <c r="D829" s="1">
        <f t="shared" si="145"/>
        <v>388.42696976020193</v>
      </c>
      <c r="E829" s="1">
        <v>0.01</v>
      </c>
      <c r="F829" s="1">
        <v>0.05</v>
      </c>
      <c r="G829" s="1">
        <v>0.1</v>
      </c>
      <c r="H829" s="1">
        <v>9.81</v>
      </c>
      <c r="I829" s="1">
        <v>2650</v>
      </c>
      <c r="J829" s="1">
        <v>1000</v>
      </c>
      <c r="K829" s="1">
        <v>1.65</v>
      </c>
      <c r="L829" s="1">
        <v>6.5</v>
      </c>
      <c r="M829" s="1">
        <v>2.5</v>
      </c>
      <c r="N829" s="6">
        <v>9.9999999999999995E-7</v>
      </c>
      <c r="O829" s="1">
        <f t="shared" si="141"/>
        <v>10.226672955179509</v>
      </c>
      <c r="P829" s="1">
        <f t="shared" si="142"/>
        <v>14.006911426674414</v>
      </c>
      <c r="Q829" s="1">
        <f t="shared" si="143"/>
        <v>12.122229535918841</v>
      </c>
      <c r="R829" s="1">
        <v>125.87909999999995</v>
      </c>
      <c r="S829" s="1">
        <f t="shared" si="144"/>
        <v>8.380108265095032E-2</v>
      </c>
      <c r="T829" s="1">
        <v>8.380108265095032E-2</v>
      </c>
    </row>
    <row r="830" spans="1:20" x14ac:dyDescent="0.35">
      <c r="A830" s="1">
        <v>500397.95919999998</v>
      </c>
      <c r="B830" s="1">
        <v>5999998.4469999997</v>
      </c>
      <c r="C830" s="1">
        <v>135.347452072804</v>
      </c>
      <c r="D830" s="1">
        <f t="shared" si="145"/>
        <v>398.67147745015137</v>
      </c>
      <c r="E830" s="1">
        <v>0.01</v>
      </c>
      <c r="F830" s="1">
        <v>0.05</v>
      </c>
      <c r="G830" s="1">
        <v>0.1</v>
      </c>
      <c r="H830" s="1">
        <v>9.81</v>
      </c>
      <c r="I830" s="1">
        <v>2650</v>
      </c>
      <c r="J830" s="1">
        <v>1000</v>
      </c>
      <c r="K830" s="1">
        <v>1.65</v>
      </c>
      <c r="L830" s="1">
        <v>6.5</v>
      </c>
      <c r="M830" s="1">
        <v>2.5</v>
      </c>
      <c r="N830" s="6">
        <v>9.9999999999999995E-7</v>
      </c>
      <c r="O830" s="1">
        <f t="shared" si="141"/>
        <v>10.22650836474881</v>
      </c>
      <c r="P830" s="1">
        <f t="shared" si="142"/>
        <v>12.538849639326756</v>
      </c>
      <c r="Q830" s="1">
        <f t="shared" si="143"/>
        <v>13.272880533000585</v>
      </c>
      <c r="R830" s="1">
        <v>125.87909999999995</v>
      </c>
      <c r="S830" s="1" t="e">
        <f t="shared" si="144"/>
        <v>#N/A</v>
      </c>
      <c r="T830" s="1" t="e">
        <v>#N/A</v>
      </c>
    </row>
    <row r="831" spans="1:20" x14ac:dyDescent="0.35">
      <c r="A831" s="1">
        <v>500408.16330000001</v>
      </c>
      <c r="B831" s="1">
        <v>5999998.1469999999</v>
      </c>
      <c r="C831" s="1">
        <v>128.06671766842501</v>
      </c>
      <c r="D831" s="1">
        <f t="shared" si="145"/>
        <v>408.87998648969955</v>
      </c>
      <c r="E831" s="1">
        <v>0.01</v>
      </c>
      <c r="F831" s="1">
        <v>0.05</v>
      </c>
      <c r="G831" s="1">
        <v>0.1</v>
      </c>
      <c r="H831" s="1">
        <v>9.81</v>
      </c>
      <c r="I831" s="1">
        <v>2650</v>
      </c>
      <c r="J831" s="1">
        <v>1000</v>
      </c>
      <c r="K831" s="1">
        <v>1.65</v>
      </c>
      <c r="L831" s="1">
        <v>6.5</v>
      </c>
      <c r="M831" s="1">
        <v>2.5</v>
      </c>
      <c r="N831" s="6">
        <v>9.9999999999999995E-7</v>
      </c>
      <c r="O831" s="1">
        <f t="shared" si="141"/>
        <v>10.217670819070179</v>
      </c>
      <c r="P831" s="1">
        <f t="shared" si="142"/>
        <v>11.126667604014996</v>
      </c>
      <c r="Q831" s="1">
        <f t="shared" si="143"/>
        <v>11.832758621670877</v>
      </c>
      <c r="R831" s="1">
        <v>125.87909999999995</v>
      </c>
      <c r="S831" s="1" t="e">
        <f t="shared" si="144"/>
        <v>#N/A</v>
      </c>
      <c r="T831" s="1" t="e">
        <v>#N/A</v>
      </c>
    </row>
    <row r="832" spans="1:20" x14ac:dyDescent="0.35">
      <c r="A832" s="1">
        <v>500418.36729999998</v>
      </c>
      <c r="B832" s="1">
        <v>5999997.4639999997</v>
      </c>
      <c r="C832" s="1">
        <v>132.450166877736</v>
      </c>
      <c r="D832" s="1">
        <f t="shared" si="145"/>
        <v>419.10681908829173</v>
      </c>
      <c r="E832" s="1">
        <v>0.01</v>
      </c>
      <c r="F832" s="1">
        <v>0.05</v>
      </c>
      <c r="G832" s="1">
        <v>0.1</v>
      </c>
      <c r="H832" s="1">
        <v>9.81</v>
      </c>
      <c r="I832" s="1">
        <v>2650</v>
      </c>
      <c r="J832" s="1">
        <v>1000</v>
      </c>
      <c r="K832" s="1">
        <v>1.65</v>
      </c>
      <c r="L832" s="1">
        <v>6.5</v>
      </c>
      <c r="M832" s="1">
        <v>2.5</v>
      </c>
      <c r="N832" s="6">
        <v>9.9999999999999995E-7</v>
      </c>
      <c r="O832" s="1">
        <f t="shared" si="141"/>
        <v>10.219153288461655</v>
      </c>
      <c r="P832" s="1">
        <f t="shared" si="142"/>
        <v>12.259823035582844</v>
      </c>
      <c r="Q832" s="1">
        <f t="shared" si="143"/>
        <v>11.693245319798919</v>
      </c>
      <c r="R832" s="1">
        <v>125.87909999999995</v>
      </c>
      <c r="S832" s="1" t="e">
        <f t="shared" si="144"/>
        <v>#N/A</v>
      </c>
      <c r="T832" s="1" t="e">
        <v>#N/A</v>
      </c>
    </row>
    <row r="833" spans="1:57" x14ac:dyDescent="0.35">
      <c r="A833" s="1">
        <v>500428.57140000002</v>
      </c>
      <c r="B833" s="1">
        <v>5999997.0760000004</v>
      </c>
      <c r="C833" s="1">
        <v>139.234638858198</v>
      </c>
      <c r="D833" s="1">
        <f t="shared" si="145"/>
        <v>429.31829306662286</v>
      </c>
      <c r="E833" s="1">
        <v>0.01</v>
      </c>
      <c r="F833" s="1">
        <v>0.05</v>
      </c>
      <c r="G833" s="1">
        <v>0.1</v>
      </c>
      <c r="H833" s="1">
        <v>9.81</v>
      </c>
      <c r="I833" s="1">
        <v>2650</v>
      </c>
      <c r="J833" s="1">
        <v>1000</v>
      </c>
      <c r="K833" s="1">
        <v>1.65</v>
      </c>
      <c r="L833" s="1">
        <v>6.5</v>
      </c>
      <c r="M833" s="1">
        <v>2.5</v>
      </c>
      <c r="N833" s="6">
        <v>9.9999999999999995E-7</v>
      </c>
      <c r="O833" s="1">
        <f t="shared" si="141"/>
        <v>10.213570502749036</v>
      </c>
      <c r="P833" s="1">
        <f t="shared" si="142"/>
        <v>10.221862151517284</v>
      </c>
      <c r="Q833" s="1">
        <f t="shared" si="143"/>
        <v>11.240842593550063</v>
      </c>
      <c r="R833" s="1">
        <v>125.87909999999995</v>
      </c>
      <c r="S833" s="1" t="e">
        <f t="shared" si="144"/>
        <v>#N/A</v>
      </c>
      <c r="T833" s="1" t="e">
        <v>#N/A</v>
      </c>
    </row>
    <row r="834" spans="1:57" x14ac:dyDescent="0.35">
      <c r="A834" s="1">
        <v>500438.77549999999</v>
      </c>
      <c r="B834" s="1">
        <v>5999996.5899999999</v>
      </c>
      <c r="C834" s="1">
        <v>139.590466112179</v>
      </c>
      <c r="D834" s="1">
        <f t="shared" si="145"/>
        <v>439.5339600937898</v>
      </c>
      <c r="E834" s="1">
        <v>0.01</v>
      </c>
      <c r="F834" s="1">
        <v>0.05</v>
      </c>
      <c r="G834" s="1">
        <v>0.1</v>
      </c>
      <c r="H834" s="1">
        <v>9.81</v>
      </c>
      <c r="I834" s="1">
        <v>2650</v>
      </c>
      <c r="J834" s="1">
        <v>1000</v>
      </c>
      <c r="K834" s="1">
        <v>1.65</v>
      </c>
      <c r="L834" s="1">
        <v>6.5</v>
      </c>
      <c r="M834" s="1">
        <v>2.5</v>
      </c>
      <c r="N834" s="6">
        <v>9.9999999999999995E-7</v>
      </c>
      <c r="O834" s="1">
        <f t="shared" si="141"/>
        <v>10.227678867958247</v>
      </c>
      <c r="P834" s="1">
        <f t="shared" si="142"/>
        <v>10.247073843648518</v>
      </c>
      <c r="Q834" s="1">
        <f t="shared" si="143"/>
        <v>10.2344679975829</v>
      </c>
      <c r="R834" s="1">
        <v>125.87909999999995</v>
      </c>
      <c r="S834" s="1" t="e">
        <f t="shared" si="144"/>
        <v>#N/A</v>
      </c>
      <c r="T834" s="1" t="e">
        <v>#N/A</v>
      </c>
    </row>
    <row r="835" spans="1:57" x14ac:dyDescent="0.35">
      <c r="A835" s="1">
        <v>500448.97960000002</v>
      </c>
      <c r="B835" s="1">
        <v>5999995.7369999997</v>
      </c>
      <c r="C835" s="1">
        <v>139.20154896633201</v>
      </c>
      <c r="D835" s="1">
        <f t="shared" si="145"/>
        <v>449.77365080253935</v>
      </c>
      <c r="E835" s="1">
        <v>0.01</v>
      </c>
      <c r="F835" s="1">
        <v>0.05</v>
      </c>
      <c r="G835" s="1">
        <v>0.1</v>
      </c>
      <c r="H835" s="1">
        <v>9.81</v>
      </c>
      <c r="I835" s="1">
        <v>2650</v>
      </c>
      <c r="J835" s="1">
        <v>1000</v>
      </c>
      <c r="K835" s="1">
        <v>1.65</v>
      </c>
      <c r="L835" s="1">
        <v>6.5</v>
      </c>
      <c r="M835" s="1">
        <v>2.5</v>
      </c>
      <c r="N835" s="6">
        <v>9.9999999999999995E-7</v>
      </c>
      <c r="O835" s="1">
        <f t="shared" si="141"/>
        <v>10.226507982984828</v>
      </c>
      <c r="P835" s="1">
        <f t="shared" si="142"/>
        <v>10.216402783069102</v>
      </c>
      <c r="Q835" s="1">
        <f t="shared" si="143"/>
        <v>10.231738313358811</v>
      </c>
      <c r="R835" s="1">
        <v>125.87909999999995</v>
      </c>
      <c r="S835" s="1" t="e">
        <f t="shared" si="144"/>
        <v>#N/A</v>
      </c>
      <c r="T835" s="1" t="e">
        <v>#N/A</v>
      </c>
    </row>
    <row r="836" spans="1:57" x14ac:dyDescent="0.35">
      <c r="A836" s="1">
        <v>500459.18369999999</v>
      </c>
      <c r="B836" s="1">
        <v>5999996.1710000001</v>
      </c>
      <c r="C836" s="1">
        <v>138.95080404388699</v>
      </c>
      <c r="D836" s="1">
        <f t="shared" si="145"/>
        <v>459.98697605975946</v>
      </c>
      <c r="E836" s="1">
        <v>0.01</v>
      </c>
      <c r="F836" s="1">
        <v>0.05</v>
      </c>
      <c r="G836" s="1">
        <v>0.1</v>
      </c>
      <c r="H836" s="1">
        <v>9.81</v>
      </c>
      <c r="I836" s="1">
        <v>2650</v>
      </c>
      <c r="J836" s="1">
        <v>1000</v>
      </c>
      <c r="K836" s="1">
        <v>1.65</v>
      </c>
      <c r="L836" s="1">
        <v>6.5</v>
      </c>
      <c r="M836" s="1">
        <v>2.5</v>
      </c>
      <c r="N836" s="6">
        <v>9.9999999999999995E-7</v>
      </c>
      <c r="O836" s="1">
        <f t="shared" si="141"/>
        <v>10.228563101333435</v>
      </c>
      <c r="P836" s="1">
        <f t="shared" si="142"/>
        <v>10.24381622597874</v>
      </c>
      <c r="Q836" s="1">
        <f t="shared" si="143"/>
        <v>10.23010950452392</v>
      </c>
      <c r="R836" s="1">
        <v>125.87909999999995</v>
      </c>
      <c r="S836" s="1" t="e">
        <f t="shared" si="144"/>
        <v>#N/A</v>
      </c>
      <c r="T836" s="1" t="e">
        <v>#N/A</v>
      </c>
    </row>
    <row r="837" spans="1:57" x14ac:dyDescent="0.35">
      <c r="A837" s="1">
        <v>500469.38780000003</v>
      </c>
      <c r="B837" s="1">
        <v>5999997.0719999997</v>
      </c>
      <c r="C837" s="1">
        <v>138.933110494517</v>
      </c>
      <c r="D837" s="1">
        <f t="shared" si="145"/>
        <v>470.23077700520622</v>
      </c>
      <c r="E837" s="1">
        <v>0.01</v>
      </c>
      <c r="F837" s="1">
        <v>0.05</v>
      </c>
      <c r="G837" s="1">
        <v>0.1</v>
      </c>
      <c r="H837" s="1">
        <v>9.81</v>
      </c>
      <c r="I837" s="1">
        <v>2650</v>
      </c>
      <c r="J837" s="1">
        <v>1000</v>
      </c>
      <c r="K837" s="1">
        <v>1.65</v>
      </c>
      <c r="L837" s="1">
        <v>6.5</v>
      </c>
      <c r="M837" s="1">
        <v>2.5</v>
      </c>
      <c r="N837" s="6">
        <v>9.9999999999999995E-7</v>
      </c>
      <c r="O837" s="1">
        <f t="shared" si="141"/>
        <v>10.235585469869676</v>
      </c>
      <c r="P837" s="1">
        <f t="shared" si="142"/>
        <v>14.038699271405504</v>
      </c>
      <c r="Q837" s="1">
        <f t="shared" si="143"/>
        <v>12.141257748692123</v>
      </c>
      <c r="R837" s="1">
        <v>125.87909999999995</v>
      </c>
      <c r="S837" s="1" t="e">
        <f t="shared" si="144"/>
        <v>#N/A</v>
      </c>
      <c r="T837" s="1" t="e">
        <v>#N/A</v>
      </c>
    </row>
    <row r="838" spans="1:57" x14ac:dyDescent="0.35">
      <c r="A838" s="1">
        <v>500479.59179999999</v>
      </c>
      <c r="B838" s="1">
        <v>5999997.7630000003</v>
      </c>
      <c r="C838" s="1">
        <v>148.55007364474301</v>
      </c>
      <c r="D838" s="1">
        <f t="shared" si="145"/>
        <v>480.45814699949881</v>
      </c>
      <c r="E838" s="1">
        <v>0.01</v>
      </c>
      <c r="F838" s="1">
        <v>0.05</v>
      </c>
      <c r="G838" s="1">
        <v>0.1</v>
      </c>
      <c r="H838" s="1">
        <v>9.81</v>
      </c>
      <c r="I838" s="1">
        <v>2650</v>
      </c>
      <c r="J838" s="1">
        <v>1000</v>
      </c>
      <c r="K838" s="1">
        <v>1.65</v>
      </c>
      <c r="L838" s="1">
        <v>6.5</v>
      </c>
      <c r="M838" s="1">
        <v>2.5</v>
      </c>
      <c r="N838" s="6">
        <v>9.9999999999999995E-7</v>
      </c>
      <c r="O838" s="1">
        <f t="shared" si="141"/>
        <v>10.217030880251457</v>
      </c>
      <c r="P838" s="1">
        <f t="shared" si="142"/>
        <v>10.496604105828091</v>
      </c>
      <c r="Q838" s="1">
        <f t="shared" si="143"/>
        <v>12.267651688616798</v>
      </c>
      <c r="R838" s="1">
        <v>125.87909999999995</v>
      </c>
      <c r="S838" s="1" t="e">
        <f t="shared" si="144"/>
        <v>#N/A</v>
      </c>
      <c r="T838" s="1" t="e">
        <v>#N/A</v>
      </c>
    </row>
    <row r="839" spans="1:57" x14ac:dyDescent="0.35">
      <c r="A839" s="1">
        <v>500489.79590000003</v>
      </c>
      <c r="B839" s="1">
        <v>5999997.9929999998</v>
      </c>
      <c r="C839" s="1">
        <v>146.10014692256101</v>
      </c>
      <c r="D839" s="1">
        <f t="shared" si="145"/>
        <v>490.66483876570913</v>
      </c>
      <c r="E839" s="1">
        <v>0.01</v>
      </c>
      <c r="F839" s="1">
        <v>0.05</v>
      </c>
      <c r="G839" s="1">
        <v>0.1</v>
      </c>
      <c r="H839" s="1">
        <v>9.81</v>
      </c>
      <c r="I839" s="1">
        <v>2650</v>
      </c>
      <c r="J839" s="1">
        <v>1000</v>
      </c>
      <c r="K839" s="1">
        <v>1.65</v>
      </c>
      <c r="L839" s="1">
        <v>6.5</v>
      </c>
      <c r="M839" s="1">
        <v>2.5</v>
      </c>
      <c r="N839" s="6">
        <v>9.9999999999999995E-7</v>
      </c>
      <c r="O839" s="1">
        <f t="shared" si="141"/>
        <v>10.209902888805345</v>
      </c>
      <c r="P839" s="1">
        <f t="shared" si="142"/>
        <v>10.652346301971106</v>
      </c>
      <c r="Q839" s="1">
        <f t="shared" si="143"/>
        <v>10.574475203899599</v>
      </c>
      <c r="R839" s="1">
        <v>125.87909999999995</v>
      </c>
      <c r="S839" s="1" t="e">
        <f t="shared" si="144"/>
        <v>#N/A</v>
      </c>
      <c r="T839" s="1" t="e">
        <v>#N/A</v>
      </c>
    </row>
    <row r="840" spans="1:57" x14ac:dyDescent="0.35">
      <c r="A840" s="1">
        <v>500500</v>
      </c>
      <c r="B840" s="1">
        <v>5999998.4220000003</v>
      </c>
      <c r="C840" s="1">
        <v>149.127486336511</v>
      </c>
      <c r="D840" s="1">
        <f t="shared" si="145"/>
        <v>500.8779527771095</v>
      </c>
      <c r="E840" s="1">
        <v>0.01</v>
      </c>
      <c r="F840" s="1">
        <v>0.05</v>
      </c>
      <c r="G840" s="1">
        <v>0.1</v>
      </c>
      <c r="H840" s="1">
        <v>9.81</v>
      </c>
      <c r="I840" s="1">
        <v>2650</v>
      </c>
      <c r="J840" s="1">
        <v>1000</v>
      </c>
      <c r="K840" s="1">
        <v>1.65</v>
      </c>
      <c r="L840" s="1">
        <v>6.5</v>
      </c>
      <c r="M840" s="1">
        <v>2.5</v>
      </c>
      <c r="N840" s="6">
        <v>9.9999999999999995E-7</v>
      </c>
      <c r="O840" s="1">
        <f xml:space="preserve"> (D840 - D839) / 2</f>
        <v>5.1065570057001821</v>
      </c>
    </row>
    <row r="843" spans="1:57" x14ac:dyDescent="0.35">
      <c r="A843" s="1" t="s">
        <v>0</v>
      </c>
      <c r="B843" s="1" t="s">
        <v>1</v>
      </c>
      <c r="C843" s="1" t="s">
        <v>2</v>
      </c>
      <c r="D843" s="1" t="s">
        <v>18</v>
      </c>
      <c r="E843" s="1" t="s">
        <v>67</v>
      </c>
      <c r="F843" s="1" t="s">
        <v>66</v>
      </c>
      <c r="G843" s="1" t="s">
        <v>65</v>
      </c>
      <c r="H843" s="1" t="s">
        <v>64</v>
      </c>
      <c r="I843" s="1" t="s">
        <v>63</v>
      </c>
      <c r="J843" s="1" t="s">
        <v>62</v>
      </c>
      <c r="K843" s="1" t="s">
        <v>61</v>
      </c>
      <c r="L843" s="1" t="s">
        <v>60</v>
      </c>
      <c r="M843" s="1" t="s">
        <v>59</v>
      </c>
      <c r="N843" s="1" t="s">
        <v>58</v>
      </c>
      <c r="O843" s="1" t="s">
        <v>57</v>
      </c>
      <c r="P843" s="1" t="s">
        <v>56</v>
      </c>
      <c r="Q843" s="1" t="s">
        <v>55</v>
      </c>
      <c r="R843" s="1" t="s">
        <v>54</v>
      </c>
      <c r="S843" s="1" t="s">
        <v>16</v>
      </c>
      <c r="T843" s="1" t="s">
        <v>53</v>
      </c>
      <c r="U843" s="10" t="s">
        <v>52</v>
      </c>
      <c r="V843" s="10" t="s">
        <v>51</v>
      </c>
      <c r="W843" s="10" t="s">
        <v>50</v>
      </c>
      <c r="X843" s="10" t="s">
        <v>49</v>
      </c>
      <c r="Y843" s="1" t="s">
        <v>48</v>
      </c>
      <c r="Z843" s="1" t="s">
        <v>47</v>
      </c>
      <c r="AA843" s="1" t="s">
        <v>46</v>
      </c>
      <c r="AB843" s="1" t="s">
        <v>45</v>
      </c>
      <c r="AC843" s="1" t="s">
        <v>44</v>
      </c>
      <c r="AD843" s="1" t="s">
        <v>43</v>
      </c>
      <c r="AE843" s="1" t="s">
        <v>42</v>
      </c>
      <c r="AF843" s="1" t="s">
        <v>41</v>
      </c>
      <c r="AG843" s="1" t="s">
        <v>40</v>
      </c>
      <c r="AH843" s="1" t="s">
        <v>39</v>
      </c>
      <c r="AI843" s="1" t="s">
        <v>38</v>
      </c>
      <c r="AJ843" s="1" t="s">
        <v>37</v>
      </c>
      <c r="AK843" s="1" t="s">
        <v>36</v>
      </c>
      <c r="AL843" s="1" t="s">
        <v>35</v>
      </c>
      <c r="AM843" s="1" t="s">
        <v>34</v>
      </c>
      <c r="AN843" s="1" t="s">
        <v>34</v>
      </c>
      <c r="AO843" s="7" t="s">
        <v>33</v>
      </c>
      <c r="AP843" s="7" t="s">
        <v>32</v>
      </c>
      <c r="AQ843" s="7" t="s">
        <v>31</v>
      </c>
      <c r="AR843" s="7" t="s">
        <v>30</v>
      </c>
      <c r="AS843" s="7" t="s">
        <v>29</v>
      </c>
      <c r="AT843" s="7" t="s">
        <v>28</v>
      </c>
      <c r="AU843" s="7" t="s">
        <v>27</v>
      </c>
      <c r="AV843" s="7" t="s">
        <v>27</v>
      </c>
      <c r="AW843" s="1" t="s">
        <v>26</v>
      </c>
      <c r="AX843" s="1" t="s">
        <v>25</v>
      </c>
      <c r="AY843" s="1" t="s">
        <v>24</v>
      </c>
      <c r="AZ843" s="1" t="s">
        <v>23</v>
      </c>
      <c r="BA843" s="1" t="s">
        <v>22</v>
      </c>
      <c r="BB843" s="1" t="s">
        <v>21</v>
      </c>
      <c r="BC843" s="1" t="s">
        <v>20</v>
      </c>
      <c r="BD843" s="1" t="s">
        <v>20</v>
      </c>
      <c r="BE843" s="1" t="s">
        <v>19</v>
      </c>
    </row>
    <row r="844" spans="1:57" x14ac:dyDescent="0.35">
      <c r="A844" s="1">
        <v>500000</v>
      </c>
      <c r="B844" s="1">
        <v>5999999.0959999999</v>
      </c>
      <c r="C844" s="1">
        <v>146.95665459614199</v>
      </c>
      <c r="D844" s="1">
        <v>0</v>
      </c>
      <c r="E844" s="1">
        <v>0.01</v>
      </c>
      <c r="F844" s="1">
        <v>0.05</v>
      </c>
      <c r="G844" s="1">
        <v>0.1</v>
      </c>
      <c r="H844" s="1">
        <v>9.81</v>
      </c>
      <c r="I844" s="1">
        <v>2650</v>
      </c>
      <c r="J844" s="1">
        <v>1000</v>
      </c>
      <c r="K844" s="1">
        <v>1.65</v>
      </c>
      <c r="L844" s="1">
        <v>6.5</v>
      </c>
      <c r="M844" s="1">
        <v>2.5</v>
      </c>
      <c r="N844" s="6">
        <v>9.9999999999999995E-7</v>
      </c>
      <c r="O844" s="1">
        <f xml:space="preserve"> (D845 - D844) / 2</f>
        <v>5.1061868798967165</v>
      </c>
      <c r="P844" s="1">
        <f t="shared" ref="P844:P875" si="146">SQRT((D845 - D844)^2 + (C845 - C844)^2)</f>
        <v>12.612081347143071</v>
      </c>
      <c r="Q844" s="1">
        <f>IF(ROW()=844, P844/2, (P844 + P843)/2)</f>
        <v>6.3060406735715357</v>
      </c>
      <c r="R844" s="1">
        <v>125.92909999999995</v>
      </c>
      <c r="S844" s="1" t="e">
        <f t="shared" ref="S844:S875" si="147">IF(R844 - C844 &lt; 0, NA(), R844 - C844)</f>
        <v>#N/A</v>
      </c>
      <c r="T844" s="1" t="e">
        <v>#N/A</v>
      </c>
      <c r="U844" s="10" cm="1">
        <f t="array" ref="U844">SUMPRODUCT(IF(ISNA(T844:T893), 0, T844:T893), IF(ISNA(O844:O893), 0, O844:O893))</f>
        <v>10.56690589165197</v>
      </c>
      <c r="V844" s="10">
        <f>SUMIF(S844:S893, "&gt;0", O844:O893)</f>
        <v>20.447722812498938</v>
      </c>
      <c r="W844" s="10">
        <f>SUMIF(S844:S893, "&gt;0", Q844:Q893)</f>
        <v>22.699230388756035</v>
      </c>
      <c r="X844" s="10">
        <f>U844/W844</f>
        <v>0.46551824492191773</v>
      </c>
      <c r="Y844" s="1">
        <f xml:space="preserve"> (6.5 * 2.5 * (X844 / G844)) / SQRT(6.5^2 + 2.5^2 * (X844 / G844)^(5/3))</f>
        <v>6.8107022047730297</v>
      </c>
      <c r="Z844" s="1">
        <f>Y844*SQRT(X844*H844*E844)</f>
        <v>1.4554414810718266</v>
      </c>
      <c r="AA844" s="1">
        <f>J844*H844*X844*E844</f>
        <v>45.667339826840134</v>
      </c>
      <c r="AB844" s="1">
        <f>(AA844 / (9.81 * 1000 *1.65 * F844))</f>
        <v>5.6426453929929427E-2</v>
      </c>
      <c r="AC844" s="9">
        <f xml:space="preserve"> F844 * (K844 * H844 / (N844)^2)^(1/3)</f>
        <v>1264.7974700106745</v>
      </c>
      <c r="AD844" s="1">
        <f xml:space="preserve"> 0.3 / (1 + 1.2 * AC844) + 0.055 * (1 - EXP(-0.02 * AC844))</f>
        <v>5.5197529957883754E-2</v>
      </c>
      <c r="AE844" s="1">
        <f>IF(AC844 &lt;= 4, 0.24 * AC844^-1, IF(AC844 &gt; 4, IF(AC844 &lt;= 10, 0.14 * AC844^-0.64, IF(AC844 &lt;= 20, 0.04 * AC844^-0.1, IF(AC844 &lt;= 150, 0.013 * AC844^0.29, 0.056)))))</f>
        <v>5.6000000000000001E-2</v>
      </c>
      <c r="AF844" s="1">
        <f>AB844/AD844-1</f>
        <v>2.2264111690928123E-2</v>
      </c>
      <c r="AG844" s="1">
        <f xml:space="preserve"> 2.45 * SQRT(AD844) / (K844 + 1)^0.4</f>
        <v>0.38978718496890047</v>
      </c>
      <c r="AH844" s="1">
        <f>SQRT(2/3 + 36 / AC844^3) - SQRT(36 / AC844^3)</f>
        <v>0.81636320289979147</v>
      </c>
      <c r="AI844" s="1">
        <f>AA844* Z844 / (J844 * (H844* K844 * F844)^(3/2))</f>
        <v>9.1288491109400294E-2</v>
      </c>
      <c r="AJ844" s="1">
        <f>AD844* K844 * F844 / E844</f>
        <v>0.45537962215254096</v>
      </c>
      <c r="AK844" s="1">
        <f>Y844 * AD844^(3/2)</f>
        <v>8.8322500755150302E-2</v>
      </c>
      <c r="AL844" s="1">
        <f>(0.92 - 0.25 * SQRT(AK844 / AI844))^9</f>
        <v>2.8740142906576369E-2</v>
      </c>
      <c r="AM844" s="1">
        <v>5.2759527000000001E-2</v>
      </c>
      <c r="AN844" s="1">
        <v>4.7434165E-2</v>
      </c>
      <c r="AO844" s="7">
        <f>IF(AB844 &gt; 0.047, 8 * (AB844 - 0.047)^(3/2), 0)</f>
        <v>7.3217097933723817E-3</v>
      </c>
      <c r="AP844" s="7">
        <f>IF(AB844&gt; 0.047, 4 * (AB844 - 0.047)^(3/2), 0)</f>
        <v>3.6608548966861909E-3</v>
      </c>
      <c r="AQ844" s="7">
        <f xml:space="preserve"> (0.053 / AC844^(0.3)) * ((AB844 / AE844) - 1)^2.1</f>
        <v>2.2141455702514611E-7</v>
      </c>
      <c r="AR844" s="7">
        <f xml:space="preserve"> IF(AB844 &gt; AD844, 0.635 * AF844 * SQRT(AB844) * (1 - (1 / (AG844*AF844)) * LOG(1 + AF844*AG844)), 0)</f>
        <v>1.9061053826049947E-3</v>
      </c>
      <c r="AS844" s="8">
        <f>IF(AB844&gt;= 0.19, 40 * AH844 * AB844^3, (AH844 * EXP(-0.391 / AB844)) / 0.465)</f>
        <v>1.7180729418620759E-3</v>
      </c>
      <c r="AT844" s="7">
        <f>AL844* AI844</f>
        <v>2.6236442802098909E-3</v>
      </c>
      <c r="AU844" s="7">
        <f>14 * AB844^2.5 / (1 + (AM844/AB844)^4)</f>
        <v>6.0014851624457808E-3</v>
      </c>
      <c r="AV844" s="7">
        <f>14*AB844^2.5/(1+(AN844/AB844)^4)</f>
        <v>7.061911403080723E-3</v>
      </c>
      <c r="AW844" s="1">
        <f>AO844*SQRT(1.65*9.81*F844^3)</f>
        <v>3.293396300307795E-4</v>
      </c>
      <c r="AX844" s="1">
        <f>AP844*SQRT(1.65*9.81*F844^3)</f>
        <v>1.6466981501538975E-4</v>
      </c>
      <c r="AY844" s="1">
        <f>AQ844*SQRT(1.65*9.81*F844^3)</f>
        <v>9.9595026779261773E-9</v>
      </c>
      <c r="AZ844" s="1">
        <f>AR844*SQRT(1.65*9.81*F844^3)</f>
        <v>8.5738995292472772E-5</v>
      </c>
      <c r="BA844" s="1">
        <f>AS844*SQRT(1.65*9.81*F844^3)</f>
        <v>7.728106180211328E-5</v>
      </c>
      <c r="BB844" s="1">
        <f>AT844*SQRT(1.65*9.81*F844^3)</f>
        <v>1.1801478902630821E-4</v>
      </c>
      <c r="BC844" s="1">
        <f>AU844*SQRT(1.65*9.81*G844^3)</f>
        <v>7.6354601085057601E-4</v>
      </c>
      <c r="BD844" s="1">
        <f>AV844*SQRT(1.65*9.81*G844^3)</f>
        <v>8.9845998696180124E-4</v>
      </c>
      <c r="BE844" s="1">
        <f>U844*Z844</f>
        <v>15.379513161292554</v>
      </c>
    </row>
    <row r="845" spans="1:57" x14ac:dyDescent="0.35">
      <c r="A845" s="1">
        <v>500010.20409999997</v>
      </c>
      <c r="B845" s="1">
        <v>5999998.6849999996</v>
      </c>
      <c r="C845" s="1">
        <v>154.35746658519</v>
      </c>
      <c r="D845" s="1">
        <f t="shared" ref="D845:D876" si="148">D844 + SQRT((A845 - A844)^2 + (B845 - B844)^2)</f>
        <v>10.212373759793433</v>
      </c>
      <c r="E845" s="1">
        <v>0.01</v>
      </c>
      <c r="F845" s="1">
        <v>0.05</v>
      </c>
      <c r="G845" s="1">
        <v>0.1</v>
      </c>
      <c r="H845" s="1">
        <v>9.81</v>
      </c>
      <c r="I845" s="1">
        <v>2650</v>
      </c>
      <c r="J845" s="1">
        <v>1000</v>
      </c>
      <c r="K845" s="1">
        <v>1.65</v>
      </c>
      <c r="L845" s="1">
        <v>6.5</v>
      </c>
      <c r="M845" s="1">
        <v>2.5</v>
      </c>
      <c r="N845" s="6">
        <v>9.9999999999999995E-7</v>
      </c>
      <c r="O845" s="1">
        <f t="shared" ref="O845:O892" si="149" xml:space="preserve"> (D846 - D845 + D845 - D844) / 2</f>
        <v>10.212934886473896</v>
      </c>
      <c r="P845" s="1">
        <f t="shared" si="146"/>
        <v>10.748393624242958</v>
      </c>
      <c r="Q845" s="1">
        <f t="shared" ref="Q845:Q892" si="150">IF(ROW()=2, P845/2, (P845 + P844)/2)</f>
        <v>11.680237485693015</v>
      </c>
      <c r="R845" s="1">
        <v>125.92909999999995</v>
      </c>
      <c r="S845" s="1" t="e">
        <f t="shared" si="147"/>
        <v>#N/A</v>
      </c>
      <c r="T845" s="1" t="e">
        <v>#N/A</v>
      </c>
      <c r="AO845" s="7"/>
      <c r="AP845" s="7"/>
      <c r="AQ845" s="7"/>
      <c r="AR845" s="7"/>
      <c r="AS845" s="7"/>
      <c r="AT845" s="7"/>
      <c r="AU845" s="7"/>
      <c r="AV845" s="7"/>
    </row>
    <row r="846" spans="1:57" x14ac:dyDescent="0.35">
      <c r="A846" s="1">
        <v>500020.40820000001</v>
      </c>
      <c r="B846" s="1">
        <v>5999999.1229999997</v>
      </c>
      <c r="C846" s="1">
        <v>151.008964727501</v>
      </c>
      <c r="D846" s="1">
        <f t="shared" si="148"/>
        <v>20.425869772947792</v>
      </c>
      <c r="E846" s="1">
        <v>0.01</v>
      </c>
      <c r="F846" s="1">
        <v>0.05</v>
      </c>
      <c r="G846" s="1">
        <v>0.1</v>
      </c>
      <c r="H846" s="1">
        <v>9.81</v>
      </c>
      <c r="I846" s="1">
        <v>2650</v>
      </c>
      <c r="J846" s="1">
        <v>1000</v>
      </c>
      <c r="K846" s="1">
        <v>1.65</v>
      </c>
      <c r="L846" s="1">
        <v>6.5</v>
      </c>
      <c r="M846" s="1">
        <v>2.5</v>
      </c>
      <c r="N846" s="6">
        <v>9.9999999999999995E-7</v>
      </c>
      <c r="O846" s="1">
        <f t="shared" si="149"/>
        <v>10.21125621009096</v>
      </c>
      <c r="P846" s="1">
        <f t="shared" si="146"/>
        <v>13.985433799960637</v>
      </c>
      <c r="Q846" s="1">
        <f t="shared" si="150"/>
        <v>12.366913712101798</v>
      </c>
      <c r="R846" s="1">
        <v>125.92909999999995</v>
      </c>
      <c r="S846" s="1" t="e">
        <f t="shared" si="147"/>
        <v>#N/A</v>
      </c>
      <c r="T846" s="1" t="e">
        <v>#N/A</v>
      </c>
    </row>
    <row r="847" spans="1:57" x14ac:dyDescent="0.35">
      <c r="A847" s="1">
        <v>500030.61219999997</v>
      </c>
      <c r="B847" s="1">
        <v>5999998.8030000003</v>
      </c>
      <c r="C847" s="1">
        <v>160.567643641144</v>
      </c>
      <c r="D847" s="1">
        <f t="shared" si="148"/>
        <v>30.634886179975354</v>
      </c>
      <c r="E847" s="1">
        <v>0.01</v>
      </c>
      <c r="F847" s="1">
        <v>0.05</v>
      </c>
      <c r="G847" s="1">
        <v>0.1</v>
      </c>
      <c r="H847" s="1">
        <v>9.81</v>
      </c>
      <c r="I847" s="1">
        <v>2650</v>
      </c>
      <c r="J847" s="1">
        <v>1000</v>
      </c>
      <c r="K847" s="1">
        <v>1.65</v>
      </c>
      <c r="L847" s="1">
        <v>6.5</v>
      </c>
      <c r="M847" s="1">
        <v>2.5</v>
      </c>
      <c r="N847" s="6">
        <v>9.9999999999999995E-7</v>
      </c>
      <c r="O847" s="1">
        <f t="shared" si="149"/>
        <v>10.214935822867286</v>
      </c>
      <c r="P847" s="1">
        <f t="shared" si="146"/>
        <v>10.224042445454263</v>
      </c>
      <c r="Q847" s="1">
        <f t="shared" si="150"/>
        <v>12.104738122707449</v>
      </c>
      <c r="R847" s="1">
        <v>125.92909999999995</v>
      </c>
      <c r="S847" s="1" t="e">
        <f t="shared" si="147"/>
        <v>#N/A</v>
      </c>
      <c r="T847" s="1" t="e">
        <v>#N/A</v>
      </c>
    </row>
    <row r="848" spans="1:57" x14ac:dyDescent="0.35">
      <c r="A848" s="1">
        <v>500040.81630000001</v>
      </c>
      <c r="B848" s="1">
        <v>5999998.2180000003</v>
      </c>
      <c r="C848" s="1">
        <v>160.82291235416201</v>
      </c>
      <c r="D848" s="1">
        <f t="shared" si="148"/>
        <v>40.855741418682364</v>
      </c>
      <c r="E848" s="1">
        <v>0.01</v>
      </c>
      <c r="F848" s="1">
        <v>0.05</v>
      </c>
      <c r="G848" s="1">
        <v>0.1</v>
      </c>
      <c r="H848" s="1">
        <v>9.81</v>
      </c>
      <c r="I848" s="1">
        <v>2650</v>
      </c>
      <c r="J848" s="1">
        <v>1000</v>
      </c>
      <c r="K848" s="1">
        <v>1.65</v>
      </c>
      <c r="L848" s="1">
        <v>6.5</v>
      </c>
      <c r="M848" s="1">
        <v>2.5</v>
      </c>
      <c r="N848" s="6">
        <v>9.9999999999999995E-7</v>
      </c>
      <c r="O848" s="1">
        <f t="shared" si="149"/>
        <v>10.231243785008825</v>
      </c>
      <c r="P848" s="1">
        <f t="shared" si="146"/>
        <v>10.333484931908488</v>
      </c>
      <c r="Q848" s="1">
        <f t="shared" si="150"/>
        <v>10.278763688681376</v>
      </c>
      <c r="R848" s="1">
        <v>125.92909999999995</v>
      </c>
      <c r="S848" s="1" t="e">
        <f t="shared" si="147"/>
        <v>#N/A</v>
      </c>
      <c r="T848" s="1" t="e">
        <v>#N/A</v>
      </c>
    </row>
    <row r="849" spans="1:20" x14ac:dyDescent="0.35">
      <c r="A849" s="1">
        <v>500051.02039999998</v>
      </c>
      <c r="B849" s="1">
        <v>5999997.3420000002</v>
      </c>
      <c r="C849" s="1">
        <v>159.448184007094</v>
      </c>
      <c r="D849" s="1">
        <f t="shared" si="148"/>
        <v>51.097373749993004</v>
      </c>
      <c r="E849" s="1">
        <v>0.01</v>
      </c>
      <c r="F849" s="1">
        <v>0.05</v>
      </c>
      <c r="G849" s="1">
        <v>0.1</v>
      </c>
      <c r="H849" s="1">
        <v>9.81</v>
      </c>
      <c r="I849" s="1">
        <v>2650</v>
      </c>
      <c r="J849" s="1">
        <v>1000</v>
      </c>
      <c r="K849" s="1">
        <v>1.65</v>
      </c>
      <c r="L849" s="1">
        <v>6.5</v>
      </c>
      <c r="M849" s="1">
        <v>2.5</v>
      </c>
      <c r="N849" s="6">
        <v>9.9999999999999995E-7</v>
      </c>
      <c r="O849" s="1">
        <f t="shared" si="149"/>
        <v>10.22297614478725</v>
      </c>
      <c r="P849" s="1">
        <f t="shared" si="146"/>
        <v>11.164078602095582</v>
      </c>
      <c r="Q849" s="1">
        <f t="shared" si="150"/>
        <v>10.748781767002036</v>
      </c>
      <c r="R849" s="1">
        <v>125.92909999999995</v>
      </c>
      <c r="S849" s="1" t="e">
        <f t="shared" si="147"/>
        <v>#N/A</v>
      </c>
      <c r="T849" s="1" t="e">
        <v>#N/A</v>
      </c>
    </row>
    <row r="850" spans="1:20" x14ac:dyDescent="0.35">
      <c r="A850" s="1">
        <v>500061.22450000001</v>
      </c>
      <c r="B850" s="1">
        <v>5999997.2750000004</v>
      </c>
      <c r="C850" s="1">
        <v>163.976815723534</v>
      </c>
      <c r="D850" s="1">
        <f t="shared" si="148"/>
        <v>61.301693708256863</v>
      </c>
      <c r="E850" s="1">
        <v>0.01</v>
      </c>
      <c r="F850" s="1">
        <v>0.05</v>
      </c>
      <c r="G850" s="1">
        <v>0.1</v>
      </c>
      <c r="H850" s="1">
        <v>9.81</v>
      </c>
      <c r="I850" s="1">
        <v>2650</v>
      </c>
      <c r="J850" s="1">
        <v>1000</v>
      </c>
      <c r="K850" s="1">
        <v>1.65</v>
      </c>
      <c r="L850" s="1">
        <v>6.5</v>
      </c>
      <c r="M850" s="1">
        <v>2.5</v>
      </c>
      <c r="N850" s="6">
        <v>9.9999999999999995E-7</v>
      </c>
      <c r="O850" s="1">
        <f t="shared" si="149"/>
        <v>10.209391538632293</v>
      </c>
      <c r="P850" s="1">
        <f t="shared" si="146"/>
        <v>11.034750060361873</v>
      </c>
      <c r="Q850" s="1">
        <f t="shared" si="150"/>
        <v>11.099414331228727</v>
      </c>
      <c r="R850" s="1">
        <v>125.92909999999995</v>
      </c>
      <c r="S850" s="1" t="e">
        <f t="shared" si="147"/>
        <v>#N/A</v>
      </c>
      <c r="T850" s="1" t="e">
        <v>#N/A</v>
      </c>
    </row>
    <row r="851" spans="1:20" x14ac:dyDescent="0.35">
      <c r="A851" s="1">
        <v>500071.42859999998</v>
      </c>
      <c r="B851" s="1">
        <v>5999996.8150000004</v>
      </c>
      <c r="C851" s="1">
        <v>168.15179501512699</v>
      </c>
      <c r="D851" s="1">
        <f t="shared" si="148"/>
        <v>71.516156827257589</v>
      </c>
      <c r="E851" s="1">
        <v>0.01</v>
      </c>
      <c r="F851" s="1">
        <v>0.05</v>
      </c>
      <c r="G851" s="1">
        <v>0.1</v>
      </c>
      <c r="H851" s="1">
        <v>9.81</v>
      </c>
      <c r="I851" s="1">
        <v>2650</v>
      </c>
      <c r="J851" s="1">
        <v>1000</v>
      </c>
      <c r="K851" s="1">
        <v>1.65</v>
      </c>
      <c r="L851" s="1">
        <v>6.5</v>
      </c>
      <c r="M851" s="1">
        <v>2.5</v>
      </c>
      <c r="N851" s="6">
        <v>9.9999999999999995E-7</v>
      </c>
      <c r="O851" s="1">
        <f t="shared" si="149"/>
        <v>10.229976351370027</v>
      </c>
      <c r="P851" s="1">
        <f t="shared" si="146"/>
        <v>11.687505241745082</v>
      </c>
      <c r="Q851" s="1">
        <f t="shared" si="150"/>
        <v>11.361127651053478</v>
      </c>
      <c r="R851" s="1">
        <v>125.92909999999995</v>
      </c>
      <c r="S851" s="1" t="e">
        <f t="shared" si="147"/>
        <v>#N/A</v>
      </c>
      <c r="T851" s="1" t="e">
        <v>#N/A</v>
      </c>
    </row>
    <row r="852" spans="1:20" x14ac:dyDescent="0.35">
      <c r="A852" s="1">
        <v>500081.63270000002</v>
      </c>
      <c r="B852" s="1">
        <v>5999997.7350000003</v>
      </c>
      <c r="C852" s="1">
        <v>162.52794206849799</v>
      </c>
      <c r="D852" s="1">
        <f t="shared" si="148"/>
        <v>81.761646410996917</v>
      </c>
      <c r="E852" s="1">
        <v>0.01</v>
      </c>
      <c r="F852" s="1">
        <v>0.05</v>
      </c>
      <c r="G852" s="1">
        <v>0.1</v>
      </c>
      <c r="H852" s="1">
        <v>9.81</v>
      </c>
      <c r="I852" s="1">
        <v>2650</v>
      </c>
      <c r="J852" s="1">
        <v>1000</v>
      </c>
      <c r="K852" s="1">
        <v>1.65</v>
      </c>
      <c r="L852" s="1">
        <v>6.5</v>
      </c>
      <c r="M852" s="1">
        <v>2.5</v>
      </c>
      <c r="N852" s="6">
        <v>9.9999999999999995E-7</v>
      </c>
      <c r="O852" s="1">
        <f t="shared" si="149"/>
        <v>10.224765396477437</v>
      </c>
      <c r="P852" s="1">
        <f t="shared" si="146"/>
        <v>11.652977208096294</v>
      </c>
      <c r="Q852" s="1">
        <f t="shared" si="150"/>
        <v>11.670241224920687</v>
      </c>
      <c r="R852" s="1">
        <v>125.92909999999995</v>
      </c>
      <c r="S852" s="1" t="e">
        <f t="shared" si="147"/>
        <v>#N/A</v>
      </c>
      <c r="T852" s="1" t="e">
        <v>#N/A</v>
      </c>
    </row>
    <row r="853" spans="1:20" x14ac:dyDescent="0.35">
      <c r="A853" s="1">
        <v>500091.83669999999</v>
      </c>
      <c r="B853" s="1">
        <v>5999997.7640000004</v>
      </c>
      <c r="C853" s="1">
        <v>168.15550111421601</v>
      </c>
      <c r="D853" s="1">
        <f t="shared" si="148"/>
        <v>91.965687620212464</v>
      </c>
      <c r="E853" s="1">
        <v>0.01</v>
      </c>
      <c r="F853" s="1">
        <v>0.05</v>
      </c>
      <c r="G853" s="1">
        <v>0.1</v>
      </c>
      <c r="H853" s="1">
        <v>9.81</v>
      </c>
      <c r="I853" s="1">
        <v>2650</v>
      </c>
      <c r="J853" s="1">
        <v>1000</v>
      </c>
      <c r="K853" s="1">
        <v>1.65</v>
      </c>
      <c r="L853" s="1">
        <v>6.5</v>
      </c>
      <c r="M853" s="1">
        <v>2.5</v>
      </c>
      <c r="N853" s="6">
        <v>9.9999999999999995E-7</v>
      </c>
      <c r="O853" s="1">
        <f t="shared" si="149"/>
        <v>10.204607223431253</v>
      </c>
      <c r="P853" s="1">
        <f t="shared" si="146"/>
        <v>10.499401533865951</v>
      </c>
      <c r="Q853" s="1">
        <f t="shared" si="150"/>
        <v>11.076189370981123</v>
      </c>
      <c r="R853" s="1">
        <v>125.92909999999995</v>
      </c>
      <c r="S853" s="1" t="e">
        <f t="shared" si="147"/>
        <v>#N/A</v>
      </c>
      <c r="T853" s="1" t="e">
        <v>#N/A</v>
      </c>
    </row>
    <row r="854" spans="1:20" x14ac:dyDescent="0.35">
      <c r="A854" s="1">
        <v>500102.04080000002</v>
      </c>
      <c r="B854" s="1">
        <v>5999997.9119999995</v>
      </c>
      <c r="C854" s="1">
        <v>170.62367285843499</v>
      </c>
      <c r="D854" s="1">
        <f t="shared" si="148"/>
        <v>102.17086085785942</v>
      </c>
      <c r="E854" s="1">
        <v>0.01</v>
      </c>
      <c r="F854" s="1">
        <v>0.05</v>
      </c>
      <c r="G854" s="1">
        <v>0.1</v>
      </c>
      <c r="H854" s="1">
        <v>9.81</v>
      </c>
      <c r="I854" s="1">
        <v>2650</v>
      </c>
      <c r="J854" s="1">
        <v>1000</v>
      </c>
      <c r="K854" s="1">
        <v>1.65</v>
      </c>
      <c r="L854" s="1">
        <v>6.5</v>
      </c>
      <c r="M854" s="1">
        <v>2.5</v>
      </c>
      <c r="N854" s="6">
        <v>9.9999999999999995E-7</v>
      </c>
      <c r="O854" s="1">
        <f t="shared" si="149"/>
        <v>10.21006882166494</v>
      </c>
      <c r="P854" s="1">
        <f t="shared" si="146"/>
        <v>10.948230205101877</v>
      </c>
      <c r="Q854" s="1">
        <f t="shared" si="150"/>
        <v>10.723815869483914</v>
      </c>
      <c r="R854" s="1">
        <v>125.92909999999995</v>
      </c>
      <c r="S854" s="1" t="e">
        <f t="shared" si="147"/>
        <v>#N/A</v>
      </c>
      <c r="T854" s="1" t="e">
        <v>#N/A</v>
      </c>
    </row>
    <row r="855" spans="1:20" x14ac:dyDescent="0.35">
      <c r="A855" s="1">
        <v>500112.24489999999</v>
      </c>
      <c r="B855" s="1">
        <v>5999997.4409999996</v>
      </c>
      <c r="C855" s="1">
        <v>174.56299346160199</v>
      </c>
      <c r="D855" s="1">
        <f t="shared" si="148"/>
        <v>112.38582526354234</v>
      </c>
      <c r="E855" s="1">
        <v>0.01</v>
      </c>
      <c r="F855" s="1">
        <v>0.05</v>
      </c>
      <c r="G855" s="1">
        <v>0.1</v>
      </c>
      <c r="H855" s="1">
        <v>9.81</v>
      </c>
      <c r="I855" s="1">
        <v>2650</v>
      </c>
      <c r="J855" s="1">
        <v>1000</v>
      </c>
      <c r="K855" s="1">
        <v>1.65</v>
      </c>
      <c r="L855" s="1">
        <v>6.5</v>
      </c>
      <c r="M855" s="1">
        <v>2.5</v>
      </c>
      <c r="N855" s="6">
        <v>9.9999999999999995E-7</v>
      </c>
      <c r="O855" s="1">
        <f t="shared" si="149"/>
        <v>10.211692861963954</v>
      </c>
      <c r="P855" s="1">
        <f t="shared" si="146"/>
        <v>13.530011313683339</v>
      </c>
      <c r="Q855" s="1">
        <f t="shared" si="150"/>
        <v>12.239120759392609</v>
      </c>
      <c r="R855" s="1">
        <v>125.92909999999995</v>
      </c>
      <c r="S855" s="1" t="e">
        <f t="shared" si="147"/>
        <v>#N/A</v>
      </c>
      <c r="T855" s="1" t="e">
        <v>#N/A</v>
      </c>
    </row>
    <row r="856" spans="1:20" x14ac:dyDescent="0.35">
      <c r="A856" s="1">
        <v>500122.44900000002</v>
      </c>
      <c r="B856" s="1">
        <v>5999997.7379999999</v>
      </c>
      <c r="C856" s="1">
        <v>165.68327835707299</v>
      </c>
      <c r="D856" s="1">
        <f t="shared" si="148"/>
        <v>122.59424658178733</v>
      </c>
      <c r="E856" s="1">
        <v>0.01</v>
      </c>
      <c r="F856" s="1">
        <v>0.05</v>
      </c>
      <c r="G856" s="1">
        <v>0.1</v>
      </c>
      <c r="H856" s="1">
        <v>9.81</v>
      </c>
      <c r="I856" s="1">
        <v>2650</v>
      </c>
      <c r="J856" s="1">
        <v>1000</v>
      </c>
      <c r="K856" s="1">
        <v>1.65</v>
      </c>
      <c r="L856" s="1">
        <v>6.5</v>
      </c>
      <c r="M856" s="1">
        <v>2.5</v>
      </c>
      <c r="N856" s="6">
        <v>9.9999999999999995E-7</v>
      </c>
      <c r="O856" s="1">
        <f t="shared" si="149"/>
        <v>10.212455607463802</v>
      </c>
      <c r="P856" s="1">
        <f t="shared" si="146"/>
        <v>12.917030195420445</v>
      </c>
      <c r="Q856" s="1">
        <f t="shared" si="150"/>
        <v>13.223520754551892</v>
      </c>
      <c r="R856" s="1">
        <v>125.92909999999995</v>
      </c>
      <c r="S856" s="1" t="e">
        <f t="shared" si="147"/>
        <v>#N/A</v>
      </c>
      <c r="T856" s="1" t="e">
        <v>#N/A</v>
      </c>
    </row>
    <row r="857" spans="1:20" x14ac:dyDescent="0.35">
      <c r="A857" s="1">
        <v>500132.6531</v>
      </c>
      <c r="B857" s="1">
        <v>5999997.2350000003</v>
      </c>
      <c r="C857" s="1">
        <v>173.58726489934301</v>
      </c>
      <c r="D857" s="1">
        <f t="shared" si="148"/>
        <v>132.81073647846995</v>
      </c>
      <c r="E857" s="1">
        <v>0.01</v>
      </c>
      <c r="F857" s="1">
        <v>0.05</v>
      </c>
      <c r="G857" s="1">
        <v>0.1</v>
      </c>
      <c r="H857" s="1">
        <v>9.81</v>
      </c>
      <c r="I857" s="1">
        <v>2650</v>
      </c>
      <c r="J857" s="1">
        <v>1000</v>
      </c>
      <c r="K857" s="1">
        <v>1.65</v>
      </c>
      <c r="L857" s="1">
        <v>6.5</v>
      </c>
      <c r="M857" s="1">
        <v>2.5</v>
      </c>
      <c r="N857" s="6">
        <v>9.9999999999999995E-7</v>
      </c>
      <c r="O857" s="1">
        <f t="shared" si="149"/>
        <v>10.225512676353247</v>
      </c>
      <c r="P857" s="1">
        <f t="shared" si="146"/>
        <v>13.492945518552009</v>
      </c>
      <c r="Q857" s="1">
        <f t="shared" si="150"/>
        <v>13.204987856986227</v>
      </c>
      <c r="R857" s="1">
        <v>125.92909999999995</v>
      </c>
      <c r="S857" s="1" t="e">
        <f t="shared" si="147"/>
        <v>#N/A</v>
      </c>
      <c r="T857" s="1" t="e">
        <v>#N/A</v>
      </c>
    </row>
    <row r="858" spans="1:20" x14ac:dyDescent="0.35">
      <c r="A858" s="1">
        <v>500142.85710000002</v>
      </c>
      <c r="B858" s="1">
        <v>5999996.4450000003</v>
      </c>
      <c r="C858" s="1">
        <v>164.79443470844299</v>
      </c>
      <c r="D858" s="1">
        <f t="shared" si="148"/>
        <v>143.04527193449383</v>
      </c>
      <c r="E858" s="1">
        <v>0.01</v>
      </c>
      <c r="F858" s="1">
        <v>0.05</v>
      </c>
      <c r="G858" s="1">
        <v>0.1</v>
      </c>
      <c r="H858" s="1">
        <v>9.81</v>
      </c>
      <c r="I858" s="1">
        <v>2650</v>
      </c>
      <c r="J858" s="1">
        <v>1000</v>
      </c>
      <c r="K858" s="1">
        <v>1.65</v>
      </c>
      <c r="L858" s="1">
        <v>6.5</v>
      </c>
      <c r="M858" s="1">
        <v>2.5</v>
      </c>
      <c r="N858" s="6">
        <v>9.9999999999999995E-7</v>
      </c>
      <c r="O858" s="1">
        <f t="shared" si="149"/>
        <v>10.219577641411078</v>
      </c>
      <c r="P858" s="1">
        <f t="shared" si="146"/>
        <v>10.57052865269438</v>
      </c>
      <c r="Q858" s="1">
        <f t="shared" si="150"/>
        <v>12.031737085623195</v>
      </c>
      <c r="R858" s="1">
        <v>125.92909999999995</v>
      </c>
      <c r="S858" s="1" t="e">
        <f t="shared" si="147"/>
        <v>#N/A</v>
      </c>
      <c r="T858" s="1" t="e">
        <v>#N/A</v>
      </c>
    </row>
    <row r="859" spans="1:20" x14ac:dyDescent="0.35">
      <c r="A859" s="1">
        <v>500153.0612</v>
      </c>
      <c r="B859" s="1">
        <v>5999996.5480000004</v>
      </c>
      <c r="C859" s="1">
        <v>167.55157275140499</v>
      </c>
      <c r="D859" s="1">
        <f t="shared" si="148"/>
        <v>153.2498917612921</v>
      </c>
      <c r="E859" s="1">
        <v>0.01</v>
      </c>
      <c r="F859" s="1">
        <v>0.05</v>
      </c>
      <c r="G859" s="1">
        <v>0.1</v>
      </c>
      <c r="H859" s="1">
        <v>9.81</v>
      </c>
      <c r="I859" s="1">
        <v>2650</v>
      </c>
      <c r="J859" s="1">
        <v>1000</v>
      </c>
      <c r="K859" s="1">
        <v>1.65</v>
      </c>
      <c r="L859" s="1">
        <v>6.5</v>
      </c>
      <c r="M859" s="1">
        <v>2.5</v>
      </c>
      <c r="N859" s="6">
        <v>9.9999999999999995E-7</v>
      </c>
      <c r="O859" s="1">
        <f t="shared" si="149"/>
        <v>10.204940921281036</v>
      </c>
      <c r="P859" s="1">
        <f t="shared" si="146"/>
        <v>10.682627590463349</v>
      </c>
      <c r="Q859" s="1">
        <f t="shared" si="150"/>
        <v>10.626578121578865</v>
      </c>
      <c r="R859" s="1">
        <v>125.92909999999995</v>
      </c>
      <c r="S859" s="1" t="e">
        <f t="shared" si="147"/>
        <v>#N/A</v>
      </c>
      <c r="T859" s="1" t="e">
        <v>#N/A</v>
      </c>
    </row>
    <row r="860" spans="1:20" x14ac:dyDescent="0.35">
      <c r="A860" s="1">
        <v>500163.26530000003</v>
      </c>
      <c r="B860" s="1">
        <v>5999996.7019999996</v>
      </c>
      <c r="C860" s="1">
        <v>164.39385847900201</v>
      </c>
      <c r="D860" s="1">
        <f t="shared" si="148"/>
        <v>163.4551537770559</v>
      </c>
      <c r="E860" s="1">
        <v>0.01</v>
      </c>
      <c r="F860" s="1">
        <v>0.05</v>
      </c>
      <c r="G860" s="1">
        <v>0.1</v>
      </c>
      <c r="H860" s="1">
        <v>9.81</v>
      </c>
      <c r="I860" s="1">
        <v>2650</v>
      </c>
      <c r="J860" s="1">
        <v>1000</v>
      </c>
      <c r="K860" s="1">
        <v>1.65</v>
      </c>
      <c r="L860" s="1">
        <v>6.5</v>
      </c>
      <c r="M860" s="1">
        <v>2.5</v>
      </c>
      <c r="N860" s="6">
        <v>9.9999999999999995E-7</v>
      </c>
      <c r="O860" s="1">
        <f t="shared" si="149"/>
        <v>10.213849082106762</v>
      </c>
      <c r="P860" s="1">
        <f t="shared" si="146"/>
        <v>11.026540308620518</v>
      </c>
      <c r="Q860" s="1">
        <f t="shared" si="150"/>
        <v>10.854583949541933</v>
      </c>
      <c r="R860" s="1">
        <v>125.92909999999995</v>
      </c>
      <c r="S860" s="1" t="e">
        <f t="shared" si="147"/>
        <v>#N/A</v>
      </c>
      <c r="T860" s="1" t="e">
        <v>#N/A</v>
      </c>
    </row>
    <row r="861" spans="1:20" x14ac:dyDescent="0.35">
      <c r="A861" s="1">
        <v>500173.4694</v>
      </c>
      <c r="B861" s="1">
        <v>5999996.0899999999</v>
      </c>
      <c r="C861" s="1">
        <v>168.52742719967199</v>
      </c>
      <c r="D861" s="1">
        <f t="shared" si="148"/>
        <v>173.67758992550563</v>
      </c>
      <c r="E861" s="1">
        <v>0.01</v>
      </c>
      <c r="F861" s="1">
        <v>0.05</v>
      </c>
      <c r="G861" s="1">
        <v>0.1</v>
      </c>
      <c r="H861" s="1">
        <v>9.81</v>
      </c>
      <c r="I861" s="1">
        <v>2650</v>
      </c>
      <c r="J861" s="1">
        <v>1000</v>
      </c>
      <c r="K861" s="1">
        <v>1.65</v>
      </c>
      <c r="L861" s="1">
        <v>6.5</v>
      </c>
      <c r="M861" s="1">
        <v>2.5</v>
      </c>
      <c r="N861" s="6">
        <v>9.9999999999999995E-7</v>
      </c>
      <c r="O861" s="1">
        <f t="shared" si="149"/>
        <v>10.214988293625822</v>
      </c>
      <c r="P861" s="1">
        <f t="shared" si="146"/>
        <v>10.632479456336906</v>
      </c>
      <c r="Q861" s="1">
        <f t="shared" si="150"/>
        <v>10.829509882478712</v>
      </c>
      <c r="R861" s="1">
        <v>125.92909999999995</v>
      </c>
      <c r="S861" s="1" t="e">
        <f t="shared" si="147"/>
        <v>#N/A</v>
      </c>
      <c r="T861" s="1" t="e">
        <v>#N/A</v>
      </c>
    </row>
    <row r="862" spans="1:20" x14ac:dyDescent="0.35">
      <c r="A862" s="1">
        <v>500183.67349999998</v>
      </c>
      <c r="B862" s="1">
        <v>5999996.3550000004</v>
      </c>
      <c r="C862" s="1">
        <v>165.55156806663999</v>
      </c>
      <c r="D862" s="1">
        <f t="shared" si="148"/>
        <v>183.88513036430754</v>
      </c>
      <c r="E862" s="1">
        <v>0.01</v>
      </c>
      <c r="F862" s="1">
        <v>0.05</v>
      </c>
      <c r="G862" s="1">
        <v>0.1</v>
      </c>
      <c r="H862" s="1">
        <v>9.81</v>
      </c>
      <c r="I862" s="1">
        <v>2650</v>
      </c>
      <c r="J862" s="1">
        <v>1000</v>
      </c>
      <c r="K862" s="1">
        <v>1.65</v>
      </c>
      <c r="L862" s="1">
        <v>6.5</v>
      </c>
      <c r="M862" s="1">
        <v>2.5</v>
      </c>
      <c r="N862" s="6">
        <v>9.9999999999999995E-7</v>
      </c>
      <c r="O862" s="1">
        <f t="shared" si="149"/>
        <v>10.210285318026777</v>
      </c>
      <c r="P862" s="1">
        <f t="shared" si="146"/>
        <v>10.217153370786205</v>
      </c>
      <c r="Q862" s="1">
        <f t="shared" si="150"/>
        <v>10.424816413561555</v>
      </c>
      <c r="R862" s="1">
        <v>125.92909999999995</v>
      </c>
      <c r="S862" s="1" t="e">
        <f t="shared" si="147"/>
        <v>#N/A</v>
      </c>
      <c r="T862" s="1" t="e">
        <v>#N/A</v>
      </c>
    </row>
    <row r="863" spans="1:20" x14ac:dyDescent="0.35">
      <c r="A863" s="1">
        <v>500193.87760000001</v>
      </c>
      <c r="B863" s="1">
        <v>5999996.7819999997</v>
      </c>
      <c r="C863" s="1">
        <v>165.84180450851801</v>
      </c>
      <c r="D863" s="1">
        <f t="shared" si="148"/>
        <v>194.09816056155918</v>
      </c>
      <c r="E863" s="1">
        <v>0.01</v>
      </c>
      <c r="F863" s="1">
        <v>0.05</v>
      </c>
      <c r="G863" s="1">
        <v>0.1</v>
      </c>
      <c r="H863" s="1">
        <v>9.81</v>
      </c>
      <c r="I863" s="1">
        <v>2650</v>
      </c>
      <c r="J863" s="1">
        <v>1000</v>
      </c>
      <c r="K863" s="1">
        <v>1.65</v>
      </c>
      <c r="L863" s="1">
        <v>6.5</v>
      </c>
      <c r="M863" s="1">
        <v>2.5</v>
      </c>
      <c r="N863" s="6">
        <v>9.9999999999999995E-7</v>
      </c>
      <c r="O863" s="1">
        <f t="shared" si="149"/>
        <v>10.225732250662787</v>
      </c>
      <c r="P863" s="1">
        <f t="shared" si="146"/>
        <v>11.805317568883225</v>
      </c>
      <c r="Q863" s="1">
        <f t="shared" si="150"/>
        <v>11.011235469834716</v>
      </c>
      <c r="R863" s="1">
        <v>125.92909999999995</v>
      </c>
      <c r="S863" s="1" t="e">
        <f t="shared" si="147"/>
        <v>#N/A</v>
      </c>
      <c r="T863" s="1" t="e">
        <v>#N/A</v>
      </c>
    </row>
    <row r="864" spans="1:20" x14ac:dyDescent="0.35">
      <c r="A864" s="1">
        <v>500204.08159999998</v>
      </c>
      <c r="B864" s="1">
        <v>5999995.943</v>
      </c>
      <c r="C864" s="1">
        <v>159.96473160584401</v>
      </c>
      <c r="D864" s="1">
        <f t="shared" si="148"/>
        <v>204.33659486563312</v>
      </c>
      <c r="E864" s="1">
        <v>0.01</v>
      </c>
      <c r="F864" s="1">
        <v>0.05</v>
      </c>
      <c r="G864" s="1">
        <v>0.1</v>
      </c>
      <c r="H864" s="1">
        <v>9.81</v>
      </c>
      <c r="I864" s="1">
        <v>2650</v>
      </c>
      <c r="J864" s="1">
        <v>1000</v>
      </c>
      <c r="K864" s="1">
        <v>1.65</v>
      </c>
      <c r="L864" s="1">
        <v>6.5</v>
      </c>
      <c r="M864" s="1">
        <v>2.5</v>
      </c>
      <c r="N864" s="6">
        <v>9.9999999999999995E-7</v>
      </c>
      <c r="O864" s="1">
        <f t="shared" si="149"/>
        <v>10.222474465035148</v>
      </c>
      <c r="P864" s="1">
        <f t="shared" si="146"/>
        <v>10.510110351296964</v>
      </c>
      <c r="Q864" s="1">
        <f t="shared" si="150"/>
        <v>11.157713960090096</v>
      </c>
      <c r="R864" s="1">
        <v>125.92909999999995</v>
      </c>
      <c r="S864" s="1" t="e">
        <f t="shared" si="147"/>
        <v>#N/A</v>
      </c>
      <c r="T864" s="1" t="e">
        <v>#N/A</v>
      </c>
    </row>
    <row r="865" spans="1:20" x14ac:dyDescent="0.35">
      <c r="A865" s="1">
        <v>500214.28570000001</v>
      </c>
      <c r="B865" s="1">
        <v>5999995.7209999999</v>
      </c>
      <c r="C865" s="1">
        <v>162.47261493362501</v>
      </c>
      <c r="D865" s="1">
        <f t="shared" si="148"/>
        <v>214.54310949162948</v>
      </c>
      <c r="E865" s="1">
        <v>0.01</v>
      </c>
      <c r="F865" s="1">
        <v>0.05</v>
      </c>
      <c r="G865" s="1">
        <v>0.1</v>
      </c>
      <c r="H865" s="1">
        <v>9.81</v>
      </c>
      <c r="I865" s="1">
        <v>2650</v>
      </c>
      <c r="J865" s="1">
        <v>1000</v>
      </c>
      <c r="K865" s="1">
        <v>1.65</v>
      </c>
      <c r="L865" s="1">
        <v>6.5</v>
      </c>
      <c r="M865" s="1">
        <v>2.5</v>
      </c>
      <c r="N865" s="6">
        <v>9.9999999999999995E-7</v>
      </c>
      <c r="O865" s="1">
        <f t="shared" si="149"/>
        <v>10.209668499185454</v>
      </c>
      <c r="P865" s="1">
        <f t="shared" si="146"/>
        <v>13.932835838967597</v>
      </c>
      <c r="Q865" s="1">
        <f t="shared" si="150"/>
        <v>12.22147309513228</v>
      </c>
      <c r="R865" s="1">
        <v>125.92909999999995</v>
      </c>
      <c r="S865" s="1" t="e">
        <f t="shared" si="147"/>
        <v>#N/A</v>
      </c>
      <c r="T865" s="1" t="e">
        <v>#N/A</v>
      </c>
    </row>
    <row r="866" spans="1:20" x14ac:dyDescent="0.35">
      <c r="A866" s="1">
        <v>500224.48979999998</v>
      </c>
      <c r="B866" s="1">
        <v>5999996.1430000002</v>
      </c>
      <c r="C866" s="1">
        <v>152.99515885586101</v>
      </c>
      <c r="D866" s="1">
        <f t="shared" si="148"/>
        <v>224.75593186400403</v>
      </c>
      <c r="E866" s="1">
        <v>0.01</v>
      </c>
      <c r="F866" s="1">
        <v>0.05</v>
      </c>
      <c r="G866" s="1">
        <v>0.1</v>
      </c>
      <c r="H866" s="1">
        <v>9.81</v>
      </c>
      <c r="I866" s="1">
        <v>2650</v>
      </c>
      <c r="J866" s="1">
        <v>1000</v>
      </c>
      <c r="K866" s="1">
        <v>1.65</v>
      </c>
      <c r="L866" s="1">
        <v>6.5</v>
      </c>
      <c r="M866" s="1">
        <v>2.5</v>
      </c>
      <c r="N866" s="6">
        <v>9.9999999999999995E-7</v>
      </c>
      <c r="O866" s="1">
        <f t="shared" si="149"/>
        <v>10.211706300347956</v>
      </c>
      <c r="P866" s="1">
        <f t="shared" si="146"/>
        <v>10.301820481574744</v>
      </c>
      <c r="Q866" s="1">
        <f t="shared" si="150"/>
        <v>12.117328160271171</v>
      </c>
      <c r="R866" s="1">
        <v>125.92909999999995</v>
      </c>
      <c r="S866" s="1" t="e">
        <f t="shared" si="147"/>
        <v>#N/A</v>
      </c>
      <c r="T866" s="1" t="e">
        <v>#N/A</v>
      </c>
    </row>
    <row r="867" spans="1:20" x14ac:dyDescent="0.35">
      <c r="A867" s="1">
        <v>500234.69390000001</v>
      </c>
      <c r="B867" s="1">
        <v>5999996.5070000002</v>
      </c>
      <c r="C867" s="1">
        <v>151.627185016966</v>
      </c>
      <c r="D867" s="1">
        <f t="shared" si="148"/>
        <v>234.96652209232539</v>
      </c>
      <c r="E867" s="1">
        <v>0.01</v>
      </c>
      <c r="F867" s="1">
        <v>0.05</v>
      </c>
      <c r="G867" s="1">
        <v>0.1</v>
      </c>
      <c r="H867" s="1">
        <v>9.81</v>
      </c>
      <c r="I867" s="1">
        <v>2650</v>
      </c>
      <c r="J867" s="1">
        <v>1000</v>
      </c>
      <c r="K867" s="1">
        <v>1.65</v>
      </c>
      <c r="L867" s="1">
        <v>6.5</v>
      </c>
      <c r="M867" s="1">
        <v>2.5</v>
      </c>
      <c r="N867" s="6">
        <v>9.9999999999999995E-7</v>
      </c>
      <c r="O867" s="1">
        <f t="shared" si="149"/>
        <v>10.212172653557417</v>
      </c>
      <c r="P867" s="1">
        <f t="shared" si="146"/>
        <v>11.089044194999135</v>
      </c>
      <c r="Q867" s="1">
        <f t="shared" si="150"/>
        <v>10.695432338286938</v>
      </c>
      <c r="R867" s="1">
        <v>125.92909999999995</v>
      </c>
      <c r="S867" s="1" t="e">
        <f t="shared" si="147"/>
        <v>#N/A</v>
      </c>
      <c r="T867" s="1" t="e">
        <v>#N/A</v>
      </c>
    </row>
    <row r="868" spans="1:20" x14ac:dyDescent="0.35">
      <c r="A868" s="1">
        <v>500244.89799999999</v>
      </c>
      <c r="B868" s="1">
        <v>5999996.9510000004</v>
      </c>
      <c r="C868" s="1">
        <v>155.94529899752101</v>
      </c>
      <c r="D868" s="1">
        <f t="shared" si="148"/>
        <v>245.18027717111886</v>
      </c>
      <c r="E868" s="1">
        <v>0.01</v>
      </c>
      <c r="F868" s="1">
        <v>0.05</v>
      </c>
      <c r="G868" s="1">
        <v>0.1</v>
      </c>
      <c r="H868" s="1">
        <v>9.81</v>
      </c>
      <c r="I868" s="1">
        <v>2650</v>
      </c>
      <c r="J868" s="1">
        <v>1000</v>
      </c>
      <c r="K868" s="1">
        <v>1.65</v>
      </c>
      <c r="L868" s="1">
        <v>6.5</v>
      </c>
      <c r="M868" s="1">
        <v>2.5</v>
      </c>
      <c r="N868" s="6">
        <v>9.9999999999999995E-7</v>
      </c>
      <c r="O868" s="1">
        <f t="shared" si="149"/>
        <v>10.228334363400478</v>
      </c>
      <c r="P868" s="1">
        <f t="shared" si="146"/>
        <v>11.738479864242503</v>
      </c>
      <c r="Q868" s="1">
        <f t="shared" si="150"/>
        <v>11.41376202962082</v>
      </c>
      <c r="R868" s="1">
        <v>125.92909999999995</v>
      </c>
      <c r="S868" s="1" t="e">
        <f t="shared" si="147"/>
        <v>#N/A</v>
      </c>
      <c r="T868" s="1" t="e">
        <v>#N/A</v>
      </c>
    </row>
    <row r="869" spans="1:20" x14ac:dyDescent="0.35">
      <c r="A869" s="1">
        <v>500255.10200000001</v>
      </c>
      <c r="B869" s="1">
        <v>5999997.8430000003</v>
      </c>
      <c r="C869" s="1">
        <v>150.21165883417899</v>
      </c>
      <c r="D869" s="1">
        <f t="shared" si="148"/>
        <v>255.42319081912635</v>
      </c>
      <c r="E869" s="1">
        <v>0.01</v>
      </c>
      <c r="F869" s="1">
        <v>0.05</v>
      </c>
      <c r="G869" s="1">
        <v>0.1</v>
      </c>
      <c r="H869" s="1">
        <v>9.81</v>
      </c>
      <c r="I869" s="1">
        <v>2650</v>
      </c>
      <c r="J869" s="1">
        <v>1000</v>
      </c>
      <c r="K869" s="1">
        <v>1.65</v>
      </c>
      <c r="L869" s="1">
        <v>6.5</v>
      </c>
      <c r="M869" s="1">
        <v>2.5</v>
      </c>
      <c r="N869" s="6">
        <v>9.9999999999999995E-7</v>
      </c>
      <c r="O869" s="1">
        <f t="shared" si="149"/>
        <v>10.228247812702051</v>
      </c>
      <c r="P869" s="1">
        <f t="shared" si="146"/>
        <v>10.415569048554094</v>
      </c>
      <c r="Q869" s="1">
        <f t="shared" si="150"/>
        <v>11.077024456398298</v>
      </c>
      <c r="R869" s="1">
        <v>125.92909999999995</v>
      </c>
      <c r="S869" s="1" t="e">
        <f t="shared" si="147"/>
        <v>#N/A</v>
      </c>
      <c r="T869" s="1" t="e">
        <v>#N/A</v>
      </c>
    </row>
    <row r="870" spans="1:20" x14ac:dyDescent="0.35">
      <c r="A870" s="1">
        <v>500265.30609999999</v>
      </c>
      <c r="B870" s="1">
        <v>5999998.2829999998</v>
      </c>
      <c r="C870" s="1">
        <v>148.17037938339399</v>
      </c>
      <c r="D870" s="1">
        <f t="shared" si="148"/>
        <v>265.63677279652296</v>
      </c>
      <c r="E870" s="1">
        <v>0.01</v>
      </c>
      <c r="F870" s="1">
        <v>0.05</v>
      </c>
      <c r="G870" s="1">
        <v>0.1</v>
      </c>
      <c r="H870" s="1">
        <v>9.81</v>
      </c>
      <c r="I870" s="1">
        <v>2650</v>
      </c>
      <c r="J870" s="1">
        <v>1000</v>
      </c>
      <c r="K870" s="1">
        <v>1.65</v>
      </c>
      <c r="L870" s="1">
        <v>6.5</v>
      </c>
      <c r="M870" s="1">
        <v>2.5</v>
      </c>
      <c r="N870" s="6">
        <v>9.9999999999999995E-7</v>
      </c>
      <c r="O870" s="1">
        <f t="shared" si="149"/>
        <v>10.23198332194535</v>
      </c>
      <c r="P870" s="1">
        <f t="shared" si="146"/>
        <v>10.753746192038282</v>
      </c>
      <c r="Q870" s="1">
        <f t="shared" si="150"/>
        <v>10.584657620296188</v>
      </c>
      <c r="R870" s="1">
        <v>125.92909999999995</v>
      </c>
      <c r="S870" s="1" t="e">
        <f t="shared" si="147"/>
        <v>#N/A</v>
      </c>
      <c r="T870" s="1" t="e">
        <v>#N/A</v>
      </c>
    </row>
    <row r="871" spans="1:20" x14ac:dyDescent="0.35">
      <c r="A871" s="1">
        <v>500275.51020000002</v>
      </c>
      <c r="B871" s="1">
        <v>5999997.3099999996</v>
      </c>
      <c r="C871" s="1">
        <v>144.91881493659599</v>
      </c>
      <c r="D871" s="1">
        <f t="shared" si="148"/>
        <v>275.88715746301705</v>
      </c>
      <c r="E871" s="1">
        <v>0.01</v>
      </c>
      <c r="F871" s="1">
        <v>0.05</v>
      </c>
      <c r="G871" s="1">
        <v>0.1</v>
      </c>
      <c r="H871" s="1">
        <v>9.81</v>
      </c>
      <c r="I871" s="1">
        <v>2650</v>
      </c>
      <c r="J871" s="1">
        <v>1000</v>
      </c>
      <c r="K871" s="1">
        <v>1.65</v>
      </c>
      <c r="L871" s="1">
        <v>6.5</v>
      </c>
      <c r="M871" s="1">
        <v>2.5</v>
      </c>
      <c r="N871" s="6">
        <v>9.9999999999999995E-7</v>
      </c>
      <c r="O871" s="1">
        <f t="shared" si="149"/>
        <v>10.247668609691146</v>
      </c>
      <c r="P871" s="1">
        <f t="shared" si="146"/>
        <v>10.247801935839309</v>
      </c>
      <c r="Q871" s="1">
        <f t="shared" si="150"/>
        <v>10.500774063938795</v>
      </c>
      <c r="R871" s="1">
        <v>125.92909999999995</v>
      </c>
      <c r="S871" s="1" t="e">
        <f t="shared" si="147"/>
        <v>#N/A</v>
      </c>
      <c r="T871" s="1" t="e">
        <v>#N/A</v>
      </c>
    </row>
    <row r="872" spans="1:20" x14ac:dyDescent="0.35">
      <c r="A872" s="1">
        <v>500285.71429999999</v>
      </c>
      <c r="B872" s="1">
        <v>5999998.2240000004</v>
      </c>
      <c r="C872" s="1">
        <v>144.67717117967001</v>
      </c>
      <c r="D872" s="1">
        <f t="shared" si="148"/>
        <v>286.13211001590525</v>
      </c>
      <c r="E872" s="1">
        <v>0.01</v>
      </c>
      <c r="F872" s="1">
        <v>0.05</v>
      </c>
      <c r="G872" s="1">
        <v>0.1</v>
      </c>
      <c r="H872" s="1">
        <v>9.81</v>
      </c>
      <c r="I872" s="1">
        <v>2650</v>
      </c>
      <c r="J872" s="1">
        <v>1000</v>
      </c>
      <c r="K872" s="1">
        <v>1.65</v>
      </c>
      <c r="L872" s="1">
        <v>6.5</v>
      </c>
      <c r="M872" s="1">
        <v>2.5</v>
      </c>
      <c r="N872" s="6">
        <v>9.9999999999999995E-7</v>
      </c>
      <c r="O872" s="1">
        <f t="shared" si="149"/>
        <v>10.245310960713113</v>
      </c>
      <c r="P872" s="1">
        <f t="shared" si="146"/>
        <v>10.773986209295044</v>
      </c>
      <c r="Q872" s="1">
        <f t="shared" si="150"/>
        <v>10.510894072567176</v>
      </c>
      <c r="R872" s="1">
        <v>125.92909999999995</v>
      </c>
      <c r="S872" s="1" t="e">
        <f t="shared" si="147"/>
        <v>#N/A</v>
      </c>
      <c r="T872" s="1" t="e">
        <v>#N/A</v>
      </c>
    </row>
    <row r="873" spans="1:20" x14ac:dyDescent="0.35">
      <c r="A873" s="1">
        <v>500295.91840000002</v>
      </c>
      <c r="B873" s="1">
        <v>5999999.1459999997</v>
      </c>
      <c r="C873" s="1">
        <v>141.344748933213</v>
      </c>
      <c r="D873" s="1">
        <f t="shared" si="148"/>
        <v>296.37777938444327</v>
      </c>
      <c r="E873" s="1">
        <v>0.01</v>
      </c>
      <c r="F873" s="1">
        <v>0.05</v>
      </c>
      <c r="G873" s="1">
        <v>0.1</v>
      </c>
      <c r="H873" s="1">
        <v>9.81</v>
      </c>
      <c r="I873" s="1">
        <v>2650</v>
      </c>
      <c r="J873" s="1">
        <v>1000</v>
      </c>
      <c r="K873" s="1">
        <v>1.65</v>
      </c>
      <c r="L873" s="1">
        <v>6.5</v>
      </c>
      <c r="M873" s="1">
        <v>2.5</v>
      </c>
      <c r="N873" s="6">
        <v>9.9999999999999995E-7</v>
      </c>
      <c r="O873" s="1">
        <f t="shared" si="149"/>
        <v>10.233098302678485</v>
      </c>
      <c r="P873" s="1">
        <f t="shared" si="146"/>
        <v>10.320041754295742</v>
      </c>
      <c r="Q873" s="1">
        <f t="shared" si="150"/>
        <v>10.547013981795393</v>
      </c>
      <c r="R873" s="1">
        <v>125.92909999999995</v>
      </c>
      <c r="S873" s="1" t="e">
        <f t="shared" si="147"/>
        <v>#N/A</v>
      </c>
      <c r="T873" s="1" t="e">
        <v>#N/A</v>
      </c>
    </row>
    <row r="874" spans="1:20" x14ac:dyDescent="0.35">
      <c r="A874" s="1">
        <v>500306.12239999999</v>
      </c>
      <c r="B874" s="1">
        <v>5999998.5650000004</v>
      </c>
      <c r="C874" s="1">
        <v>139.91503399244701</v>
      </c>
      <c r="D874" s="1">
        <f t="shared" si="148"/>
        <v>306.59830662126222</v>
      </c>
      <c r="E874" s="1">
        <v>0.01</v>
      </c>
      <c r="F874" s="1">
        <v>0.05</v>
      </c>
      <c r="G874" s="1">
        <v>0.1</v>
      </c>
      <c r="H874" s="1">
        <v>9.81</v>
      </c>
      <c r="I874" s="1">
        <v>2650</v>
      </c>
      <c r="J874" s="1">
        <v>1000</v>
      </c>
      <c r="K874" s="1">
        <v>1.65</v>
      </c>
      <c r="L874" s="1">
        <v>6.5</v>
      </c>
      <c r="M874" s="1">
        <v>2.5</v>
      </c>
      <c r="N874" s="6">
        <v>9.9999999999999995E-7</v>
      </c>
      <c r="O874" s="1">
        <f t="shared" si="149"/>
        <v>10.221874954638196</v>
      </c>
      <c r="P874" s="1">
        <f t="shared" si="146"/>
        <v>13.893706980070347</v>
      </c>
      <c r="Q874" s="1">
        <f t="shared" si="150"/>
        <v>12.106874367183044</v>
      </c>
      <c r="R874" s="1">
        <v>125.92909999999995</v>
      </c>
      <c r="S874" s="1" t="e">
        <f t="shared" si="147"/>
        <v>#N/A</v>
      </c>
      <c r="T874" s="1" t="e">
        <v>#N/A</v>
      </c>
    </row>
    <row r="875" spans="1:20" x14ac:dyDescent="0.35">
      <c r="A875" s="1">
        <v>500316.32650000002</v>
      </c>
      <c r="B875" s="1">
        <v>5999999.1900000004</v>
      </c>
      <c r="C875" s="1">
        <v>130.506484059678</v>
      </c>
      <c r="D875" s="1">
        <f t="shared" si="148"/>
        <v>316.82152929371966</v>
      </c>
      <c r="E875" s="1">
        <v>0.01</v>
      </c>
      <c r="F875" s="1">
        <v>0.05</v>
      </c>
      <c r="G875" s="1">
        <v>0.1</v>
      </c>
      <c r="H875" s="1">
        <v>9.81</v>
      </c>
      <c r="I875" s="1">
        <v>2650</v>
      </c>
      <c r="J875" s="1">
        <v>1000</v>
      </c>
      <c r="K875" s="1">
        <v>1.65</v>
      </c>
      <c r="L875" s="1">
        <v>6.5</v>
      </c>
      <c r="M875" s="1">
        <v>2.5</v>
      </c>
      <c r="N875" s="6">
        <v>9.9999999999999995E-7</v>
      </c>
      <c r="O875" s="1">
        <f t="shared" si="149"/>
        <v>10.235493697492075</v>
      </c>
      <c r="P875" s="1">
        <f t="shared" si="146"/>
        <v>10.418299398725649</v>
      </c>
      <c r="Q875" s="1">
        <f t="shared" si="150"/>
        <v>12.156003189397998</v>
      </c>
      <c r="R875" s="1">
        <v>125.92909999999995</v>
      </c>
      <c r="S875" s="1" t="e">
        <f t="shared" si="147"/>
        <v>#N/A</v>
      </c>
      <c r="T875" s="1" t="e">
        <v>#N/A</v>
      </c>
    </row>
    <row r="876" spans="1:20" x14ac:dyDescent="0.35">
      <c r="A876" s="1">
        <v>500326.5306</v>
      </c>
      <c r="B876" s="1">
        <v>6000000.1349999998</v>
      </c>
      <c r="C876" s="1">
        <v>128.62917733108401</v>
      </c>
      <c r="D876" s="1">
        <f t="shared" si="148"/>
        <v>327.06929401624637</v>
      </c>
      <c r="E876" s="1">
        <v>0.01</v>
      </c>
      <c r="F876" s="1">
        <v>0.05</v>
      </c>
      <c r="G876" s="1">
        <v>0.1</v>
      </c>
      <c r="H876" s="1">
        <v>9.81</v>
      </c>
      <c r="I876" s="1">
        <v>2650</v>
      </c>
      <c r="J876" s="1">
        <v>1000</v>
      </c>
      <c r="K876" s="1">
        <v>1.65</v>
      </c>
      <c r="L876" s="1">
        <v>6.5</v>
      </c>
      <c r="M876" s="1">
        <v>2.5</v>
      </c>
      <c r="N876" s="6">
        <v>9.9999999999999995E-7</v>
      </c>
      <c r="O876" s="1">
        <f t="shared" si="149"/>
        <v>10.241238558797846</v>
      </c>
      <c r="P876" s="1">
        <f t="shared" ref="P876:P892" si="151">SQRT((D877 - D876)^2 + (C877 - C876)^2)</f>
        <v>10.787841757464356</v>
      </c>
      <c r="Q876" s="1">
        <f t="shared" si="150"/>
        <v>10.603070578095004</v>
      </c>
      <c r="R876" s="1">
        <v>125.92909999999995</v>
      </c>
      <c r="S876" s="1" t="e">
        <f t="shared" ref="S876:S892" si="152">IF(R876 - C876 &lt; 0, NA(), R876 - C876)</f>
        <v>#N/A</v>
      </c>
      <c r="T876" s="1" t="e">
        <v>#N/A</v>
      </c>
    </row>
    <row r="877" spans="1:20" x14ac:dyDescent="0.35">
      <c r="A877" s="1">
        <v>500336.73469999997</v>
      </c>
      <c r="B877" s="1">
        <v>5999999.3439999996</v>
      </c>
      <c r="C877" s="1">
        <v>132.03919081702699</v>
      </c>
      <c r="D877" s="1">
        <f t="shared" ref="D877:D893" si="153">D876 + SQRT((A877 - A876)^2 + (B877 - B876)^2)</f>
        <v>337.30400641131536</v>
      </c>
      <c r="E877" s="1">
        <v>0.01</v>
      </c>
      <c r="F877" s="1">
        <v>0.05</v>
      </c>
      <c r="G877" s="1">
        <v>0.1</v>
      </c>
      <c r="H877" s="1">
        <v>9.81</v>
      </c>
      <c r="I877" s="1">
        <v>2650</v>
      </c>
      <c r="J877" s="1">
        <v>1000</v>
      </c>
      <c r="K877" s="1">
        <v>1.65</v>
      </c>
      <c r="L877" s="1">
        <v>6.5</v>
      </c>
      <c r="M877" s="1">
        <v>2.5</v>
      </c>
      <c r="N877" s="6">
        <v>9.9999999999999995E-7</v>
      </c>
      <c r="O877" s="1">
        <f t="shared" si="149"/>
        <v>10.233949248828765</v>
      </c>
      <c r="P877" s="1">
        <f t="shared" si="151"/>
        <v>11.755266476054745</v>
      </c>
      <c r="Q877" s="1">
        <f t="shared" si="150"/>
        <v>11.27155411675955</v>
      </c>
      <c r="R877" s="1">
        <v>125.92909999999995</v>
      </c>
      <c r="S877" s="1" t="e">
        <f t="shared" si="152"/>
        <v>#N/A</v>
      </c>
      <c r="T877" s="1" t="e">
        <v>#N/A</v>
      </c>
    </row>
    <row r="878" spans="1:20" x14ac:dyDescent="0.35">
      <c r="A878" s="1">
        <v>500346.9388</v>
      </c>
      <c r="B878" s="1">
        <v>5999998.5729999999</v>
      </c>
      <c r="C878" s="1">
        <v>126.254020801129</v>
      </c>
      <c r="D878" s="1">
        <f t="shared" si="153"/>
        <v>347.5371925139039</v>
      </c>
      <c r="E878" s="1">
        <v>0.01</v>
      </c>
      <c r="F878" s="1">
        <v>0.05</v>
      </c>
      <c r="G878" s="1">
        <v>0.1</v>
      </c>
      <c r="H878" s="1">
        <v>9.81</v>
      </c>
      <c r="I878" s="1">
        <v>2650</v>
      </c>
      <c r="J878" s="1">
        <v>1000</v>
      </c>
      <c r="K878" s="1">
        <v>1.65</v>
      </c>
      <c r="L878" s="1">
        <v>6.5</v>
      </c>
      <c r="M878" s="1">
        <v>2.5</v>
      </c>
      <c r="N878" s="6">
        <v>9.9999999999999995E-7</v>
      </c>
      <c r="O878" s="1">
        <f t="shared" si="149"/>
        <v>10.232552707337419</v>
      </c>
      <c r="P878" s="1">
        <f t="shared" si="151"/>
        <v>11.350607222214496</v>
      </c>
      <c r="Q878" s="1">
        <f t="shared" si="150"/>
        <v>11.552936849134621</v>
      </c>
      <c r="R878" s="1">
        <v>125.92909999999995</v>
      </c>
      <c r="S878" s="1" t="e">
        <f t="shared" si="152"/>
        <v>#N/A</v>
      </c>
      <c r="T878" s="1" t="e">
        <v>#N/A</v>
      </c>
    </row>
    <row r="879" spans="1:20" x14ac:dyDescent="0.35">
      <c r="A879" s="1">
        <v>500357.14289999998</v>
      </c>
      <c r="B879" s="1">
        <v>5999999.3269999996</v>
      </c>
      <c r="C879" s="1">
        <v>131.167686591956</v>
      </c>
      <c r="D879" s="1">
        <f t="shared" si="153"/>
        <v>357.76911182599019</v>
      </c>
      <c r="E879" s="1">
        <v>0.01</v>
      </c>
      <c r="F879" s="1">
        <v>0.05</v>
      </c>
      <c r="G879" s="1">
        <v>0.1</v>
      </c>
      <c r="H879" s="1">
        <v>9.81</v>
      </c>
      <c r="I879" s="1">
        <v>2650</v>
      </c>
      <c r="J879" s="1">
        <v>1000</v>
      </c>
      <c r="K879" s="1">
        <v>1.65</v>
      </c>
      <c r="L879" s="1">
        <v>6.5</v>
      </c>
      <c r="M879" s="1">
        <v>2.5</v>
      </c>
      <c r="N879" s="6">
        <v>9.9999999999999995E-7</v>
      </c>
      <c r="O879" s="1">
        <f t="shared" si="149"/>
        <v>10.223838765829584</v>
      </c>
      <c r="P879" s="1">
        <f t="shared" si="151"/>
        <v>10.479732415606993</v>
      </c>
      <c r="Q879" s="1">
        <f t="shared" si="150"/>
        <v>10.915169818910744</v>
      </c>
      <c r="R879" s="1">
        <v>125.92909999999995</v>
      </c>
      <c r="S879" s="1" t="e">
        <f t="shared" si="152"/>
        <v>#N/A</v>
      </c>
      <c r="T879" s="1" t="e">
        <v>#N/A</v>
      </c>
    </row>
    <row r="880" spans="1:20" x14ac:dyDescent="0.35">
      <c r="A880" s="1">
        <v>500367.3469</v>
      </c>
      <c r="B880" s="1">
        <v>5999999.8169999998</v>
      </c>
      <c r="C880" s="1">
        <v>128.83036429882799</v>
      </c>
      <c r="D880" s="1">
        <f t="shared" si="153"/>
        <v>367.98487004556307</v>
      </c>
      <c r="E880" s="1">
        <v>0.01</v>
      </c>
      <c r="F880" s="1">
        <v>0.05</v>
      </c>
      <c r="G880" s="1">
        <v>0.1</v>
      </c>
      <c r="H880" s="1">
        <v>9.81</v>
      </c>
      <c r="I880" s="1">
        <v>2650</v>
      </c>
      <c r="J880" s="1">
        <v>1000</v>
      </c>
      <c r="K880" s="1">
        <v>1.65</v>
      </c>
      <c r="L880" s="1">
        <v>6.5</v>
      </c>
      <c r="M880" s="1">
        <v>2.5</v>
      </c>
      <c r="N880" s="6">
        <v>9.9999999999999995E-7</v>
      </c>
      <c r="O880" s="1">
        <f t="shared" si="149"/>
        <v>10.224509856901079</v>
      </c>
      <c r="P880" s="1">
        <f t="shared" si="151"/>
        <v>10.91645406051112</v>
      </c>
      <c r="Q880" s="1">
        <f t="shared" si="150"/>
        <v>10.698093238059055</v>
      </c>
      <c r="R880" s="1">
        <v>125.92909999999995</v>
      </c>
      <c r="S880" s="1" t="e">
        <f t="shared" si="152"/>
        <v>#N/A</v>
      </c>
      <c r="T880" s="1" t="e">
        <v>#N/A</v>
      </c>
    </row>
    <row r="881" spans="1:57" x14ac:dyDescent="0.35">
      <c r="A881" s="1">
        <v>500377.55099999998</v>
      </c>
      <c r="B881" s="1">
        <v>5999999.0449999999</v>
      </c>
      <c r="C881" s="1">
        <v>125.029137069896</v>
      </c>
      <c r="D881" s="1">
        <f t="shared" si="153"/>
        <v>378.21813153979235</v>
      </c>
      <c r="E881" s="1">
        <v>0.01</v>
      </c>
      <c r="F881" s="1">
        <v>0.05</v>
      </c>
      <c r="G881" s="1">
        <v>0.1</v>
      </c>
      <c r="H881" s="1">
        <v>9.81</v>
      </c>
      <c r="I881" s="1">
        <v>2650</v>
      </c>
      <c r="J881" s="1">
        <v>1000</v>
      </c>
      <c r="K881" s="1">
        <v>1.65</v>
      </c>
      <c r="L881" s="1">
        <v>6.5</v>
      </c>
      <c r="M881" s="1">
        <v>2.5</v>
      </c>
      <c r="N881" s="6">
        <v>9.9999999999999995E-7</v>
      </c>
      <c r="O881" s="1">
        <f t="shared" si="149"/>
        <v>10.221049857319429</v>
      </c>
      <c r="P881" s="1">
        <f t="shared" si="151"/>
        <v>10.237547645163266</v>
      </c>
      <c r="Q881" s="1">
        <f t="shared" si="150"/>
        <v>10.577000852837193</v>
      </c>
      <c r="R881" s="1">
        <v>125.92909999999995</v>
      </c>
      <c r="S881" s="1">
        <f t="shared" si="152"/>
        <v>0.89996293010395334</v>
      </c>
      <c r="T881" s="1">
        <v>0.89996293010395334</v>
      </c>
    </row>
    <row r="882" spans="1:57" x14ac:dyDescent="0.35">
      <c r="A882" s="1">
        <v>500387.75510000001</v>
      </c>
      <c r="B882" s="1">
        <v>5999999.3559999997</v>
      </c>
      <c r="C882" s="1">
        <v>125.795298917349</v>
      </c>
      <c r="D882" s="1">
        <f t="shared" si="153"/>
        <v>388.42696976020193</v>
      </c>
      <c r="E882" s="1">
        <v>0.01</v>
      </c>
      <c r="F882" s="1">
        <v>0.05</v>
      </c>
      <c r="G882" s="1">
        <v>0.1</v>
      </c>
      <c r="H882" s="1">
        <v>9.81</v>
      </c>
      <c r="I882" s="1">
        <v>2650</v>
      </c>
      <c r="J882" s="1">
        <v>1000</v>
      </c>
      <c r="K882" s="1">
        <v>1.65</v>
      </c>
      <c r="L882" s="1">
        <v>6.5</v>
      </c>
      <c r="M882" s="1">
        <v>2.5</v>
      </c>
      <c r="N882" s="6">
        <v>9.9999999999999995E-7</v>
      </c>
      <c r="O882" s="1">
        <f t="shared" si="149"/>
        <v>10.226672955179509</v>
      </c>
      <c r="P882" s="1">
        <f t="shared" si="151"/>
        <v>14.006911426674414</v>
      </c>
      <c r="Q882" s="1">
        <f t="shared" si="150"/>
        <v>12.122229535918841</v>
      </c>
      <c r="R882" s="1">
        <v>125.92909999999995</v>
      </c>
      <c r="S882" s="1">
        <f t="shared" si="152"/>
        <v>0.13380108265094748</v>
      </c>
      <c r="T882" s="1">
        <v>0.13380108265094748</v>
      </c>
    </row>
    <row r="883" spans="1:57" x14ac:dyDescent="0.35">
      <c r="A883" s="1">
        <v>500397.95919999998</v>
      </c>
      <c r="B883" s="1">
        <v>5999998.4469999997</v>
      </c>
      <c r="C883" s="1">
        <v>135.347452072804</v>
      </c>
      <c r="D883" s="1">
        <f t="shared" si="153"/>
        <v>398.67147745015137</v>
      </c>
      <c r="E883" s="1">
        <v>0.01</v>
      </c>
      <c r="F883" s="1">
        <v>0.05</v>
      </c>
      <c r="G883" s="1">
        <v>0.1</v>
      </c>
      <c r="H883" s="1">
        <v>9.81</v>
      </c>
      <c r="I883" s="1">
        <v>2650</v>
      </c>
      <c r="J883" s="1">
        <v>1000</v>
      </c>
      <c r="K883" s="1">
        <v>1.65</v>
      </c>
      <c r="L883" s="1">
        <v>6.5</v>
      </c>
      <c r="M883" s="1">
        <v>2.5</v>
      </c>
      <c r="N883" s="6">
        <v>9.9999999999999995E-7</v>
      </c>
      <c r="O883" s="1">
        <f t="shared" si="149"/>
        <v>10.22650836474881</v>
      </c>
      <c r="P883" s="1">
        <f t="shared" si="151"/>
        <v>12.538849639326756</v>
      </c>
      <c r="Q883" s="1">
        <f t="shared" si="150"/>
        <v>13.272880533000585</v>
      </c>
      <c r="R883" s="1">
        <v>125.92909999999995</v>
      </c>
      <c r="S883" s="1" t="e">
        <f t="shared" si="152"/>
        <v>#N/A</v>
      </c>
      <c r="T883" s="1" t="e">
        <v>#N/A</v>
      </c>
    </row>
    <row r="884" spans="1:57" x14ac:dyDescent="0.35">
      <c r="A884" s="1">
        <v>500408.16330000001</v>
      </c>
      <c r="B884" s="1">
        <v>5999998.1469999999</v>
      </c>
      <c r="C884" s="1">
        <v>128.06671766842501</v>
      </c>
      <c r="D884" s="1">
        <f t="shared" si="153"/>
        <v>408.87998648969955</v>
      </c>
      <c r="E884" s="1">
        <v>0.01</v>
      </c>
      <c r="F884" s="1">
        <v>0.05</v>
      </c>
      <c r="G884" s="1">
        <v>0.1</v>
      </c>
      <c r="H884" s="1">
        <v>9.81</v>
      </c>
      <c r="I884" s="1">
        <v>2650</v>
      </c>
      <c r="J884" s="1">
        <v>1000</v>
      </c>
      <c r="K884" s="1">
        <v>1.65</v>
      </c>
      <c r="L884" s="1">
        <v>6.5</v>
      </c>
      <c r="M884" s="1">
        <v>2.5</v>
      </c>
      <c r="N884" s="6">
        <v>9.9999999999999995E-7</v>
      </c>
      <c r="O884" s="1">
        <f t="shared" si="149"/>
        <v>10.217670819070179</v>
      </c>
      <c r="P884" s="1">
        <f t="shared" si="151"/>
        <v>11.126667604014996</v>
      </c>
      <c r="Q884" s="1">
        <f t="shared" si="150"/>
        <v>11.832758621670877</v>
      </c>
      <c r="R884" s="1">
        <v>125.92909999999995</v>
      </c>
      <c r="S884" s="1" t="e">
        <f t="shared" si="152"/>
        <v>#N/A</v>
      </c>
      <c r="T884" s="1" t="e">
        <v>#N/A</v>
      </c>
    </row>
    <row r="885" spans="1:57" x14ac:dyDescent="0.35">
      <c r="A885" s="1">
        <v>500418.36729999998</v>
      </c>
      <c r="B885" s="1">
        <v>5999997.4639999997</v>
      </c>
      <c r="C885" s="1">
        <v>132.450166877736</v>
      </c>
      <c r="D885" s="1">
        <f t="shared" si="153"/>
        <v>419.10681908829173</v>
      </c>
      <c r="E885" s="1">
        <v>0.01</v>
      </c>
      <c r="F885" s="1">
        <v>0.05</v>
      </c>
      <c r="G885" s="1">
        <v>0.1</v>
      </c>
      <c r="H885" s="1">
        <v>9.81</v>
      </c>
      <c r="I885" s="1">
        <v>2650</v>
      </c>
      <c r="J885" s="1">
        <v>1000</v>
      </c>
      <c r="K885" s="1">
        <v>1.65</v>
      </c>
      <c r="L885" s="1">
        <v>6.5</v>
      </c>
      <c r="M885" s="1">
        <v>2.5</v>
      </c>
      <c r="N885" s="6">
        <v>9.9999999999999995E-7</v>
      </c>
      <c r="O885" s="1">
        <f t="shared" si="149"/>
        <v>10.219153288461655</v>
      </c>
      <c r="P885" s="1">
        <f t="shared" si="151"/>
        <v>12.259823035582844</v>
      </c>
      <c r="Q885" s="1">
        <f t="shared" si="150"/>
        <v>11.693245319798919</v>
      </c>
      <c r="R885" s="1">
        <v>125.92909999999995</v>
      </c>
      <c r="S885" s="1" t="e">
        <f t="shared" si="152"/>
        <v>#N/A</v>
      </c>
      <c r="T885" s="1" t="e">
        <v>#N/A</v>
      </c>
    </row>
    <row r="886" spans="1:57" x14ac:dyDescent="0.35">
      <c r="A886" s="1">
        <v>500428.57140000002</v>
      </c>
      <c r="B886" s="1">
        <v>5999997.0760000004</v>
      </c>
      <c r="C886" s="1">
        <v>139.234638858198</v>
      </c>
      <c r="D886" s="1">
        <f t="shared" si="153"/>
        <v>429.31829306662286</v>
      </c>
      <c r="E886" s="1">
        <v>0.01</v>
      </c>
      <c r="F886" s="1">
        <v>0.05</v>
      </c>
      <c r="G886" s="1">
        <v>0.1</v>
      </c>
      <c r="H886" s="1">
        <v>9.81</v>
      </c>
      <c r="I886" s="1">
        <v>2650</v>
      </c>
      <c r="J886" s="1">
        <v>1000</v>
      </c>
      <c r="K886" s="1">
        <v>1.65</v>
      </c>
      <c r="L886" s="1">
        <v>6.5</v>
      </c>
      <c r="M886" s="1">
        <v>2.5</v>
      </c>
      <c r="N886" s="6">
        <v>9.9999999999999995E-7</v>
      </c>
      <c r="O886" s="1">
        <f t="shared" si="149"/>
        <v>10.213570502749036</v>
      </c>
      <c r="P886" s="1">
        <f t="shared" si="151"/>
        <v>10.221862151517284</v>
      </c>
      <c r="Q886" s="1">
        <f t="shared" si="150"/>
        <v>11.240842593550063</v>
      </c>
      <c r="R886" s="1">
        <v>125.92909999999995</v>
      </c>
      <c r="S886" s="1" t="e">
        <f t="shared" si="152"/>
        <v>#N/A</v>
      </c>
      <c r="T886" s="1" t="e">
        <v>#N/A</v>
      </c>
    </row>
    <row r="887" spans="1:57" x14ac:dyDescent="0.35">
      <c r="A887" s="1">
        <v>500438.77549999999</v>
      </c>
      <c r="B887" s="1">
        <v>5999996.5899999999</v>
      </c>
      <c r="C887" s="1">
        <v>139.590466112179</v>
      </c>
      <c r="D887" s="1">
        <f t="shared" si="153"/>
        <v>439.5339600937898</v>
      </c>
      <c r="E887" s="1">
        <v>0.01</v>
      </c>
      <c r="F887" s="1">
        <v>0.05</v>
      </c>
      <c r="G887" s="1">
        <v>0.1</v>
      </c>
      <c r="H887" s="1">
        <v>9.81</v>
      </c>
      <c r="I887" s="1">
        <v>2650</v>
      </c>
      <c r="J887" s="1">
        <v>1000</v>
      </c>
      <c r="K887" s="1">
        <v>1.65</v>
      </c>
      <c r="L887" s="1">
        <v>6.5</v>
      </c>
      <c r="M887" s="1">
        <v>2.5</v>
      </c>
      <c r="N887" s="6">
        <v>9.9999999999999995E-7</v>
      </c>
      <c r="O887" s="1">
        <f t="shared" si="149"/>
        <v>10.227678867958247</v>
      </c>
      <c r="P887" s="1">
        <f t="shared" si="151"/>
        <v>10.247073843648518</v>
      </c>
      <c r="Q887" s="1">
        <f t="shared" si="150"/>
        <v>10.2344679975829</v>
      </c>
      <c r="R887" s="1">
        <v>125.92909999999995</v>
      </c>
      <c r="S887" s="1" t="e">
        <f t="shared" si="152"/>
        <v>#N/A</v>
      </c>
      <c r="T887" s="1" t="e">
        <v>#N/A</v>
      </c>
    </row>
    <row r="888" spans="1:57" x14ac:dyDescent="0.35">
      <c r="A888" s="1">
        <v>500448.97960000002</v>
      </c>
      <c r="B888" s="1">
        <v>5999995.7369999997</v>
      </c>
      <c r="C888" s="1">
        <v>139.20154896633201</v>
      </c>
      <c r="D888" s="1">
        <f t="shared" si="153"/>
        <v>449.77365080253935</v>
      </c>
      <c r="E888" s="1">
        <v>0.01</v>
      </c>
      <c r="F888" s="1">
        <v>0.05</v>
      </c>
      <c r="G888" s="1">
        <v>0.1</v>
      </c>
      <c r="H888" s="1">
        <v>9.81</v>
      </c>
      <c r="I888" s="1">
        <v>2650</v>
      </c>
      <c r="J888" s="1">
        <v>1000</v>
      </c>
      <c r="K888" s="1">
        <v>1.65</v>
      </c>
      <c r="L888" s="1">
        <v>6.5</v>
      </c>
      <c r="M888" s="1">
        <v>2.5</v>
      </c>
      <c r="N888" s="6">
        <v>9.9999999999999995E-7</v>
      </c>
      <c r="O888" s="1">
        <f t="shared" si="149"/>
        <v>10.226507982984828</v>
      </c>
      <c r="P888" s="1">
        <f t="shared" si="151"/>
        <v>10.216402783069102</v>
      </c>
      <c r="Q888" s="1">
        <f t="shared" si="150"/>
        <v>10.231738313358811</v>
      </c>
      <c r="R888" s="1">
        <v>125.92909999999995</v>
      </c>
      <c r="S888" s="1" t="e">
        <f t="shared" si="152"/>
        <v>#N/A</v>
      </c>
      <c r="T888" s="1" t="e">
        <v>#N/A</v>
      </c>
    </row>
    <row r="889" spans="1:57" x14ac:dyDescent="0.35">
      <c r="A889" s="1">
        <v>500459.18369999999</v>
      </c>
      <c r="B889" s="1">
        <v>5999996.1710000001</v>
      </c>
      <c r="C889" s="1">
        <v>138.95080404388699</v>
      </c>
      <c r="D889" s="1">
        <f t="shared" si="153"/>
        <v>459.98697605975946</v>
      </c>
      <c r="E889" s="1">
        <v>0.01</v>
      </c>
      <c r="F889" s="1">
        <v>0.05</v>
      </c>
      <c r="G889" s="1">
        <v>0.1</v>
      </c>
      <c r="H889" s="1">
        <v>9.81</v>
      </c>
      <c r="I889" s="1">
        <v>2650</v>
      </c>
      <c r="J889" s="1">
        <v>1000</v>
      </c>
      <c r="K889" s="1">
        <v>1.65</v>
      </c>
      <c r="L889" s="1">
        <v>6.5</v>
      </c>
      <c r="M889" s="1">
        <v>2.5</v>
      </c>
      <c r="N889" s="6">
        <v>9.9999999999999995E-7</v>
      </c>
      <c r="O889" s="1">
        <f t="shared" si="149"/>
        <v>10.228563101333435</v>
      </c>
      <c r="P889" s="1">
        <f t="shared" si="151"/>
        <v>10.24381622597874</v>
      </c>
      <c r="Q889" s="1">
        <f t="shared" si="150"/>
        <v>10.23010950452392</v>
      </c>
      <c r="R889" s="1">
        <v>125.92909999999995</v>
      </c>
      <c r="S889" s="1" t="e">
        <f t="shared" si="152"/>
        <v>#N/A</v>
      </c>
      <c r="T889" s="1" t="e">
        <v>#N/A</v>
      </c>
    </row>
    <row r="890" spans="1:57" x14ac:dyDescent="0.35">
      <c r="A890" s="1">
        <v>500469.38780000003</v>
      </c>
      <c r="B890" s="1">
        <v>5999997.0719999997</v>
      </c>
      <c r="C890" s="1">
        <v>138.933110494517</v>
      </c>
      <c r="D890" s="1">
        <f t="shared" si="153"/>
        <v>470.23077700520622</v>
      </c>
      <c r="E890" s="1">
        <v>0.01</v>
      </c>
      <c r="F890" s="1">
        <v>0.05</v>
      </c>
      <c r="G890" s="1">
        <v>0.1</v>
      </c>
      <c r="H890" s="1">
        <v>9.81</v>
      </c>
      <c r="I890" s="1">
        <v>2650</v>
      </c>
      <c r="J890" s="1">
        <v>1000</v>
      </c>
      <c r="K890" s="1">
        <v>1.65</v>
      </c>
      <c r="L890" s="1">
        <v>6.5</v>
      </c>
      <c r="M890" s="1">
        <v>2.5</v>
      </c>
      <c r="N890" s="6">
        <v>9.9999999999999995E-7</v>
      </c>
      <c r="O890" s="1">
        <f t="shared" si="149"/>
        <v>10.235585469869676</v>
      </c>
      <c r="P890" s="1">
        <f t="shared" si="151"/>
        <v>14.038699271405504</v>
      </c>
      <c r="Q890" s="1">
        <f t="shared" si="150"/>
        <v>12.141257748692123</v>
      </c>
      <c r="R890" s="1">
        <v>125.92909999999995</v>
      </c>
      <c r="S890" s="1" t="e">
        <f t="shared" si="152"/>
        <v>#N/A</v>
      </c>
      <c r="T890" s="1" t="e">
        <v>#N/A</v>
      </c>
    </row>
    <row r="891" spans="1:57" x14ac:dyDescent="0.35">
      <c r="A891" s="1">
        <v>500479.59179999999</v>
      </c>
      <c r="B891" s="1">
        <v>5999997.7630000003</v>
      </c>
      <c r="C891" s="1">
        <v>148.55007364474301</v>
      </c>
      <c r="D891" s="1">
        <f t="shared" si="153"/>
        <v>480.45814699949881</v>
      </c>
      <c r="E891" s="1">
        <v>0.01</v>
      </c>
      <c r="F891" s="1">
        <v>0.05</v>
      </c>
      <c r="G891" s="1">
        <v>0.1</v>
      </c>
      <c r="H891" s="1">
        <v>9.81</v>
      </c>
      <c r="I891" s="1">
        <v>2650</v>
      </c>
      <c r="J891" s="1">
        <v>1000</v>
      </c>
      <c r="K891" s="1">
        <v>1.65</v>
      </c>
      <c r="L891" s="1">
        <v>6.5</v>
      </c>
      <c r="M891" s="1">
        <v>2.5</v>
      </c>
      <c r="N891" s="6">
        <v>9.9999999999999995E-7</v>
      </c>
      <c r="O891" s="1">
        <f t="shared" si="149"/>
        <v>10.217030880251457</v>
      </c>
      <c r="P891" s="1">
        <f t="shared" si="151"/>
        <v>10.496604105828091</v>
      </c>
      <c r="Q891" s="1">
        <f t="shared" si="150"/>
        <v>12.267651688616798</v>
      </c>
      <c r="R891" s="1">
        <v>125.92909999999995</v>
      </c>
      <c r="S891" s="1" t="e">
        <f t="shared" si="152"/>
        <v>#N/A</v>
      </c>
      <c r="T891" s="1" t="e">
        <v>#N/A</v>
      </c>
    </row>
    <row r="892" spans="1:57" x14ac:dyDescent="0.35">
      <c r="A892" s="1">
        <v>500489.79590000003</v>
      </c>
      <c r="B892" s="1">
        <v>5999997.9929999998</v>
      </c>
      <c r="C892" s="1">
        <v>146.10014692256101</v>
      </c>
      <c r="D892" s="1">
        <f t="shared" si="153"/>
        <v>490.66483876570913</v>
      </c>
      <c r="E892" s="1">
        <v>0.01</v>
      </c>
      <c r="F892" s="1">
        <v>0.05</v>
      </c>
      <c r="G892" s="1">
        <v>0.1</v>
      </c>
      <c r="H892" s="1">
        <v>9.81</v>
      </c>
      <c r="I892" s="1">
        <v>2650</v>
      </c>
      <c r="J892" s="1">
        <v>1000</v>
      </c>
      <c r="K892" s="1">
        <v>1.65</v>
      </c>
      <c r="L892" s="1">
        <v>6.5</v>
      </c>
      <c r="M892" s="1">
        <v>2.5</v>
      </c>
      <c r="N892" s="6">
        <v>9.9999999999999995E-7</v>
      </c>
      <c r="O892" s="1">
        <f t="shared" si="149"/>
        <v>10.209902888805345</v>
      </c>
      <c r="P892" s="1">
        <f t="shared" si="151"/>
        <v>10.652346301971106</v>
      </c>
      <c r="Q892" s="1">
        <f t="shared" si="150"/>
        <v>10.574475203899599</v>
      </c>
      <c r="R892" s="1">
        <v>125.92909999999995</v>
      </c>
      <c r="S892" s="1" t="e">
        <f t="shared" si="152"/>
        <v>#N/A</v>
      </c>
      <c r="T892" s="1" t="e">
        <v>#N/A</v>
      </c>
    </row>
    <row r="893" spans="1:57" x14ac:dyDescent="0.35">
      <c r="A893" s="1">
        <v>500500</v>
      </c>
      <c r="B893" s="1">
        <v>5999998.4220000003</v>
      </c>
      <c r="C893" s="1">
        <v>149.127486336511</v>
      </c>
      <c r="D893" s="1">
        <f t="shared" si="153"/>
        <v>500.8779527771095</v>
      </c>
      <c r="E893" s="1">
        <v>0.01</v>
      </c>
      <c r="F893" s="1">
        <v>0.05</v>
      </c>
      <c r="G893" s="1">
        <v>0.1</v>
      </c>
      <c r="H893" s="1">
        <v>9.81</v>
      </c>
      <c r="I893" s="1">
        <v>2650</v>
      </c>
      <c r="J893" s="1">
        <v>1000</v>
      </c>
      <c r="K893" s="1">
        <v>1.65</v>
      </c>
      <c r="L893" s="1">
        <v>6.5</v>
      </c>
      <c r="M893" s="1">
        <v>2.5</v>
      </c>
      <c r="N893" s="6">
        <v>9.9999999999999995E-7</v>
      </c>
      <c r="O893" s="1">
        <f xml:space="preserve"> (D893 - D892) / 2</f>
        <v>5.1065570057001821</v>
      </c>
    </row>
    <row r="896" spans="1:57" x14ac:dyDescent="0.35">
      <c r="A896" s="1" t="s">
        <v>0</v>
      </c>
      <c r="B896" s="1" t="s">
        <v>1</v>
      </c>
      <c r="C896" s="1" t="s">
        <v>2</v>
      </c>
      <c r="D896" s="1" t="s">
        <v>18</v>
      </c>
      <c r="E896" s="1" t="s">
        <v>67</v>
      </c>
      <c r="F896" s="1" t="s">
        <v>66</v>
      </c>
      <c r="G896" s="1" t="s">
        <v>65</v>
      </c>
      <c r="H896" s="1" t="s">
        <v>64</v>
      </c>
      <c r="I896" s="1" t="s">
        <v>63</v>
      </c>
      <c r="J896" s="1" t="s">
        <v>62</v>
      </c>
      <c r="K896" s="1" t="s">
        <v>61</v>
      </c>
      <c r="L896" s="1" t="s">
        <v>60</v>
      </c>
      <c r="M896" s="1" t="s">
        <v>59</v>
      </c>
      <c r="N896" s="1" t="s">
        <v>58</v>
      </c>
      <c r="O896" s="1" t="s">
        <v>57</v>
      </c>
      <c r="P896" s="1" t="s">
        <v>56</v>
      </c>
      <c r="Q896" s="1" t="s">
        <v>55</v>
      </c>
      <c r="R896" s="1" t="s">
        <v>54</v>
      </c>
      <c r="S896" s="1" t="s">
        <v>16</v>
      </c>
      <c r="T896" s="1" t="s">
        <v>53</v>
      </c>
      <c r="U896" s="10" t="s">
        <v>52</v>
      </c>
      <c r="V896" s="10" t="s">
        <v>51</v>
      </c>
      <c r="W896" s="10" t="s">
        <v>50</v>
      </c>
      <c r="X896" s="10" t="s">
        <v>49</v>
      </c>
      <c r="Y896" s="1" t="s">
        <v>48</v>
      </c>
      <c r="Z896" s="1" t="s">
        <v>47</v>
      </c>
      <c r="AA896" s="1" t="s">
        <v>46</v>
      </c>
      <c r="AB896" s="1" t="s">
        <v>45</v>
      </c>
      <c r="AC896" s="1" t="s">
        <v>44</v>
      </c>
      <c r="AD896" s="1" t="s">
        <v>43</v>
      </c>
      <c r="AE896" s="1" t="s">
        <v>42</v>
      </c>
      <c r="AF896" s="1" t="s">
        <v>41</v>
      </c>
      <c r="AG896" s="1" t="s">
        <v>40</v>
      </c>
      <c r="AH896" s="1" t="s">
        <v>39</v>
      </c>
      <c r="AI896" s="1" t="s">
        <v>38</v>
      </c>
      <c r="AJ896" s="1" t="s">
        <v>37</v>
      </c>
      <c r="AK896" s="1" t="s">
        <v>36</v>
      </c>
      <c r="AL896" s="1" t="s">
        <v>35</v>
      </c>
      <c r="AM896" s="1" t="s">
        <v>34</v>
      </c>
      <c r="AN896" s="1" t="s">
        <v>34</v>
      </c>
      <c r="AO896" s="7" t="s">
        <v>33</v>
      </c>
      <c r="AP896" s="7" t="s">
        <v>32</v>
      </c>
      <c r="AQ896" s="7" t="s">
        <v>31</v>
      </c>
      <c r="AR896" s="7" t="s">
        <v>30</v>
      </c>
      <c r="AS896" s="7" t="s">
        <v>29</v>
      </c>
      <c r="AT896" s="7" t="s">
        <v>28</v>
      </c>
      <c r="AU896" s="7" t="s">
        <v>27</v>
      </c>
      <c r="AV896" s="7" t="s">
        <v>27</v>
      </c>
      <c r="AW896" s="1" t="s">
        <v>26</v>
      </c>
      <c r="AX896" s="1" t="s">
        <v>25</v>
      </c>
      <c r="AY896" s="1" t="s">
        <v>24</v>
      </c>
      <c r="AZ896" s="1" t="s">
        <v>23</v>
      </c>
      <c r="BA896" s="1" t="s">
        <v>22</v>
      </c>
      <c r="BB896" s="1" t="s">
        <v>21</v>
      </c>
      <c r="BC896" s="1" t="s">
        <v>20</v>
      </c>
      <c r="BD896" s="1" t="s">
        <v>20</v>
      </c>
      <c r="BE896" s="1" t="s">
        <v>19</v>
      </c>
    </row>
    <row r="897" spans="1:57" x14ac:dyDescent="0.35">
      <c r="A897" s="1">
        <v>500000</v>
      </c>
      <c r="B897" s="1">
        <v>5999999.0959999999</v>
      </c>
      <c r="C897" s="1">
        <v>146.95665459614199</v>
      </c>
      <c r="D897" s="1">
        <v>0</v>
      </c>
      <c r="E897" s="1">
        <v>0.01</v>
      </c>
      <c r="F897" s="1">
        <v>0.05</v>
      </c>
      <c r="G897" s="1">
        <v>0.1</v>
      </c>
      <c r="H897" s="1">
        <v>9.81</v>
      </c>
      <c r="I897" s="1">
        <v>2650</v>
      </c>
      <c r="J897" s="1">
        <v>1000</v>
      </c>
      <c r="K897" s="1">
        <v>1.65</v>
      </c>
      <c r="L897" s="1">
        <v>6.5</v>
      </c>
      <c r="M897" s="1">
        <v>2.5</v>
      </c>
      <c r="N897" s="6">
        <v>9.9999999999999995E-7</v>
      </c>
      <c r="O897" s="1">
        <f xml:space="preserve"> (D898 - D897) / 2</f>
        <v>5.1061868798967165</v>
      </c>
      <c r="P897" s="1">
        <f t="shared" ref="P897:P928" si="154">SQRT((D898 - D897)^2 + (C898 - C897)^2)</f>
        <v>12.612081347143071</v>
      </c>
      <c r="Q897" s="1">
        <f t="shared" ref="Q897:Q928" si="155">IF(ROW()=897, P897/2, (P897 + P896)/2)</f>
        <v>6.3060406735715357</v>
      </c>
      <c r="R897" s="1">
        <v>125.97909999999995</v>
      </c>
      <c r="S897" s="1" t="e">
        <f t="shared" ref="S897:S928" si="156">IF(R897 - C897 &lt; 0, NA(), R897 - C897)</f>
        <v>#N/A</v>
      </c>
      <c r="T897" s="1" t="e">
        <v>#N/A</v>
      </c>
      <c r="U897" s="10" cm="1">
        <f t="array" ref="U897">SUMPRODUCT(IF(ISNA(T897:T946), 0, T897:T946), IF(ISNA(O897:O946), 0, O897:O946))</f>
        <v>11.589292032276859</v>
      </c>
      <c r="V897" s="10">
        <f>SUMIF(S897:S946, "&gt;0", O897:O946)</f>
        <v>20.447722812498938</v>
      </c>
      <c r="W897" s="10">
        <f>SUMIF(S897:S946, "&gt;0", Q897:Q946)</f>
        <v>22.699230388756035</v>
      </c>
      <c r="X897" s="10">
        <f>U897/W897</f>
        <v>0.51055880899017458</v>
      </c>
      <c r="Y897" s="1">
        <f xml:space="preserve"> (6.5 * 2.5 * (X897 / G897)) / SQRT(6.5^2 + 2.5^2 * (X897 / G897)^(5/3))</f>
        <v>7.0917629847182475</v>
      </c>
      <c r="Z897" s="1">
        <f>Y897*SQRT(X897*H897*E897)</f>
        <v>1.5871267194070111</v>
      </c>
      <c r="AA897" s="1">
        <f>J897*H897*X897*E897</f>
        <v>50.085819161936122</v>
      </c>
      <c r="AB897" s="1">
        <f>(AA897 / (9.81 * 1000 *1.65 * F897))</f>
        <v>6.1885916241233276E-2</v>
      </c>
      <c r="AC897" s="9">
        <f xml:space="preserve"> F897 * (K897 * H897 / (N897)^2)^(1/3)</f>
        <v>1264.7974700106745</v>
      </c>
      <c r="AD897" s="1">
        <f xml:space="preserve"> 0.3 / (1 + 1.2 * AC897) + 0.055 * (1 - EXP(-0.02 * AC897))</f>
        <v>5.5197529957883754E-2</v>
      </c>
      <c r="AE897" s="1">
        <f>IF(AC897 &lt;= 4, 0.24 * AC897^-1, IF(AC897 &gt; 4, IF(AC897 &lt;= 10, 0.14 * AC897^-0.64, IF(AC897 &lt;= 20, 0.04 * AC897^-0.1, IF(AC897 &lt;= 150, 0.013 * AC897^0.29, 0.056)))))</f>
        <v>5.6000000000000001E-2</v>
      </c>
      <c r="AF897" s="1">
        <f>AB897/AD897-1</f>
        <v>0.12117184026989669</v>
      </c>
      <c r="AG897" s="1">
        <f xml:space="preserve"> 2.45 * SQRT(AD897) / (K897 + 1)^0.4</f>
        <v>0.38978718496890047</v>
      </c>
      <c r="AH897" s="1">
        <f>SQRT(2/3 + 36 / AC897^3) - SQRT(36 / AC897^3)</f>
        <v>0.81636320289979147</v>
      </c>
      <c r="AI897" s="1">
        <f>AA897* Z897 / (J897 * (H897* K897 * F897)^(3/2))</f>
        <v>0.10917971349691999</v>
      </c>
      <c r="AJ897" s="1">
        <f>AD897* K897 * F897 / E897</f>
        <v>0.45537962215254096</v>
      </c>
      <c r="AK897" s="1">
        <f>Y897 * AD897^(3/2)</f>
        <v>9.1967351198259911E-2</v>
      </c>
      <c r="AL897" s="1">
        <f>(0.92 - 0.25 * SQRT(AK897 / AI897))^9</f>
        <v>3.5707768751797375E-2</v>
      </c>
      <c r="AM897" s="1">
        <v>5.2759527000000001E-2</v>
      </c>
      <c r="AN897" s="1">
        <v>4.7434165E-2</v>
      </c>
      <c r="AO897" s="7">
        <f>IF(AB897 &gt; 0.047, 8 * (AB897 - 0.047)^(3/2), 0)</f>
        <v>1.4529589467458193E-2</v>
      </c>
      <c r="AP897" s="7">
        <f>IF(AB897&gt; 0.047, 4 * (AB897 - 0.047)^(3/2), 0)</f>
        <v>7.2647947337290963E-3</v>
      </c>
      <c r="AQ897" s="7">
        <f xml:space="preserve"> (0.053 / AC897^(0.3)) * ((AB897 / AE897) - 1)^2.1</f>
        <v>5.4838337422261694E-5</v>
      </c>
      <c r="AR897" s="7">
        <f xml:space="preserve"> IF(AB897 &gt; AD897, 0.635 * AF897 * SQRT(AB897) * (1 - (1 / (AG897*AF897)) * LOG(1 + AF897*AG897)), 0)</f>
        <v>1.101868199968559E-2</v>
      </c>
      <c r="AS897" s="8">
        <f>IF(AB897&gt;= 0.19, 40 * AH897 * AB897^3, (AH897 * EXP(-0.391 / AB897)) / 0.465)</f>
        <v>3.1660981835241308E-3</v>
      </c>
      <c r="AT897" s="7">
        <f>AL897* AI897</f>
        <v>3.8985639619355098E-3</v>
      </c>
      <c r="AU897" s="7">
        <f>14 * AB897^2.5 / (1 + (AM897/AB897)^4)</f>
        <v>8.7279914421113346E-3</v>
      </c>
      <c r="AV897" s="7">
        <f>14*AB897^2.5/(1+(AN897/AB897)^4)</f>
        <v>9.9160677227047647E-3</v>
      </c>
      <c r="AW897" s="1">
        <f>AO897*SQRT(1.65*9.81*F897^3)</f>
        <v>6.5355903945323425E-4</v>
      </c>
      <c r="AX897" s="1">
        <f>AP897*SQRT(1.65*9.81*F897^3)</f>
        <v>3.2677951972661713E-4</v>
      </c>
      <c r="AY897" s="1">
        <f>AQ897*SQRT(1.65*9.81*F897^3)</f>
        <v>2.4666967508735517E-6</v>
      </c>
      <c r="AZ897" s="1">
        <f>AR897*SQRT(1.65*9.81*F897^3)</f>
        <v>4.9563404663868749E-4</v>
      </c>
      <c r="BA897" s="1">
        <f>AS897*SQRT(1.65*9.81*F897^3)</f>
        <v>1.4241504154491793E-4</v>
      </c>
      <c r="BB897" s="1">
        <f>AT897*SQRT(1.65*9.81*F897^3)</f>
        <v>1.7536226497769756E-4</v>
      </c>
      <c r="BC897" s="1">
        <f>AU897*SQRT(1.65*9.81*G897^3)</f>
        <v>1.1104289801570067E-3</v>
      </c>
      <c r="BD897" s="1">
        <f>AV897*SQRT(1.65*9.81*G897^3)</f>
        <v>1.2615833827888398E-3</v>
      </c>
      <c r="BE897" s="1">
        <f>U897*Z897</f>
        <v>18.393675043437383</v>
      </c>
    </row>
    <row r="898" spans="1:57" x14ac:dyDescent="0.35">
      <c r="A898" s="1">
        <v>500010.20409999997</v>
      </c>
      <c r="B898" s="1">
        <v>5999998.6849999996</v>
      </c>
      <c r="C898" s="1">
        <v>154.35746658519</v>
      </c>
      <c r="D898" s="1">
        <f t="shared" ref="D898:D929" si="157">D897 + SQRT((A898 - A897)^2 + (B898 - B897)^2)</f>
        <v>10.212373759793433</v>
      </c>
      <c r="E898" s="1">
        <v>0.01</v>
      </c>
      <c r="F898" s="1">
        <v>0.05</v>
      </c>
      <c r="G898" s="1">
        <v>0.1</v>
      </c>
      <c r="H898" s="1">
        <v>9.81</v>
      </c>
      <c r="I898" s="1">
        <v>2650</v>
      </c>
      <c r="J898" s="1">
        <v>1000</v>
      </c>
      <c r="K898" s="1">
        <v>1.65</v>
      </c>
      <c r="L898" s="1">
        <v>6.5</v>
      </c>
      <c r="M898" s="1">
        <v>2.5</v>
      </c>
      <c r="N898" s="6">
        <v>9.9999999999999995E-7</v>
      </c>
      <c r="O898" s="1">
        <f t="shared" ref="O898:O945" si="158" xml:space="preserve"> (D899 - D898 + D898 - D897) / 2</f>
        <v>10.212934886473896</v>
      </c>
      <c r="P898" s="1">
        <f t="shared" si="154"/>
        <v>10.748393624242958</v>
      </c>
      <c r="Q898" s="1">
        <f t="shared" si="155"/>
        <v>11.680237485693015</v>
      </c>
      <c r="R898" s="1">
        <v>125.97909999999995</v>
      </c>
      <c r="S898" s="1" t="e">
        <f t="shared" si="156"/>
        <v>#N/A</v>
      </c>
      <c r="T898" s="1" t="e">
        <v>#N/A</v>
      </c>
      <c r="AO898" s="7"/>
      <c r="AP898" s="7"/>
      <c r="AQ898" s="7"/>
      <c r="AR898" s="7"/>
      <c r="AS898" s="7"/>
      <c r="AT898" s="7"/>
      <c r="AU898" s="7"/>
      <c r="AV898" s="7"/>
    </row>
    <row r="899" spans="1:57" x14ac:dyDescent="0.35">
      <c r="A899" s="1">
        <v>500020.40820000001</v>
      </c>
      <c r="B899" s="1">
        <v>5999999.1229999997</v>
      </c>
      <c r="C899" s="1">
        <v>151.008964727501</v>
      </c>
      <c r="D899" s="1">
        <f t="shared" si="157"/>
        <v>20.425869772947792</v>
      </c>
      <c r="E899" s="1">
        <v>0.01</v>
      </c>
      <c r="F899" s="1">
        <v>0.05</v>
      </c>
      <c r="G899" s="1">
        <v>0.1</v>
      </c>
      <c r="H899" s="1">
        <v>9.81</v>
      </c>
      <c r="I899" s="1">
        <v>2650</v>
      </c>
      <c r="J899" s="1">
        <v>1000</v>
      </c>
      <c r="K899" s="1">
        <v>1.65</v>
      </c>
      <c r="L899" s="1">
        <v>6.5</v>
      </c>
      <c r="M899" s="1">
        <v>2.5</v>
      </c>
      <c r="N899" s="6">
        <v>9.9999999999999995E-7</v>
      </c>
      <c r="O899" s="1">
        <f t="shared" si="158"/>
        <v>10.21125621009096</v>
      </c>
      <c r="P899" s="1">
        <f t="shared" si="154"/>
        <v>13.985433799960637</v>
      </c>
      <c r="Q899" s="1">
        <f t="shared" si="155"/>
        <v>12.366913712101798</v>
      </c>
      <c r="R899" s="1">
        <v>125.97909999999995</v>
      </c>
      <c r="S899" s="1" t="e">
        <f t="shared" si="156"/>
        <v>#N/A</v>
      </c>
      <c r="T899" s="1" t="e">
        <v>#N/A</v>
      </c>
    </row>
    <row r="900" spans="1:57" x14ac:dyDescent="0.35">
      <c r="A900" s="1">
        <v>500030.61219999997</v>
      </c>
      <c r="B900" s="1">
        <v>5999998.8030000003</v>
      </c>
      <c r="C900" s="1">
        <v>160.567643641144</v>
      </c>
      <c r="D900" s="1">
        <f t="shared" si="157"/>
        <v>30.634886179975354</v>
      </c>
      <c r="E900" s="1">
        <v>0.01</v>
      </c>
      <c r="F900" s="1">
        <v>0.05</v>
      </c>
      <c r="G900" s="1">
        <v>0.1</v>
      </c>
      <c r="H900" s="1">
        <v>9.81</v>
      </c>
      <c r="I900" s="1">
        <v>2650</v>
      </c>
      <c r="J900" s="1">
        <v>1000</v>
      </c>
      <c r="K900" s="1">
        <v>1.65</v>
      </c>
      <c r="L900" s="1">
        <v>6.5</v>
      </c>
      <c r="M900" s="1">
        <v>2.5</v>
      </c>
      <c r="N900" s="6">
        <v>9.9999999999999995E-7</v>
      </c>
      <c r="O900" s="1">
        <f t="shared" si="158"/>
        <v>10.214935822867286</v>
      </c>
      <c r="P900" s="1">
        <f t="shared" si="154"/>
        <v>10.224042445454263</v>
      </c>
      <c r="Q900" s="1">
        <f t="shared" si="155"/>
        <v>12.104738122707449</v>
      </c>
      <c r="R900" s="1">
        <v>125.97909999999995</v>
      </c>
      <c r="S900" s="1" t="e">
        <f t="shared" si="156"/>
        <v>#N/A</v>
      </c>
      <c r="T900" s="1" t="e">
        <v>#N/A</v>
      </c>
    </row>
    <row r="901" spans="1:57" x14ac:dyDescent="0.35">
      <c r="A901" s="1">
        <v>500040.81630000001</v>
      </c>
      <c r="B901" s="1">
        <v>5999998.2180000003</v>
      </c>
      <c r="C901" s="1">
        <v>160.82291235416201</v>
      </c>
      <c r="D901" s="1">
        <f t="shared" si="157"/>
        <v>40.855741418682364</v>
      </c>
      <c r="E901" s="1">
        <v>0.01</v>
      </c>
      <c r="F901" s="1">
        <v>0.05</v>
      </c>
      <c r="G901" s="1">
        <v>0.1</v>
      </c>
      <c r="H901" s="1">
        <v>9.81</v>
      </c>
      <c r="I901" s="1">
        <v>2650</v>
      </c>
      <c r="J901" s="1">
        <v>1000</v>
      </c>
      <c r="K901" s="1">
        <v>1.65</v>
      </c>
      <c r="L901" s="1">
        <v>6.5</v>
      </c>
      <c r="M901" s="1">
        <v>2.5</v>
      </c>
      <c r="N901" s="6">
        <v>9.9999999999999995E-7</v>
      </c>
      <c r="O901" s="1">
        <f t="shared" si="158"/>
        <v>10.231243785008825</v>
      </c>
      <c r="P901" s="1">
        <f t="shared" si="154"/>
        <v>10.333484931908488</v>
      </c>
      <c r="Q901" s="1">
        <f t="shared" si="155"/>
        <v>10.278763688681376</v>
      </c>
      <c r="R901" s="1">
        <v>125.97909999999995</v>
      </c>
      <c r="S901" s="1" t="e">
        <f t="shared" si="156"/>
        <v>#N/A</v>
      </c>
      <c r="T901" s="1" t="e">
        <v>#N/A</v>
      </c>
    </row>
    <row r="902" spans="1:57" x14ac:dyDescent="0.35">
      <c r="A902" s="1">
        <v>500051.02039999998</v>
      </c>
      <c r="B902" s="1">
        <v>5999997.3420000002</v>
      </c>
      <c r="C902" s="1">
        <v>159.448184007094</v>
      </c>
      <c r="D902" s="1">
        <f t="shared" si="157"/>
        <v>51.097373749993004</v>
      </c>
      <c r="E902" s="1">
        <v>0.01</v>
      </c>
      <c r="F902" s="1">
        <v>0.05</v>
      </c>
      <c r="G902" s="1">
        <v>0.1</v>
      </c>
      <c r="H902" s="1">
        <v>9.81</v>
      </c>
      <c r="I902" s="1">
        <v>2650</v>
      </c>
      <c r="J902" s="1">
        <v>1000</v>
      </c>
      <c r="K902" s="1">
        <v>1.65</v>
      </c>
      <c r="L902" s="1">
        <v>6.5</v>
      </c>
      <c r="M902" s="1">
        <v>2.5</v>
      </c>
      <c r="N902" s="6">
        <v>9.9999999999999995E-7</v>
      </c>
      <c r="O902" s="1">
        <f t="shared" si="158"/>
        <v>10.22297614478725</v>
      </c>
      <c r="P902" s="1">
        <f t="shared" si="154"/>
        <v>11.164078602095582</v>
      </c>
      <c r="Q902" s="1">
        <f t="shared" si="155"/>
        <v>10.748781767002036</v>
      </c>
      <c r="R902" s="1">
        <v>125.97909999999995</v>
      </c>
      <c r="S902" s="1" t="e">
        <f t="shared" si="156"/>
        <v>#N/A</v>
      </c>
      <c r="T902" s="1" t="e">
        <v>#N/A</v>
      </c>
    </row>
    <row r="903" spans="1:57" x14ac:dyDescent="0.35">
      <c r="A903" s="1">
        <v>500061.22450000001</v>
      </c>
      <c r="B903" s="1">
        <v>5999997.2750000004</v>
      </c>
      <c r="C903" s="1">
        <v>163.976815723534</v>
      </c>
      <c r="D903" s="1">
        <f t="shared" si="157"/>
        <v>61.301693708256863</v>
      </c>
      <c r="E903" s="1">
        <v>0.01</v>
      </c>
      <c r="F903" s="1">
        <v>0.05</v>
      </c>
      <c r="G903" s="1">
        <v>0.1</v>
      </c>
      <c r="H903" s="1">
        <v>9.81</v>
      </c>
      <c r="I903" s="1">
        <v>2650</v>
      </c>
      <c r="J903" s="1">
        <v>1000</v>
      </c>
      <c r="K903" s="1">
        <v>1.65</v>
      </c>
      <c r="L903" s="1">
        <v>6.5</v>
      </c>
      <c r="M903" s="1">
        <v>2.5</v>
      </c>
      <c r="N903" s="6">
        <v>9.9999999999999995E-7</v>
      </c>
      <c r="O903" s="1">
        <f t="shared" si="158"/>
        <v>10.209391538632293</v>
      </c>
      <c r="P903" s="1">
        <f t="shared" si="154"/>
        <v>11.034750060361873</v>
      </c>
      <c r="Q903" s="1">
        <f t="shared" si="155"/>
        <v>11.099414331228727</v>
      </c>
      <c r="R903" s="1">
        <v>125.97909999999995</v>
      </c>
      <c r="S903" s="1" t="e">
        <f t="shared" si="156"/>
        <v>#N/A</v>
      </c>
      <c r="T903" s="1" t="e">
        <v>#N/A</v>
      </c>
    </row>
    <row r="904" spans="1:57" x14ac:dyDescent="0.35">
      <c r="A904" s="1">
        <v>500071.42859999998</v>
      </c>
      <c r="B904" s="1">
        <v>5999996.8150000004</v>
      </c>
      <c r="C904" s="1">
        <v>168.15179501512699</v>
      </c>
      <c r="D904" s="1">
        <f t="shared" si="157"/>
        <v>71.516156827257589</v>
      </c>
      <c r="E904" s="1">
        <v>0.01</v>
      </c>
      <c r="F904" s="1">
        <v>0.05</v>
      </c>
      <c r="G904" s="1">
        <v>0.1</v>
      </c>
      <c r="H904" s="1">
        <v>9.81</v>
      </c>
      <c r="I904" s="1">
        <v>2650</v>
      </c>
      <c r="J904" s="1">
        <v>1000</v>
      </c>
      <c r="K904" s="1">
        <v>1.65</v>
      </c>
      <c r="L904" s="1">
        <v>6.5</v>
      </c>
      <c r="M904" s="1">
        <v>2.5</v>
      </c>
      <c r="N904" s="6">
        <v>9.9999999999999995E-7</v>
      </c>
      <c r="O904" s="1">
        <f t="shared" si="158"/>
        <v>10.229976351370027</v>
      </c>
      <c r="P904" s="1">
        <f t="shared" si="154"/>
        <v>11.687505241745082</v>
      </c>
      <c r="Q904" s="1">
        <f t="shared" si="155"/>
        <v>11.361127651053478</v>
      </c>
      <c r="R904" s="1">
        <v>125.97909999999995</v>
      </c>
      <c r="S904" s="1" t="e">
        <f t="shared" si="156"/>
        <v>#N/A</v>
      </c>
      <c r="T904" s="1" t="e">
        <v>#N/A</v>
      </c>
    </row>
    <row r="905" spans="1:57" x14ac:dyDescent="0.35">
      <c r="A905" s="1">
        <v>500081.63270000002</v>
      </c>
      <c r="B905" s="1">
        <v>5999997.7350000003</v>
      </c>
      <c r="C905" s="1">
        <v>162.52794206849799</v>
      </c>
      <c r="D905" s="1">
        <f t="shared" si="157"/>
        <v>81.761646410996917</v>
      </c>
      <c r="E905" s="1">
        <v>0.01</v>
      </c>
      <c r="F905" s="1">
        <v>0.05</v>
      </c>
      <c r="G905" s="1">
        <v>0.1</v>
      </c>
      <c r="H905" s="1">
        <v>9.81</v>
      </c>
      <c r="I905" s="1">
        <v>2650</v>
      </c>
      <c r="J905" s="1">
        <v>1000</v>
      </c>
      <c r="K905" s="1">
        <v>1.65</v>
      </c>
      <c r="L905" s="1">
        <v>6.5</v>
      </c>
      <c r="M905" s="1">
        <v>2.5</v>
      </c>
      <c r="N905" s="6">
        <v>9.9999999999999995E-7</v>
      </c>
      <c r="O905" s="1">
        <f t="shared" si="158"/>
        <v>10.224765396477437</v>
      </c>
      <c r="P905" s="1">
        <f t="shared" si="154"/>
        <v>11.652977208096294</v>
      </c>
      <c r="Q905" s="1">
        <f t="shared" si="155"/>
        <v>11.670241224920687</v>
      </c>
      <c r="R905" s="1">
        <v>125.97909999999995</v>
      </c>
      <c r="S905" s="1" t="e">
        <f t="shared" si="156"/>
        <v>#N/A</v>
      </c>
      <c r="T905" s="1" t="e">
        <v>#N/A</v>
      </c>
    </row>
    <row r="906" spans="1:57" x14ac:dyDescent="0.35">
      <c r="A906" s="1">
        <v>500091.83669999999</v>
      </c>
      <c r="B906" s="1">
        <v>5999997.7640000004</v>
      </c>
      <c r="C906" s="1">
        <v>168.15550111421601</v>
      </c>
      <c r="D906" s="1">
        <f t="shared" si="157"/>
        <v>91.965687620212464</v>
      </c>
      <c r="E906" s="1">
        <v>0.01</v>
      </c>
      <c r="F906" s="1">
        <v>0.05</v>
      </c>
      <c r="G906" s="1">
        <v>0.1</v>
      </c>
      <c r="H906" s="1">
        <v>9.81</v>
      </c>
      <c r="I906" s="1">
        <v>2650</v>
      </c>
      <c r="J906" s="1">
        <v>1000</v>
      </c>
      <c r="K906" s="1">
        <v>1.65</v>
      </c>
      <c r="L906" s="1">
        <v>6.5</v>
      </c>
      <c r="M906" s="1">
        <v>2.5</v>
      </c>
      <c r="N906" s="6">
        <v>9.9999999999999995E-7</v>
      </c>
      <c r="O906" s="1">
        <f t="shared" si="158"/>
        <v>10.204607223431253</v>
      </c>
      <c r="P906" s="1">
        <f t="shared" si="154"/>
        <v>10.499401533865951</v>
      </c>
      <c r="Q906" s="1">
        <f t="shared" si="155"/>
        <v>11.076189370981123</v>
      </c>
      <c r="R906" s="1">
        <v>125.97909999999995</v>
      </c>
      <c r="S906" s="1" t="e">
        <f t="shared" si="156"/>
        <v>#N/A</v>
      </c>
      <c r="T906" s="1" t="e">
        <v>#N/A</v>
      </c>
    </row>
    <row r="907" spans="1:57" x14ac:dyDescent="0.35">
      <c r="A907" s="1">
        <v>500102.04080000002</v>
      </c>
      <c r="B907" s="1">
        <v>5999997.9119999995</v>
      </c>
      <c r="C907" s="1">
        <v>170.62367285843499</v>
      </c>
      <c r="D907" s="1">
        <f t="shared" si="157"/>
        <v>102.17086085785942</v>
      </c>
      <c r="E907" s="1">
        <v>0.01</v>
      </c>
      <c r="F907" s="1">
        <v>0.05</v>
      </c>
      <c r="G907" s="1">
        <v>0.1</v>
      </c>
      <c r="H907" s="1">
        <v>9.81</v>
      </c>
      <c r="I907" s="1">
        <v>2650</v>
      </c>
      <c r="J907" s="1">
        <v>1000</v>
      </c>
      <c r="K907" s="1">
        <v>1.65</v>
      </c>
      <c r="L907" s="1">
        <v>6.5</v>
      </c>
      <c r="M907" s="1">
        <v>2.5</v>
      </c>
      <c r="N907" s="6">
        <v>9.9999999999999995E-7</v>
      </c>
      <c r="O907" s="1">
        <f t="shared" si="158"/>
        <v>10.21006882166494</v>
      </c>
      <c r="P907" s="1">
        <f t="shared" si="154"/>
        <v>10.948230205101877</v>
      </c>
      <c r="Q907" s="1">
        <f t="shared" si="155"/>
        <v>10.723815869483914</v>
      </c>
      <c r="R907" s="1">
        <v>125.97909999999995</v>
      </c>
      <c r="S907" s="1" t="e">
        <f t="shared" si="156"/>
        <v>#N/A</v>
      </c>
      <c r="T907" s="1" t="e">
        <v>#N/A</v>
      </c>
    </row>
    <row r="908" spans="1:57" x14ac:dyDescent="0.35">
      <c r="A908" s="1">
        <v>500112.24489999999</v>
      </c>
      <c r="B908" s="1">
        <v>5999997.4409999996</v>
      </c>
      <c r="C908" s="1">
        <v>174.56299346160199</v>
      </c>
      <c r="D908" s="1">
        <f t="shared" si="157"/>
        <v>112.38582526354234</v>
      </c>
      <c r="E908" s="1">
        <v>0.01</v>
      </c>
      <c r="F908" s="1">
        <v>0.05</v>
      </c>
      <c r="G908" s="1">
        <v>0.1</v>
      </c>
      <c r="H908" s="1">
        <v>9.81</v>
      </c>
      <c r="I908" s="1">
        <v>2650</v>
      </c>
      <c r="J908" s="1">
        <v>1000</v>
      </c>
      <c r="K908" s="1">
        <v>1.65</v>
      </c>
      <c r="L908" s="1">
        <v>6.5</v>
      </c>
      <c r="M908" s="1">
        <v>2.5</v>
      </c>
      <c r="N908" s="6">
        <v>9.9999999999999995E-7</v>
      </c>
      <c r="O908" s="1">
        <f t="shared" si="158"/>
        <v>10.211692861963954</v>
      </c>
      <c r="P908" s="1">
        <f t="shared" si="154"/>
        <v>13.530011313683339</v>
      </c>
      <c r="Q908" s="1">
        <f t="shared" si="155"/>
        <v>12.239120759392609</v>
      </c>
      <c r="R908" s="1">
        <v>125.97909999999995</v>
      </c>
      <c r="S908" s="1" t="e">
        <f t="shared" si="156"/>
        <v>#N/A</v>
      </c>
      <c r="T908" s="1" t="e">
        <v>#N/A</v>
      </c>
    </row>
    <row r="909" spans="1:57" x14ac:dyDescent="0.35">
      <c r="A909" s="1">
        <v>500122.44900000002</v>
      </c>
      <c r="B909" s="1">
        <v>5999997.7379999999</v>
      </c>
      <c r="C909" s="1">
        <v>165.68327835707299</v>
      </c>
      <c r="D909" s="1">
        <f t="shared" si="157"/>
        <v>122.59424658178733</v>
      </c>
      <c r="E909" s="1">
        <v>0.01</v>
      </c>
      <c r="F909" s="1">
        <v>0.05</v>
      </c>
      <c r="G909" s="1">
        <v>0.1</v>
      </c>
      <c r="H909" s="1">
        <v>9.81</v>
      </c>
      <c r="I909" s="1">
        <v>2650</v>
      </c>
      <c r="J909" s="1">
        <v>1000</v>
      </c>
      <c r="K909" s="1">
        <v>1.65</v>
      </c>
      <c r="L909" s="1">
        <v>6.5</v>
      </c>
      <c r="M909" s="1">
        <v>2.5</v>
      </c>
      <c r="N909" s="6">
        <v>9.9999999999999995E-7</v>
      </c>
      <c r="O909" s="1">
        <f t="shared" si="158"/>
        <v>10.212455607463802</v>
      </c>
      <c r="P909" s="1">
        <f t="shared" si="154"/>
        <v>12.917030195420445</v>
      </c>
      <c r="Q909" s="1">
        <f t="shared" si="155"/>
        <v>13.223520754551892</v>
      </c>
      <c r="R909" s="1">
        <v>125.97909999999995</v>
      </c>
      <c r="S909" s="1" t="e">
        <f t="shared" si="156"/>
        <v>#N/A</v>
      </c>
      <c r="T909" s="1" t="e">
        <v>#N/A</v>
      </c>
    </row>
    <row r="910" spans="1:57" x14ac:dyDescent="0.35">
      <c r="A910" s="1">
        <v>500132.6531</v>
      </c>
      <c r="B910" s="1">
        <v>5999997.2350000003</v>
      </c>
      <c r="C910" s="1">
        <v>173.58726489934301</v>
      </c>
      <c r="D910" s="1">
        <f t="shared" si="157"/>
        <v>132.81073647846995</v>
      </c>
      <c r="E910" s="1">
        <v>0.01</v>
      </c>
      <c r="F910" s="1">
        <v>0.05</v>
      </c>
      <c r="G910" s="1">
        <v>0.1</v>
      </c>
      <c r="H910" s="1">
        <v>9.81</v>
      </c>
      <c r="I910" s="1">
        <v>2650</v>
      </c>
      <c r="J910" s="1">
        <v>1000</v>
      </c>
      <c r="K910" s="1">
        <v>1.65</v>
      </c>
      <c r="L910" s="1">
        <v>6.5</v>
      </c>
      <c r="M910" s="1">
        <v>2.5</v>
      </c>
      <c r="N910" s="6">
        <v>9.9999999999999995E-7</v>
      </c>
      <c r="O910" s="1">
        <f t="shared" si="158"/>
        <v>10.225512676353247</v>
      </c>
      <c r="P910" s="1">
        <f t="shared" si="154"/>
        <v>13.492945518552009</v>
      </c>
      <c r="Q910" s="1">
        <f t="shared" si="155"/>
        <v>13.204987856986227</v>
      </c>
      <c r="R910" s="1">
        <v>125.97909999999995</v>
      </c>
      <c r="S910" s="1" t="e">
        <f t="shared" si="156"/>
        <v>#N/A</v>
      </c>
      <c r="T910" s="1" t="e">
        <v>#N/A</v>
      </c>
    </row>
    <row r="911" spans="1:57" x14ac:dyDescent="0.35">
      <c r="A911" s="1">
        <v>500142.85710000002</v>
      </c>
      <c r="B911" s="1">
        <v>5999996.4450000003</v>
      </c>
      <c r="C911" s="1">
        <v>164.79443470844299</v>
      </c>
      <c r="D911" s="1">
        <f t="shared" si="157"/>
        <v>143.04527193449383</v>
      </c>
      <c r="E911" s="1">
        <v>0.01</v>
      </c>
      <c r="F911" s="1">
        <v>0.05</v>
      </c>
      <c r="G911" s="1">
        <v>0.1</v>
      </c>
      <c r="H911" s="1">
        <v>9.81</v>
      </c>
      <c r="I911" s="1">
        <v>2650</v>
      </c>
      <c r="J911" s="1">
        <v>1000</v>
      </c>
      <c r="K911" s="1">
        <v>1.65</v>
      </c>
      <c r="L911" s="1">
        <v>6.5</v>
      </c>
      <c r="M911" s="1">
        <v>2.5</v>
      </c>
      <c r="N911" s="6">
        <v>9.9999999999999995E-7</v>
      </c>
      <c r="O911" s="1">
        <f t="shared" si="158"/>
        <v>10.219577641411078</v>
      </c>
      <c r="P911" s="1">
        <f t="shared" si="154"/>
        <v>10.57052865269438</v>
      </c>
      <c r="Q911" s="1">
        <f t="shared" si="155"/>
        <v>12.031737085623195</v>
      </c>
      <c r="R911" s="1">
        <v>125.97909999999995</v>
      </c>
      <c r="S911" s="1" t="e">
        <f t="shared" si="156"/>
        <v>#N/A</v>
      </c>
      <c r="T911" s="1" t="e">
        <v>#N/A</v>
      </c>
    </row>
    <row r="912" spans="1:57" x14ac:dyDescent="0.35">
      <c r="A912" s="1">
        <v>500153.0612</v>
      </c>
      <c r="B912" s="1">
        <v>5999996.5480000004</v>
      </c>
      <c r="C912" s="1">
        <v>167.55157275140499</v>
      </c>
      <c r="D912" s="1">
        <f t="shared" si="157"/>
        <v>153.2498917612921</v>
      </c>
      <c r="E912" s="1">
        <v>0.01</v>
      </c>
      <c r="F912" s="1">
        <v>0.05</v>
      </c>
      <c r="G912" s="1">
        <v>0.1</v>
      </c>
      <c r="H912" s="1">
        <v>9.81</v>
      </c>
      <c r="I912" s="1">
        <v>2650</v>
      </c>
      <c r="J912" s="1">
        <v>1000</v>
      </c>
      <c r="K912" s="1">
        <v>1.65</v>
      </c>
      <c r="L912" s="1">
        <v>6.5</v>
      </c>
      <c r="M912" s="1">
        <v>2.5</v>
      </c>
      <c r="N912" s="6">
        <v>9.9999999999999995E-7</v>
      </c>
      <c r="O912" s="1">
        <f t="shared" si="158"/>
        <v>10.204940921281036</v>
      </c>
      <c r="P912" s="1">
        <f t="shared" si="154"/>
        <v>10.682627590463349</v>
      </c>
      <c r="Q912" s="1">
        <f t="shared" si="155"/>
        <v>10.626578121578865</v>
      </c>
      <c r="R912" s="1">
        <v>125.97909999999995</v>
      </c>
      <c r="S912" s="1" t="e">
        <f t="shared" si="156"/>
        <v>#N/A</v>
      </c>
      <c r="T912" s="1" t="e">
        <v>#N/A</v>
      </c>
    </row>
    <row r="913" spans="1:20" x14ac:dyDescent="0.35">
      <c r="A913" s="1">
        <v>500163.26530000003</v>
      </c>
      <c r="B913" s="1">
        <v>5999996.7019999996</v>
      </c>
      <c r="C913" s="1">
        <v>164.39385847900201</v>
      </c>
      <c r="D913" s="1">
        <f t="shared" si="157"/>
        <v>163.4551537770559</v>
      </c>
      <c r="E913" s="1">
        <v>0.01</v>
      </c>
      <c r="F913" s="1">
        <v>0.05</v>
      </c>
      <c r="G913" s="1">
        <v>0.1</v>
      </c>
      <c r="H913" s="1">
        <v>9.81</v>
      </c>
      <c r="I913" s="1">
        <v>2650</v>
      </c>
      <c r="J913" s="1">
        <v>1000</v>
      </c>
      <c r="K913" s="1">
        <v>1.65</v>
      </c>
      <c r="L913" s="1">
        <v>6.5</v>
      </c>
      <c r="M913" s="1">
        <v>2.5</v>
      </c>
      <c r="N913" s="6">
        <v>9.9999999999999995E-7</v>
      </c>
      <c r="O913" s="1">
        <f t="shared" si="158"/>
        <v>10.213849082106762</v>
      </c>
      <c r="P913" s="1">
        <f t="shared" si="154"/>
        <v>11.026540308620518</v>
      </c>
      <c r="Q913" s="1">
        <f t="shared" si="155"/>
        <v>10.854583949541933</v>
      </c>
      <c r="R913" s="1">
        <v>125.97909999999995</v>
      </c>
      <c r="S913" s="1" t="e">
        <f t="shared" si="156"/>
        <v>#N/A</v>
      </c>
      <c r="T913" s="1" t="e">
        <v>#N/A</v>
      </c>
    </row>
    <row r="914" spans="1:20" x14ac:dyDescent="0.35">
      <c r="A914" s="1">
        <v>500173.4694</v>
      </c>
      <c r="B914" s="1">
        <v>5999996.0899999999</v>
      </c>
      <c r="C914" s="1">
        <v>168.52742719967199</v>
      </c>
      <c r="D914" s="1">
        <f t="shared" si="157"/>
        <v>173.67758992550563</v>
      </c>
      <c r="E914" s="1">
        <v>0.01</v>
      </c>
      <c r="F914" s="1">
        <v>0.05</v>
      </c>
      <c r="G914" s="1">
        <v>0.1</v>
      </c>
      <c r="H914" s="1">
        <v>9.81</v>
      </c>
      <c r="I914" s="1">
        <v>2650</v>
      </c>
      <c r="J914" s="1">
        <v>1000</v>
      </c>
      <c r="K914" s="1">
        <v>1.65</v>
      </c>
      <c r="L914" s="1">
        <v>6.5</v>
      </c>
      <c r="M914" s="1">
        <v>2.5</v>
      </c>
      <c r="N914" s="6">
        <v>9.9999999999999995E-7</v>
      </c>
      <c r="O914" s="1">
        <f t="shared" si="158"/>
        <v>10.214988293625822</v>
      </c>
      <c r="P914" s="1">
        <f t="shared" si="154"/>
        <v>10.632479456336906</v>
      </c>
      <c r="Q914" s="1">
        <f t="shared" si="155"/>
        <v>10.829509882478712</v>
      </c>
      <c r="R914" s="1">
        <v>125.97909999999995</v>
      </c>
      <c r="S914" s="1" t="e">
        <f t="shared" si="156"/>
        <v>#N/A</v>
      </c>
      <c r="T914" s="1" t="e">
        <v>#N/A</v>
      </c>
    </row>
    <row r="915" spans="1:20" x14ac:dyDescent="0.35">
      <c r="A915" s="1">
        <v>500183.67349999998</v>
      </c>
      <c r="B915" s="1">
        <v>5999996.3550000004</v>
      </c>
      <c r="C915" s="1">
        <v>165.55156806663999</v>
      </c>
      <c r="D915" s="1">
        <f t="shared" si="157"/>
        <v>183.88513036430754</v>
      </c>
      <c r="E915" s="1">
        <v>0.01</v>
      </c>
      <c r="F915" s="1">
        <v>0.05</v>
      </c>
      <c r="G915" s="1">
        <v>0.1</v>
      </c>
      <c r="H915" s="1">
        <v>9.81</v>
      </c>
      <c r="I915" s="1">
        <v>2650</v>
      </c>
      <c r="J915" s="1">
        <v>1000</v>
      </c>
      <c r="K915" s="1">
        <v>1.65</v>
      </c>
      <c r="L915" s="1">
        <v>6.5</v>
      </c>
      <c r="M915" s="1">
        <v>2.5</v>
      </c>
      <c r="N915" s="6">
        <v>9.9999999999999995E-7</v>
      </c>
      <c r="O915" s="1">
        <f t="shared" si="158"/>
        <v>10.210285318026777</v>
      </c>
      <c r="P915" s="1">
        <f t="shared" si="154"/>
        <v>10.217153370786205</v>
      </c>
      <c r="Q915" s="1">
        <f t="shared" si="155"/>
        <v>10.424816413561555</v>
      </c>
      <c r="R915" s="1">
        <v>125.97909999999995</v>
      </c>
      <c r="S915" s="1" t="e">
        <f t="shared" si="156"/>
        <v>#N/A</v>
      </c>
      <c r="T915" s="1" t="e">
        <v>#N/A</v>
      </c>
    </row>
    <row r="916" spans="1:20" x14ac:dyDescent="0.35">
      <c r="A916" s="1">
        <v>500193.87760000001</v>
      </c>
      <c r="B916" s="1">
        <v>5999996.7819999997</v>
      </c>
      <c r="C916" s="1">
        <v>165.84180450851801</v>
      </c>
      <c r="D916" s="1">
        <f t="shared" si="157"/>
        <v>194.09816056155918</v>
      </c>
      <c r="E916" s="1">
        <v>0.01</v>
      </c>
      <c r="F916" s="1">
        <v>0.05</v>
      </c>
      <c r="G916" s="1">
        <v>0.1</v>
      </c>
      <c r="H916" s="1">
        <v>9.81</v>
      </c>
      <c r="I916" s="1">
        <v>2650</v>
      </c>
      <c r="J916" s="1">
        <v>1000</v>
      </c>
      <c r="K916" s="1">
        <v>1.65</v>
      </c>
      <c r="L916" s="1">
        <v>6.5</v>
      </c>
      <c r="M916" s="1">
        <v>2.5</v>
      </c>
      <c r="N916" s="6">
        <v>9.9999999999999995E-7</v>
      </c>
      <c r="O916" s="1">
        <f t="shared" si="158"/>
        <v>10.225732250662787</v>
      </c>
      <c r="P916" s="1">
        <f t="shared" si="154"/>
        <v>11.805317568883225</v>
      </c>
      <c r="Q916" s="1">
        <f t="shared" si="155"/>
        <v>11.011235469834716</v>
      </c>
      <c r="R916" s="1">
        <v>125.97909999999995</v>
      </c>
      <c r="S916" s="1" t="e">
        <f t="shared" si="156"/>
        <v>#N/A</v>
      </c>
      <c r="T916" s="1" t="e">
        <v>#N/A</v>
      </c>
    </row>
    <row r="917" spans="1:20" x14ac:dyDescent="0.35">
      <c r="A917" s="1">
        <v>500204.08159999998</v>
      </c>
      <c r="B917" s="1">
        <v>5999995.943</v>
      </c>
      <c r="C917" s="1">
        <v>159.96473160584401</v>
      </c>
      <c r="D917" s="1">
        <f t="shared" si="157"/>
        <v>204.33659486563312</v>
      </c>
      <c r="E917" s="1">
        <v>0.01</v>
      </c>
      <c r="F917" s="1">
        <v>0.05</v>
      </c>
      <c r="G917" s="1">
        <v>0.1</v>
      </c>
      <c r="H917" s="1">
        <v>9.81</v>
      </c>
      <c r="I917" s="1">
        <v>2650</v>
      </c>
      <c r="J917" s="1">
        <v>1000</v>
      </c>
      <c r="K917" s="1">
        <v>1.65</v>
      </c>
      <c r="L917" s="1">
        <v>6.5</v>
      </c>
      <c r="M917" s="1">
        <v>2.5</v>
      </c>
      <c r="N917" s="6">
        <v>9.9999999999999995E-7</v>
      </c>
      <c r="O917" s="1">
        <f t="shared" si="158"/>
        <v>10.222474465035148</v>
      </c>
      <c r="P917" s="1">
        <f t="shared" si="154"/>
        <v>10.510110351296964</v>
      </c>
      <c r="Q917" s="1">
        <f t="shared" si="155"/>
        <v>11.157713960090096</v>
      </c>
      <c r="R917" s="1">
        <v>125.97909999999995</v>
      </c>
      <c r="S917" s="1" t="e">
        <f t="shared" si="156"/>
        <v>#N/A</v>
      </c>
      <c r="T917" s="1" t="e">
        <v>#N/A</v>
      </c>
    </row>
    <row r="918" spans="1:20" x14ac:dyDescent="0.35">
      <c r="A918" s="1">
        <v>500214.28570000001</v>
      </c>
      <c r="B918" s="1">
        <v>5999995.7209999999</v>
      </c>
      <c r="C918" s="1">
        <v>162.47261493362501</v>
      </c>
      <c r="D918" s="1">
        <f t="shared" si="157"/>
        <v>214.54310949162948</v>
      </c>
      <c r="E918" s="1">
        <v>0.01</v>
      </c>
      <c r="F918" s="1">
        <v>0.05</v>
      </c>
      <c r="G918" s="1">
        <v>0.1</v>
      </c>
      <c r="H918" s="1">
        <v>9.81</v>
      </c>
      <c r="I918" s="1">
        <v>2650</v>
      </c>
      <c r="J918" s="1">
        <v>1000</v>
      </c>
      <c r="K918" s="1">
        <v>1.65</v>
      </c>
      <c r="L918" s="1">
        <v>6.5</v>
      </c>
      <c r="M918" s="1">
        <v>2.5</v>
      </c>
      <c r="N918" s="6">
        <v>9.9999999999999995E-7</v>
      </c>
      <c r="O918" s="1">
        <f t="shared" si="158"/>
        <v>10.209668499185454</v>
      </c>
      <c r="P918" s="1">
        <f t="shared" si="154"/>
        <v>13.932835838967597</v>
      </c>
      <c r="Q918" s="1">
        <f t="shared" si="155"/>
        <v>12.22147309513228</v>
      </c>
      <c r="R918" s="1">
        <v>125.97909999999995</v>
      </c>
      <c r="S918" s="1" t="e">
        <f t="shared" si="156"/>
        <v>#N/A</v>
      </c>
      <c r="T918" s="1" t="e">
        <v>#N/A</v>
      </c>
    </row>
    <row r="919" spans="1:20" x14ac:dyDescent="0.35">
      <c r="A919" s="1">
        <v>500224.48979999998</v>
      </c>
      <c r="B919" s="1">
        <v>5999996.1430000002</v>
      </c>
      <c r="C919" s="1">
        <v>152.99515885586101</v>
      </c>
      <c r="D919" s="1">
        <f t="shared" si="157"/>
        <v>224.75593186400403</v>
      </c>
      <c r="E919" s="1">
        <v>0.01</v>
      </c>
      <c r="F919" s="1">
        <v>0.05</v>
      </c>
      <c r="G919" s="1">
        <v>0.1</v>
      </c>
      <c r="H919" s="1">
        <v>9.81</v>
      </c>
      <c r="I919" s="1">
        <v>2650</v>
      </c>
      <c r="J919" s="1">
        <v>1000</v>
      </c>
      <c r="K919" s="1">
        <v>1.65</v>
      </c>
      <c r="L919" s="1">
        <v>6.5</v>
      </c>
      <c r="M919" s="1">
        <v>2.5</v>
      </c>
      <c r="N919" s="6">
        <v>9.9999999999999995E-7</v>
      </c>
      <c r="O919" s="1">
        <f t="shared" si="158"/>
        <v>10.211706300347956</v>
      </c>
      <c r="P919" s="1">
        <f t="shared" si="154"/>
        <v>10.301820481574744</v>
      </c>
      <c r="Q919" s="1">
        <f t="shared" si="155"/>
        <v>12.117328160271171</v>
      </c>
      <c r="R919" s="1">
        <v>125.97909999999995</v>
      </c>
      <c r="S919" s="1" t="e">
        <f t="shared" si="156"/>
        <v>#N/A</v>
      </c>
      <c r="T919" s="1" t="e">
        <v>#N/A</v>
      </c>
    </row>
    <row r="920" spans="1:20" x14ac:dyDescent="0.35">
      <c r="A920" s="1">
        <v>500234.69390000001</v>
      </c>
      <c r="B920" s="1">
        <v>5999996.5070000002</v>
      </c>
      <c r="C920" s="1">
        <v>151.627185016966</v>
      </c>
      <c r="D920" s="1">
        <f t="shared" si="157"/>
        <v>234.96652209232539</v>
      </c>
      <c r="E920" s="1">
        <v>0.01</v>
      </c>
      <c r="F920" s="1">
        <v>0.05</v>
      </c>
      <c r="G920" s="1">
        <v>0.1</v>
      </c>
      <c r="H920" s="1">
        <v>9.81</v>
      </c>
      <c r="I920" s="1">
        <v>2650</v>
      </c>
      <c r="J920" s="1">
        <v>1000</v>
      </c>
      <c r="K920" s="1">
        <v>1.65</v>
      </c>
      <c r="L920" s="1">
        <v>6.5</v>
      </c>
      <c r="M920" s="1">
        <v>2.5</v>
      </c>
      <c r="N920" s="6">
        <v>9.9999999999999995E-7</v>
      </c>
      <c r="O920" s="1">
        <f t="shared" si="158"/>
        <v>10.212172653557417</v>
      </c>
      <c r="P920" s="1">
        <f t="shared" si="154"/>
        <v>11.089044194999135</v>
      </c>
      <c r="Q920" s="1">
        <f t="shared" si="155"/>
        <v>10.695432338286938</v>
      </c>
      <c r="R920" s="1">
        <v>125.97909999999995</v>
      </c>
      <c r="S920" s="1" t="e">
        <f t="shared" si="156"/>
        <v>#N/A</v>
      </c>
      <c r="T920" s="1" t="e">
        <v>#N/A</v>
      </c>
    </row>
    <row r="921" spans="1:20" x14ac:dyDescent="0.35">
      <c r="A921" s="1">
        <v>500244.89799999999</v>
      </c>
      <c r="B921" s="1">
        <v>5999996.9510000004</v>
      </c>
      <c r="C921" s="1">
        <v>155.94529899752101</v>
      </c>
      <c r="D921" s="1">
        <f t="shared" si="157"/>
        <v>245.18027717111886</v>
      </c>
      <c r="E921" s="1">
        <v>0.01</v>
      </c>
      <c r="F921" s="1">
        <v>0.05</v>
      </c>
      <c r="G921" s="1">
        <v>0.1</v>
      </c>
      <c r="H921" s="1">
        <v>9.81</v>
      </c>
      <c r="I921" s="1">
        <v>2650</v>
      </c>
      <c r="J921" s="1">
        <v>1000</v>
      </c>
      <c r="K921" s="1">
        <v>1.65</v>
      </c>
      <c r="L921" s="1">
        <v>6.5</v>
      </c>
      <c r="M921" s="1">
        <v>2.5</v>
      </c>
      <c r="N921" s="6">
        <v>9.9999999999999995E-7</v>
      </c>
      <c r="O921" s="1">
        <f t="shared" si="158"/>
        <v>10.228334363400478</v>
      </c>
      <c r="P921" s="1">
        <f t="shared" si="154"/>
        <v>11.738479864242503</v>
      </c>
      <c r="Q921" s="1">
        <f t="shared" si="155"/>
        <v>11.41376202962082</v>
      </c>
      <c r="R921" s="1">
        <v>125.97909999999995</v>
      </c>
      <c r="S921" s="1" t="e">
        <f t="shared" si="156"/>
        <v>#N/A</v>
      </c>
      <c r="T921" s="1" t="e">
        <v>#N/A</v>
      </c>
    </row>
    <row r="922" spans="1:20" x14ac:dyDescent="0.35">
      <c r="A922" s="1">
        <v>500255.10200000001</v>
      </c>
      <c r="B922" s="1">
        <v>5999997.8430000003</v>
      </c>
      <c r="C922" s="1">
        <v>150.21165883417899</v>
      </c>
      <c r="D922" s="1">
        <f t="shared" si="157"/>
        <v>255.42319081912635</v>
      </c>
      <c r="E922" s="1">
        <v>0.01</v>
      </c>
      <c r="F922" s="1">
        <v>0.05</v>
      </c>
      <c r="G922" s="1">
        <v>0.1</v>
      </c>
      <c r="H922" s="1">
        <v>9.81</v>
      </c>
      <c r="I922" s="1">
        <v>2650</v>
      </c>
      <c r="J922" s="1">
        <v>1000</v>
      </c>
      <c r="K922" s="1">
        <v>1.65</v>
      </c>
      <c r="L922" s="1">
        <v>6.5</v>
      </c>
      <c r="M922" s="1">
        <v>2.5</v>
      </c>
      <c r="N922" s="6">
        <v>9.9999999999999995E-7</v>
      </c>
      <c r="O922" s="1">
        <f t="shared" si="158"/>
        <v>10.228247812702051</v>
      </c>
      <c r="P922" s="1">
        <f t="shared" si="154"/>
        <v>10.415569048554094</v>
      </c>
      <c r="Q922" s="1">
        <f t="shared" si="155"/>
        <v>11.077024456398298</v>
      </c>
      <c r="R922" s="1">
        <v>125.97909999999995</v>
      </c>
      <c r="S922" s="1" t="e">
        <f t="shared" si="156"/>
        <v>#N/A</v>
      </c>
      <c r="T922" s="1" t="e">
        <v>#N/A</v>
      </c>
    </row>
    <row r="923" spans="1:20" x14ac:dyDescent="0.35">
      <c r="A923" s="1">
        <v>500265.30609999999</v>
      </c>
      <c r="B923" s="1">
        <v>5999998.2829999998</v>
      </c>
      <c r="C923" s="1">
        <v>148.17037938339399</v>
      </c>
      <c r="D923" s="1">
        <f t="shared" si="157"/>
        <v>265.63677279652296</v>
      </c>
      <c r="E923" s="1">
        <v>0.01</v>
      </c>
      <c r="F923" s="1">
        <v>0.05</v>
      </c>
      <c r="G923" s="1">
        <v>0.1</v>
      </c>
      <c r="H923" s="1">
        <v>9.81</v>
      </c>
      <c r="I923" s="1">
        <v>2650</v>
      </c>
      <c r="J923" s="1">
        <v>1000</v>
      </c>
      <c r="K923" s="1">
        <v>1.65</v>
      </c>
      <c r="L923" s="1">
        <v>6.5</v>
      </c>
      <c r="M923" s="1">
        <v>2.5</v>
      </c>
      <c r="N923" s="6">
        <v>9.9999999999999995E-7</v>
      </c>
      <c r="O923" s="1">
        <f t="shared" si="158"/>
        <v>10.23198332194535</v>
      </c>
      <c r="P923" s="1">
        <f t="shared" si="154"/>
        <v>10.753746192038282</v>
      </c>
      <c r="Q923" s="1">
        <f t="shared" si="155"/>
        <v>10.584657620296188</v>
      </c>
      <c r="R923" s="1">
        <v>125.97909999999995</v>
      </c>
      <c r="S923" s="1" t="e">
        <f t="shared" si="156"/>
        <v>#N/A</v>
      </c>
      <c r="T923" s="1" t="e">
        <v>#N/A</v>
      </c>
    </row>
    <row r="924" spans="1:20" x14ac:dyDescent="0.35">
      <c r="A924" s="1">
        <v>500275.51020000002</v>
      </c>
      <c r="B924" s="1">
        <v>5999997.3099999996</v>
      </c>
      <c r="C924" s="1">
        <v>144.91881493659599</v>
      </c>
      <c r="D924" s="1">
        <f t="shared" si="157"/>
        <v>275.88715746301705</v>
      </c>
      <c r="E924" s="1">
        <v>0.01</v>
      </c>
      <c r="F924" s="1">
        <v>0.05</v>
      </c>
      <c r="G924" s="1">
        <v>0.1</v>
      </c>
      <c r="H924" s="1">
        <v>9.81</v>
      </c>
      <c r="I924" s="1">
        <v>2650</v>
      </c>
      <c r="J924" s="1">
        <v>1000</v>
      </c>
      <c r="K924" s="1">
        <v>1.65</v>
      </c>
      <c r="L924" s="1">
        <v>6.5</v>
      </c>
      <c r="M924" s="1">
        <v>2.5</v>
      </c>
      <c r="N924" s="6">
        <v>9.9999999999999995E-7</v>
      </c>
      <c r="O924" s="1">
        <f t="shared" si="158"/>
        <v>10.247668609691146</v>
      </c>
      <c r="P924" s="1">
        <f t="shared" si="154"/>
        <v>10.247801935839309</v>
      </c>
      <c r="Q924" s="1">
        <f t="shared" si="155"/>
        <v>10.500774063938795</v>
      </c>
      <c r="R924" s="1">
        <v>125.97909999999995</v>
      </c>
      <c r="S924" s="1" t="e">
        <f t="shared" si="156"/>
        <v>#N/A</v>
      </c>
      <c r="T924" s="1" t="e">
        <v>#N/A</v>
      </c>
    </row>
    <row r="925" spans="1:20" x14ac:dyDescent="0.35">
      <c r="A925" s="1">
        <v>500285.71429999999</v>
      </c>
      <c r="B925" s="1">
        <v>5999998.2240000004</v>
      </c>
      <c r="C925" s="1">
        <v>144.67717117967001</v>
      </c>
      <c r="D925" s="1">
        <f t="shared" si="157"/>
        <v>286.13211001590525</v>
      </c>
      <c r="E925" s="1">
        <v>0.01</v>
      </c>
      <c r="F925" s="1">
        <v>0.05</v>
      </c>
      <c r="G925" s="1">
        <v>0.1</v>
      </c>
      <c r="H925" s="1">
        <v>9.81</v>
      </c>
      <c r="I925" s="1">
        <v>2650</v>
      </c>
      <c r="J925" s="1">
        <v>1000</v>
      </c>
      <c r="K925" s="1">
        <v>1.65</v>
      </c>
      <c r="L925" s="1">
        <v>6.5</v>
      </c>
      <c r="M925" s="1">
        <v>2.5</v>
      </c>
      <c r="N925" s="6">
        <v>9.9999999999999995E-7</v>
      </c>
      <c r="O925" s="1">
        <f t="shared" si="158"/>
        <v>10.245310960713113</v>
      </c>
      <c r="P925" s="1">
        <f t="shared" si="154"/>
        <v>10.773986209295044</v>
      </c>
      <c r="Q925" s="1">
        <f t="shared" si="155"/>
        <v>10.510894072567176</v>
      </c>
      <c r="R925" s="1">
        <v>125.97909999999995</v>
      </c>
      <c r="S925" s="1" t="e">
        <f t="shared" si="156"/>
        <v>#N/A</v>
      </c>
      <c r="T925" s="1" t="e">
        <v>#N/A</v>
      </c>
    </row>
    <row r="926" spans="1:20" x14ac:dyDescent="0.35">
      <c r="A926" s="1">
        <v>500295.91840000002</v>
      </c>
      <c r="B926" s="1">
        <v>5999999.1459999997</v>
      </c>
      <c r="C926" s="1">
        <v>141.344748933213</v>
      </c>
      <c r="D926" s="1">
        <f t="shared" si="157"/>
        <v>296.37777938444327</v>
      </c>
      <c r="E926" s="1">
        <v>0.01</v>
      </c>
      <c r="F926" s="1">
        <v>0.05</v>
      </c>
      <c r="G926" s="1">
        <v>0.1</v>
      </c>
      <c r="H926" s="1">
        <v>9.81</v>
      </c>
      <c r="I926" s="1">
        <v>2650</v>
      </c>
      <c r="J926" s="1">
        <v>1000</v>
      </c>
      <c r="K926" s="1">
        <v>1.65</v>
      </c>
      <c r="L926" s="1">
        <v>6.5</v>
      </c>
      <c r="M926" s="1">
        <v>2.5</v>
      </c>
      <c r="N926" s="6">
        <v>9.9999999999999995E-7</v>
      </c>
      <c r="O926" s="1">
        <f t="shared" si="158"/>
        <v>10.233098302678485</v>
      </c>
      <c r="P926" s="1">
        <f t="shared" si="154"/>
        <v>10.320041754295742</v>
      </c>
      <c r="Q926" s="1">
        <f t="shared" si="155"/>
        <v>10.547013981795393</v>
      </c>
      <c r="R926" s="1">
        <v>125.97909999999995</v>
      </c>
      <c r="S926" s="1" t="e">
        <f t="shared" si="156"/>
        <v>#N/A</v>
      </c>
      <c r="T926" s="1" t="e">
        <v>#N/A</v>
      </c>
    </row>
    <row r="927" spans="1:20" x14ac:dyDescent="0.35">
      <c r="A927" s="1">
        <v>500306.12239999999</v>
      </c>
      <c r="B927" s="1">
        <v>5999998.5650000004</v>
      </c>
      <c r="C927" s="1">
        <v>139.91503399244701</v>
      </c>
      <c r="D927" s="1">
        <f t="shared" si="157"/>
        <v>306.59830662126222</v>
      </c>
      <c r="E927" s="1">
        <v>0.01</v>
      </c>
      <c r="F927" s="1">
        <v>0.05</v>
      </c>
      <c r="G927" s="1">
        <v>0.1</v>
      </c>
      <c r="H927" s="1">
        <v>9.81</v>
      </c>
      <c r="I927" s="1">
        <v>2650</v>
      </c>
      <c r="J927" s="1">
        <v>1000</v>
      </c>
      <c r="K927" s="1">
        <v>1.65</v>
      </c>
      <c r="L927" s="1">
        <v>6.5</v>
      </c>
      <c r="M927" s="1">
        <v>2.5</v>
      </c>
      <c r="N927" s="6">
        <v>9.9999999999999995E-7</v>
      </c>
      <c r="O927" s="1">
        <f t="shared" si="158"/>
        <v>10.221874954638196</v>
      </c>
      <c r="P927" s="1">
        <f t="shared" si="154"/>
        <v>13.893706980070347</v>
      </c>
      <c r="Q927" s="1">
        <f t="shared" si="155"/>
        <v>12.106874367183044</v>
      </c>
      <c r="R927" s="1">
        <v>125.97909999999995</v>
      </c>
      <c r="S927" s="1" t="e">
        <f t="shared" si="156"/>
        <v>#N/A</v>
      </c>
      <c r="T927" s="1" t="e">
        <v>#N/A</v>
      </c>
    </row>
    <row r="928" spans="1:20" x14ac:dyDescent="0.35">
      <c r="A928" s="1">
        <v>500316.32650000002</v>
      </c>
      <c r="B928" s="1">
        <v>5999999.1900000004</v>
      </c>
      <c r="C928" s="1">
        <v>130.506484059678</v>
      </c>
      <c r="D928" s="1">
        <f t="shared" si="157"/>
        <v>316.82152929371966</v>
      </c>
      <c r="E928" s="1">
        <v>0.01</v>
      </c>
      <c r="F928" s="1">
        <v>0.05</v>
      </c>
      <c r="G928" s="1">
        <v>0.1</v>
      </c>
      <c r="H928" s="1">
        <v>9.81</v>
      </c>
      <c r="I928" s="1">
        <v>2650</v>
      </c>
      <c r="J928" s="1">
        <v>1000</v>
      </c>
      <c r="K928" s="1">
        <v>1.65</v>
      </c>
      <c r="L928" s="1">
        <v>6.5</v>
      </c>
      <c r="M928" s="1">
        <v>2.5</v>
      </c>
      <c r="N928" s="6">
        <v>9.9999999999999995E-7</v>
      </c>
      <c r="O928" s="1">
        <f t="shared" si="158"/>
        <v>10.235493697492075</v>
      </c>
      <c r="P928" s="1">
        <f t="shared" si="154"/>
        <v>10.418299398725649</v>
      </c>
      <c r="Q928" s="1">
        <f t="shared" si="155"/>
        <v>12.156003189397998</v>
      </c>
      <c r="R928" s="1">
        <v>125.97909999999995</v>
      </c>
      <c r="S928" s="1" t="e">
        <f t="shared" si="156"/>
        <v>#N/A</v>
      </c>
      <c r="T928" s="1" t="e">
        <v>#N/A</v>
      </c>
    </row>
    <row r="929" spans="1:20" x14ac:dyDescent="0.35">
      <c r="A929" s="1">
        <v>500326.5306</v>
      </c>
      <c r="B929" s="1">
        <v>6000000.1349999998</v>
      </c>
      <c r="C929" s="1">
        <v>128.62917733108401</v>
      </c>
      <c r="D929" s="1">
        <f t="shared" si="157"/>
        <v>327.06929401624637</v>
      </c>
      <c r="E929" s="1">
        <v>0.01</v>
      </c>
      <c r="F929" s="1">
        <v>0.05</v>
      </c>
      <c r="G929" s="1">
        <v>0.1</v>
      </c>
      <c r="H929" s="1">
        <v>9.81</v>
      </c>
      <c r="I929" s="1">
        <v>2650</v>
      </c>
      <c r="J929" s="1">
        <v>1000</v>
      </c>
      <c r="K929" s="1">
        <v>1.65</v>
      </c>
      <c r="L929" s="1">
        <v>6.5</v>
      </c>
      <c r="M929" s="1">
        <v>2.5</v>
      </c>
      <c r="N929" s="6">
        <v>9.9999999999999995E-7</v>
      </c>
      <c r="O929" s="1">
        <f t="shared" si="158"/>
        <v>10.241238558797846</v>
      </c>
      <c r="P929" s="1">
        <f t="shared" ref="P929:P945" si="159">SQRT((D930 - D929)^2 + (C930 - C929)^2)</f>
        <v>10.787841757464356</v>
      </c>
      <c r="Q929" s="1">
        <f t="shared" ref="Q929:Q945" si="160">IF(ROW()=897, P929/2, (P929 + P928)/2)</f>
        <v>10.603070578095004</v>
      </c>
      <c r="R929" s="1">
        <v>125.97909999999995</v>
      </c>
      <c r="S929" s="1" t="e">
        <f t="shared" ref="S929:S945" si="161">IF(R929 - C929 &lt; 0, NA(), R929 - C929)</f>
        <v>#N/A</v>
      </c>
      <c r="T929" s="1" t="e">
        <v>#N/A</v>
      </c>
    </row>
    <row r="930" spans="1:20" x14ac:dyDescent="0.35">
      <c r="A930" s="1">
        <v>500336.73469999997</v>
      </c>
      <c r="B930" s="1">
        <v>5999999.3439999996</v>
      </c>
      <c r="C930" s="1">
        <v>132.03919081702699</v>
      </c>
      <c r="D930" s="1">
        <f t="shared" ref="D930:D946" si="162">D929 + SQRT((A930 - A929)^2 + (B930 - B929)^2)</f>
        <v>337.30400641131536</v>
      </c>
      <c r="E930" s="1">
        <v>0.01</v>
      </c>
      <c r="F930" s="1">
        <v>0.05</v>
      </c>
      <c r="G930" s="1">
        <v>0.1</v>
      </c>
      <c r="H930" s="1">
        <v>9.81</v>
      </c>
      <c r="I930" s="1">
        <v>2650</v>
      </c>
      <c r="J930" s="1">
        <v>1000</v>
      </c>
      <c r="K930" s="1">
        <v>1.65</v>
      </c>
      <c r="L930" s="1">
        <v>6.5</v>
      </c>
      <c r="M930" s="1">
        <v>2.5</v>
      </c>
      <c r="N930" s="6">
        <v>9.9999999999999995E-7</v>
      </c>
      <c r="O930" s="1">
        <f t="shared" si="158"/>
        <v>10.233949248828765</v>
      </c>
      <c r="P930" s="1">
        <f t="shared" si="159"/>
        <v>11.755266476054745</v>
      </c>
      <c r="Q930" s="1">
        <f t="shared" si="160"/>
        <v>11.27155411675955</v>
      </c>
      <c r="R930" s="1">
        <v>125.97909999999995</v>
      </c>
      <c r="S930" s="1" t="e">
        <f t="shared" si="161"/>
        <v>#N/A</v>
      </c>
      <c r="T930" s="1" t="e">
        <v>#N/A</v>
      </c>
    </row>
    <row r="931" spans="1:20" x14ac:dyDescent="0.35">
      <c r="A931" s="1">
        <v>500346.9388</v>
      </c>
      <c r="B931" s="1">
        <v>5999998.5729999999</v>
      </c>
      <c r="C931" s="1">
        <v>126.254020801129</v>
      </c>
      <c r="D931" s="1">
        <f t="shared" si="162"/>
        <v>347.5371925139039</v>
      </c>
      <c r="E931" s="1">
        <v>0.01</v>
      </c>
      <c r="F931" s="1">
        <v>0.05</v>
      </c>
      <c r="G931" s="1">
        <v>0.1</v>
      </c>
      <c r="H931" s="1">
        <v>9.81</v>
      </c>
      <c r="I931" s="1">
        <v>2650</v>
      </c>
      <c r="J931" s="1">
        <v>1000</v>
      </c>
      <c r="K931" s="1">
        <v>1.65</v>
      </c>
      <c r="L931" s="1">
        <v>6.5</v>
      </c>
      <c r="M931" s="1">
        <v>2.5</v>
      </c>
      <c r="N931" s="6">
        <v>9.9999999999999995E-7</v>
      </c>
      <c r="O931" s="1">
        <f t="shared" si="158"/>
        <v>10.232552707337419</v>
      </c>
      <c r="P931" s="1">
        <f t="shared" si="159"/>
        <v>11.350607222214496</v>
      </c>
      <c r="Q931" s="1">
        <f t="shared" si="160"/>
        <v>11.552936849134621</v>
      </c>
      <c r="R931" s="1">
        <v>125.97909999999995</v>
      </c>
      <c r="S931" s="1" t="e">
        <f t="shared" si="161"/>
        <v>#N/A</v>
      </c>
      <c r="T931" s="1" t="e">
        <v>#N/A</v>
      </c>
    </row>
    <row r="932" spans="1:20" x14ac:dyDescent="0.35">
      <c r="A932" s="1">
        <v>500357.14289999998</v>
      </c>
      <c r="B932" s="1">
        <v>5999999.3269999996</v>
      </c>
      <c r="C932" s="1">
        <v>131.167686591956</v>
      </c>
      <c r="D932" s="1">
        <f t="shared" si="162"/>
        <v>357.76911182599019</v>
      </c>
      <c r="E932" s="1">
        <v>0.01</v>
      </c>
      <c r="F932" s="1">
        <v>0.05</v>
      </c>
      <c r="G932" s="1">
        <v>0.1</v>
      </c>
      <c r="H932" s="1">
        <v>9.81</v>
      </c>
      <c r="I932" s="1">
        <v>2650</v>
      </c>
      <c r="J932" s="1">
        <v>1000</v>
      </c>
      <c r="K932" s="1">
        <v>1.65</v>
      </c>
      <c r="L932" s="1">
        <v>6.5</v>
      </c>
      <c r="M932" s="1">
        <v>2.5</v>
      </c>
      <c r="N932" s="6">
        <v>9.9999999999999995E-7</v>
      </c>
      <c r="O932" s="1">
        <f t="shared" si="158"/>
        <v>10.223838765829584</v>
      </c>
      <c r="P932" s="1">
        <f t="shared" si="159"/>
        <v>10.479732415606993</v>
      </c>
      <c r="Q932" s="1">
        <f t="shared" si="160"/>
        <v>10.915169818910744</v>
      </c>
      <c r="R932" s="1">
        <v>125.97909999999995</v>
      </c>
      <c r="S932" s="1" t="e">
        <f t="shared" si="161"/>
        <v>#N/A</v>
      </c>
      <c r="T932" s="1" t="e">
        <v>#N/A</v>
      </c>
    </row>
    <row r="933" spans="1:20" x14ac:dyDescent="0.35">
      <c r="A933" s="1">
        <v>500367.3469</v>
      </c>
      <c r="B933" s="1">
        <v>5999999.8169999998</v>
      </c>
      <c r="C933" s="1">
        <v>128.83036429882799</v>
      </c>
      <c r="D933" s="1">
        <f t="shared" si="162"/>
        <v>367.98487004556307</v>
      </c>
      <c r="E933" s="1">
        <v>0.01</v>
      </c>
      <c r="F933" s="1">
        <v>0.05</v>
      </c>
      <c r="G933" s="1">
        <v>0.1</v>
      </c>
      <c r="H933" s="1">
        <v>9.81</v>
      </c>
      <c r="I933" s="1">
        <v>2650</v>
      </c>
      <c r="J933" s="1">
        <v>1000</v>
      </c>
      <c r="K933" s="1">
        <v>1.65</v>
      </c>
      <c r="L933" s="1">
        <v>6.5</v>
      </c>
      <c r="M933" s="1">
        <v>2.5</v>
      </c>
      <c r="N933" s="6">
        <v>9.9999999999999995E-7</v>
      </c>
      <c r="O933" s="1">
        <f t="shared" si="158"/>
        <v>10.224509856901079</v>
      </c>
      <c r="P933" s="1">
        <f t="shared" si="159"/>
        <v>10.91645406051112</v>
      </c>
      <c r="Q933" s="1">
        <f t="shared" si="160"/>
        <v>10.698093238059055</v>
      </c>
      <c r="R933" s="1">
        <v>125.97909999999995</v>
      </c>
      <c r="S933" s="1" t="e">
        <f t="shared" si="161"/>
        <v>#N/A</v>
      </c>
      <c r="T933" s="1" t="e">
        <v>#N/A</v>
      </c>
    </row>
    <row r="934" spans="1:20" x14ac:dyDescent="0.35">
      <c r="A934" s="1">
        <v>500377.55099999998</v>
      </c>
      <c r="B934" s="1">
        <v>5999999.0449999999</v>
      </c>
      <c r="C934" s="1">
        <v>125.029137069896</v>
      </c>
      <c r="D934" s="1">
        <f t="shared" si="162"/>
        <v>378.21813153979235</v>
      </c>
      <c r="E934" s="1">
        <v>0.01</v>
      </c>
      <c r="F934" s="1">
        <v>0.05</v>
      </c>
      <c r="G934" s="1">
        <v>0.1</v>
      </c>
      <c r="H934" s="1">
        <v>9.81</v>
      </c>
      <c r="I934" s="1">
        <v>2650</v>
      </c>
      <c r="J934" s="1">
        <v>1000</v>
      </c>
      <c r="K934" s="1">
        <v>1.65</v>
      </c>
      <c r="L934" s="1">
        <v>6.5</v>
      </c>
      <c r="M934" s="1">
        <v>2.5</v>
      </c>
      <c r="N934" s="6">
        <v>9.9999999999999995E-7</v>
      </c>
      <c r="O934" s="1">
        <f t="shared" si="158"/>
        <v>10.221049857319429</v>
      </c>
      <c r="P934" s="1">
        <f t="shared" si="159"/>
        <v>10.237547645163266</v>
      </c>
      <c r="Q934" s="1">
        <f t="shared" si="160"/>
        <v>10.577000852837193</v>
      </c>
      <c r="R934" s="1">
        <v>125.97909999999995</v>
      </c>
      <c r="S934" s="1">
        <f t="shared" si="161"/>
        <v>0.9499629301039505</v>
      </c>
      <c r="T934" s="1">
        <v>0.9499629301039505</v>
      </c>
    </row>
    <row r="935" spans="1:20" x14ac:dyDescent="0.35">
      <c r="A935" s="1">
        <v>500387.75510000001</v>
      </c>
      <c r="B935" s="1">
        <v>5999999.3559999997</v>
      </c>
      <c r="C935" s="1">
        <v>125.795298917349</v>
      </c>
      <c r="D935" s="1">
        <f t="shared" si="162"/>
        <v>388.42696976020193</v>
      </c>
      <c r="E935" s="1">
        <v>0.01</v>
      </c>
      <c r="F935" s="1">
        <v>0.05</v>
      </c>
      <c r="G935" s="1">
        <v>0.1</v>
      </c>
      <c r="H935" s="1">
        <v>9.81</v>
      </c>
      <c r="I935" s="1">
        <v>2650</v>
      </c>
      <c r="J935" s="1">
        <v>1000</v>
      </c>
      <c r="K935" s="1">
        <v>1.65</v>
      </c>
      <c r="L935" s="1">
        <v>6.5</v>
      </c>
      <c r="M935" s="1">
        <v>2.5</v>
      </c>
      <c r="N935" s="6">
        <v>9.9999999999999995E-7</v>
      </c>
      <c r="O935" s="1">
        <f t="shared" si="158"/>
        <v>10.226672955179509</v>
      </c>
      <c r="P935" s="1">
        <f t="shared" si="159"/>
        <v>14.006911426674414</v>
      </c>
      <c r="Q935" s="1">
        <f t="shared" si="160"/>
        <v>12.122229535918841</v>
      </c>
      <c r="R935" s="1">
        <v>125.97909999999995</v>
      </c>
      <c r="S935" s="1">
        <f t="shared" si="161"/>
        <v>0.18380108265094464</v>
      </c>
      <c r="T935" s="1">
        <v>0.18380108265094464</v>
      </c>
    </row>
    <row r="936" spans="1:20" x14ac:dyDescent="0.35">
      <c r="A936" s="1">
        <v>500397.95919999998</v>
      </c>
      <c r="B936" s="1">
        <v>5999998.4469999997</v>
      </c>
      <c r="C936" s="1">
        <v>135.347452072804</v>
      </c>
      <c r="D936" s="1">
        <f t="shared" si="162"/>
        <v>398.67147745015137</v>
      </c>
      <c r="E936" s="1">
        <v>0.01</v>
      </c>
      <c r="F936" s="1">
        <v>0.05</v>
      </c>
      <c r="G936" s="1">
        <v>0.1</v>
      </c>
      <c r="H936" s="1">
        <v>9.81</v>
      </c>
      <c r="I936" s="1">
        <v>2650</v>
      </c>
      <c r="J936" s="1">
        <v>1000</v>
      </c>
      <c r="K936" s="1">
        <v>1.65</v>
      </c>
      <c r="L936" s="1">
        <v>6.5</v>
      </c>
      <c r="M936" s="1">
        <v>2.5</v>
      </c>
      <c r="N936" s="6">
        <v>9.9999999999999995E-7</v>
      </c>
      <c r="O936" s="1">
        <f t="shared" si="158"/>
        <v>10.22650836474881</v>
      </c>
      <c r="P936" s="1">
        <f t="shared" si="159"/>
        <v>12.538849639326756</v>
      </c>
      <c r="Q936" s="1">
        <f t="shared" si="160"/>
        <v>13.272880533000585</v>
      </c>
      <c r="R936" s="1">
        <v>125.97909999999995</v>
      </c>
      <c r="S936" s="1" t="e">
        <f t="shared" si="161"/>
        <v>#N/A</v>
      </c>
      <c r="T936" s="1" t="e">
        <v>#N/A</v>
      </c>
    </row>
    <row r="937" spans="1:20" x14ac:dyDescent="0.35">
      <c r="A937" s="1">
        <v>500408.16330000001</v>
      </c>
      <c r="B937" s="1">
        <v>5999998.1469999999</v>
      </c>
      <c r="C937" s="1">
        <v>128.06671766842501</v>
      </c>
      <c r="D937" s="1">
        <f t="shared" si="162"/>
        <v>408.87998648969955</v>
      </c>
      <c r="E937" s="1">
        <v>0.01</v>
      </c>
      <c r="F937" s="1">
        <v>0.05</v>
      </c>
      <c r="G937" s="1">
        <v>0.1</v>
      </c>
      <c r="H937" s="1">
        <v>9.81</v>
      </c>
      <c r="I937" s="1">
        <v>2650</v>
      </c>
      <c r="J937" s="1">
        <v>1000</v>
      </c>
      <c r="K937" s="1">
        <v>1.65</v>
      </c>
      <c r="L937" s="1">
        <v>6.5</v>
      </c>
      <c r="M937" s="1">
        <v>2.5</v>
      </c>
      <c r="N937" s="6">
        <v>9.9999999999999995E-7</v>
      </c>
      <c r="O937" s="1">
        <f t="shared" si="158"/>
        <v>10.217670819070179</v>
      </c>
      <c r="P937" s="1">
        <f t="shared" si="159"/>
        <v>11.126667604014996</v>
      </c>
      <c r="Q937" s="1">
        <f t="shared" si="160"/>
        <v>11.832758621670877</v>
      </c>
      <c r="R937" s="1">
        <v>125.97909999999995</v>
      </c>
      <c r="S937" s="1" t="e">
        <f t="shared" si="161"/>
        <v>#N/A</v>
      </c>
      <c r="T937" s="1" t="e">
        <v>#N/A</v>
      </c>
    </row>
    <row r="938" spans="1:20" x14ac:dyDescent="0.35">
      <c r="A938" s="1">
        <v>500418.36729999998</v>
      </c>
      <c r="B938" s="1">
        <v>5999997.4639999997</v>
      </c>
      <c r="C938" s="1">
        <v>132.450166877736</v>
      </c>
      <c r="D938" s="1">
        <f t="shared" si="162"/>
        <v>419.10681908829173</v>
      </c>
      <c r="E938" s="1">
        <v>0.01</v>
      </c>
      <c r="F938" s="1">
        <v>0.05</v>
      </c>
      <c r="G938" s="1">
        <v>0.1</v>
      </c>
      <c r="H938" s="1">
        <v>9.81</v>
      </c>
      <c r="I938" s="1">
        <v>2650</v>
      </c>
      <c r="J938" s="1">
        <v>1000</v>
      </c>
      <c r="K938" s="1">
        <v>1.65</v>
      </c>
      <c r="L938" s="1">
        <v>6.5</v>
      </c>
      <c r="M938" s="1">
        <v>2.5</v>
      </c>
      <c r="N938" s="6">
        <v>9.9999999999999995E-7</v>
      </c>
      <c r="O938" s="1">
        <f t="shared" si="158"/>
        <v>10.219153288461655</v>
      </c>
      <c r="P938" s="1">
        <f t="shared" si="159"/>
        <v>12.259823035582844</v>
      </c>
      <c r="Q938" s="1">
        <f t="shared" si="160"/>
        <v>11.693245319798919</v>
      </c>
      <c r="R938" s="1">
        <v>125.97909999999995</v>
      </c>
      <c r="S938" s="1" t="e">
        <f t="shared" si="161"/>
        <v>#N/A</v>
      </c>
      <c r="T938" s="1" t="e">
        <v>#N/A</v>
      </c>
    </row>
    <row r="939" spans="1:20" x14ac:dyDescent="0.35">
      <c r="A939" s="1">
        <v>500428.57140000002</v>
      </c>
      <c r="B939" s="1">
        <v>5999997.0760000004</v>
      </c>
      <c r="C939" s="1">
        <v>139.234638858198</v>
      </c>
      <c r="D939" s="1">
        <f t="shared" si="162"/>
        <v>429.31829306662286</v>
      </c>
      <c r="E939" s="1">
        <v>0.01</v>
      </c>
      <c r="F939" s="1">
        <v>0.05</v>
      </c>
      <c r="G939" s="1">
        <v>0.1</v>
      </c>
      <c r="H939" s="1">
        <v>9.81</v>
      </c>
      <c r="I939" s="1">
        <v>2650</v>
      </c>
      <c r="J939" s="1">
        <v>1000</v>
      </c>
      <c r="K939" s="1">
        <v>1.65</v>
      </c>
      <c r="L939" s="1">
        <v>6.5</v>
      </c>
      <c r="M939" s="1">
        <v>2.5</v>
      </c>
      <c r="N939" s="6">
        <v>9.9999999999999995E-7</v>
      </c>
      <c r="O939" s="1">
        <f t="shared" si="158"/>
        <v>10.213570502749036</v>
      </c>
      <c r="P939" s="1">
        <f t="shared" si="159"/>
        <v>10.221862151517284</v>
      </c>
      <c r="Q939" s="1">
        <f t="shared" si="160"/>
        <v>11.240842593550063</v>
      </c>
      <c r="R939" s="1">
        <v>125.97909999999995</v>
      </c>
      <c r="S939" s="1" t="e">
        <f t="shared" si="161"/>
        <v>#N/A</v>
      </c>
      <c r="T939" s="1" t="e">
        <v>#N/A</v>
      </c>
    </row>
    <row r="940" spans="1:20" x14ac:dyDescent="0.35">
      <c r="A940" s="1">
        <v>500438.77549999999</v>
      </c>
      <c r="B940" s="1">
        <v>5999996.5899999999</v>
      </c>
      <c r="C940" s="1">
        <v>139.590466112179</v>
      </c>
      <c r="D940" s="1">
        <f t="shared" si="162"/>
        <v>439.5339600937898</v>
      </c>
      <c r="E940" s="1">
        <v>0.01</v>
      </c>
      <c r="F940" s="1">
        <v>0.05</v>
      </c>
      <c r="G940" s="1">
        <v>0.1</v>
      </c>
      <c r="H940" s="1">
        <v>9.81</v>
      </c>
      <c r="I940" s="1">
        <v>2650</v>
      </c>
      <c r="J940" s="1">
        <v>1000</v>
      </c>
      <c r="K940" s="1">
        <v>1.65</v>
      </c>
      <c r="L940" s="1">
        <v>6.5</v>
      </c>
      <c r="M940" s="1">
        <v>2.5</v>
      </c>
      <c r="N940" s="6">
        <v>9.9999999999999995E-7</v>
      </c>
      <c r="O940" s="1">
        <f t="shared" si="158"/>
        <v>10.227678867958247</v>
      </c>
      <c r="P940" s="1">
        <f t="shared" si="159"/>
        <v>10.247073843648518</v>
      </c>
      <c r="Q940" s="1">
        <f t="shared" si="160"/>
        <v>10.2344679975829</v>
      </c>
      <c r="R940" s="1">
        <v>125.97909999999995</v>
      </c>
      <c r="S940" s="1" t="e">
        <f t="shared" si="161"/>
        <v>#N/A</v>
      </c>
      <c r="T940" s="1" t="e">
        <v>#N/A</v>
      </c>
    </row>
    <row r="941" spans="1:20" x14ac:dyDescent="0.35">
      <c r="A941" s="1">
        <v>500448.97960000002</v>
      </c>
      <c r="B941" s="1">
        <v>5999995.7369999997</v>
      </c>
      <c r="C941" s="1">
        <v>139.20154896633201</v>
      </c>
      <c r="D941" s="1">
        <f t="shared" si="162"/>
        <v>449.77365080253935</v>
      </c>
      <c r="E941" s="1">
        <v>0.01</v>
      </c>
      <c r="F941" s="1">
        <v>0.05</v>
      </c>
      <c r="G941" s="1">
        <v>0.1</v>
      </c>
      <c r="H941" s="1">
        <v>9.81</v>
      </c>
      <c r="I941" s="1">
        <v>2650</v>
      </c>
      <c r="J941" s="1">
        <v>1000</v>
      </c>
      <c r="K941" s="1">
        <v>1.65</v>
      </c>
      <c r="L941" s="1">
        <v>6.5</v>
      </c>
      <c r="M941" s="1">
        <v>2.5</v>
      </c>
      <c r="N941" s="6">
        <v>9.9999999999999995E-7</v>
      </c>
      <c r="O941" s="1">
        <f t="shared" si="158"/>
        <v>10.226507982984828</v>
      </c>
      <c r="P941" s="1">
        <f t="shared" si="159"/>
        <v>10.216402783069102</v>
      </c>
      <c r="Q941" s="1">
        <f t="shared" si="160"/>
        <v>10.231738313358811</v>
      </c>
      <c r="R941" s="1">
        <v>125.97909999999995</v>
      </c>
      <c r="S941" s="1" t="e">
        <f t="shared" si="161"/>
        <v>#N/A</v>
      </c>
      <c r="T941" s="1" t="e">
        <v>#N/A</v>
      </c>
    </row>
    <row r="942" spans="1:20" x14ac:dyDescent="0.35">
      <c r="A942" s="1">
        <v>500459.18369999999</v>
      </c>
      <c r="B942" s="1">
        <v>5999996.1710000001</v>
      </c>
      <c r="C942" s="1">
        <v>138.95080404388699</v>
      </c>
      <c r="D942" s="1">
        <f t="shared" si="162"/>
        <v>459.98697605975946</v>
      </c>
      <c r="E942" s="1">
        <v>0.01</v>
      </c>
      <c r="F942" s="1">
        <v>0.05</v>
      </c>
      <c r="G942" s="1">
        <v>0.1</v>
      </c>
      <c r="H942" s="1">
        <v>9.81</v>
      </c>
      <c r="I942" s="1">
        <v>2650</v>
      </c>
      <c r="J942" s="1">
        <v>1000</v>
      </c>
      <c r="K942" s="1">
        <v>1.65</v>
      </c>
      <c r="L942" s="1">
        <v>6.5</v>
      </c>
      <c r="M942" s="1">
        <v>2.5</v>
      </c>
      <c r="N942" s="6">
        <v>9.9999999999999995E-7</v>
      </c>
      <c r="O942" s="1">
        <f t="shared" si="158"/>
        <v>10.228563101333435</v>
      </c>
      <c r="P942" s="1">
        <f t="shared" si="159"/>
        <v>10.24381622597874</v>
      </c>
      <c r="Q942" s="1">
        <f t="shared" si="160"/>
        <v>10.23010950452392</v>
      </c>
      <c r="R942" s="1">
        <v>125.97909999999995</v>
      </c>
      <c r="S942" s="1" t="e">
        <f t="shared" si="161"/>
        <v>#N/A</v>
      </c>
      <c r="T942" s="1" t="e">
        <v>#N/A</v>
      </c>
    </row>
    <row r="943" spans="1:20" x14ac:dyDescent="0.35">
      <c r="A943" s="1">
        <v>500469.38780000003</v>
      </c>
      <c r="B943" s="1">
        <v>5999997.0719999997</v>
      </c>
      <c r="C943" s="1">
        <v>138.933110494517</v>
      </c>
      <c r="D943" s="1">
        <f t="shared" si="162"/>
        <v>470.23077700520622</v>
      </c>
      <c r="E943" s="1">
        <v>0.01</v>
      </c>
      <c r="F943" s="1">
        <v>0.05</v>
      </c>
      <c r="G943" s="1">
        <v>0.1</v>
      </c>
      <c r="H943" s="1">
        <v>9.81</v>
      </c>
      <c r="I943" s="1">
        <v>2650</v>
      </c>
      <c r="J943" s="1">
        <v>1000</v>
      </c>
      <c r="K943" s="1">
        <v>1.65</v>
      </c>
      <c r="L943" s="1">
        <v>6.5</v>
      </c>
      <c r="M943" s="1">
        <v>2.5</v>
      </c>
      <c r="N943" s="6">
        <v>9.9999999999999995E-7</v>
      </c>
      <c r="O943" s="1">
        <f t="shared" si="158"/>
        <v>10.235585469869676</v>
      </c>
      <c r="P943" s="1">
        <f t="shared" si="159"/>
        <v>14.038699271405504</v>
      </c>
      <c r="Q943" s="1">
        <f t="shared" si="160"/>
        <v>12.141257748692123</v>
      </c>
      <c r="R943" s="1">
        <v>125.97909999999995</v>
      </c>
      <c r="S943" s="1" t="e">
        <f t="shared" si="161"/>
        <v>#N/A</v>
      </c>
      <c r="T943" s="1" t="e">
        <v>#N/A</v>
      </c>
    </row>
    <row r="944" spans="1:20" x14ac:dyDescent="0.35">
      <c r="A944" s="1">
        <v>500479.59179999999</v>
      </c>
      <c r="B944" s="1">
        <v>5999997.7630000003</v>
      </c>
      <c r="C944" s="1">
        <v>148.55007364474301</v>
      </c>
      <c r="D944" s="1">
        <f t="shared" si="162"/>
        <v>480.45814699949881</v>
      </c>
      <c r="E944" s="1">
        <v>0.01</v>
      </c>
      <c r="F944" s="1">
        <v>0.05</v>
      </c>
      <c r="G944" s="1">
        <v>0.1</v>
      </c>
      <c r="H944" s="1">
        <v>9.81</v>
      </c>
      <c r="I944" s="1">
        <v>2650</v>
      </c>
      <c r="J944" s="1">
        <v>1000</v>
      </c>
      <c r="K944" s="1">
        <v>1.65</v>
      </c>
      <c r="L944" s="1">
        <v>6.5</v>
      </c>
      <c r="M944" s="1">
        <v>2.5</v>
      </c>
      <c r="N944" s="6">
        <v>9.9999999999999995E-7</v>
      </c>
      <c r="O944" s="1">
        <f t="shared" si="158"/>
        <v>10.217030880251457</v>
      </c>
      <c r="P944" s="1">
        <f t="shared" si="159"/>
        <v>10.496604105828091</v>
      </c>
      <c r="Q944" s="1">
        <f t="shared" si="160"/>
        <v>12.267651688616798</v>
      </c>
      <c r="R944" s="1">
        <v>125.97909999999995</v>
      </c>
      <c r="S944" s="1" t="e">
        <f t="shared" si="161"/>
        <v>#N/A</v>
      </c>
      <c r="T944" s="1" t="e">
        <v>#N/A</v>
      </c>
    </row>
    <row r="945" spans="1:57" x14ac:dyDescent="0.35">
      <c r="A945" s="1">
        <v>500489.79590000003</v>
      </c>
      <c r="B945" s="1">
        <v>5999997.9929999998</v>
      </c>
      <c r="C945" s="1">
        <v>146.10014692256101</v>
      </c>
      <c r="D945" s="1">
        <f t="shared" si="162"/>
        <v>490.66483876570913</v>
      </c>
      <c r="E945" s="1">
        <v>0.01</v>
      </c>
      <c r="F945" s="1">
        <v>0.05</v>
      </c>
      <c r="G945" s="1">
        <v>0.1</v>
      </c>
      <c r="H945" s="1">
        <v>9.81</v>
      </c>
      <c r="I945" s="1">
        <v>2650</v>
      </c>
      <c r="J945" s="1">
        <v>1000</v>
      </c>
      <c r="K945" s="1">
        <v>1.65</v>
      </c>
      <c r="L945" s="1">
        <v>6.5</v>
      </c>
      <c r="M945" s="1">
        <v>2.5</v>
      </c>
      <c r="N945" s="6">
        <v>9.9999999999999995E-7</v>
      </c>
      <c r="O945" s="1">
        <f t="shared" si="158"/>
        <v>10.209902888805345</v>
      </c>
      <c r="P945" s="1">
        <f t="shared" si="159"/>
        <v>10.652346301971106</v>
      </c>
      <c r="Q945" s="1">
        <f t="shared" si="160"/>
        <v>10.574475203899599</v>
      </c>
      <c r="R945" s="1">
        <v>125.97909999999995</v>
      </c>
      <c r="S945" s="1" t="e">
        <f t="shared" si="161"/>
        <v>#N/A</v>
      </c>
      <c r="T945" s="1" t="e">
        <v>#N/A</v>
      </c>
    </row>
    <row r="946" spans="1:57" x14ac:dyDescent="0.35">
      <c r="A946" s="1">
        <v>500500</v>
      </c>
      <c r="B946" s="1">
        <v>5999998.4220000003</v>
      </c>
      <c r="C946" s="1">
        <v>149.127486336511</v>
      </c>
      <c r="D946" s="1">
        <f t="shared" si="162"/>
        <v>500.8779527771095</v>
      </c>
      <c r="E946" s="1">
        <v>0.01</v>
      </c>
      <c r="F946" s="1">
        <v>0.05</v>
      </c>
      <c r="G946" s="1">
        <v>0.1</v>
      </c>
      <c r="H946" s="1">
        <v>9.81</v>
      </c>
      <c r="I946" s="1">
        <v>2650</v>
      </c>
      <c r="J946" s="1">
        <v>1000</v>
      </c>
      <c r="K946" s="1">
        <v>1.65</v>
      </c>
      <c r="L946" s="1">
        <v>6.5</v>
      </c>
      <c r="M946" s="1">
        <v>2.5</v>
      </c>
      <c r="N946" s="6">
        <v>9.9999999999999995E-7</v>
      </c>
      <c r="O946" s="1">
        <f xml:space="preserve"> (D946 - D945) / 2</f>
        <v>5.1065570057001821</v>
      </c>
    </row>
    <row r="949" spans="1:57" x14ac:dyDescent="0.35">
      <c r="A949" s="1" t="s">
        <v>0</v>
      </c>
      <c r="B949" s="1" t="s">
        <v>1</v>
      </c>
      <c r="C949" s="1" t="s">
        <v>2</v>
      </c>
      <c r="D949" s="1" t="s">
        <v>18</v>
      </c>
      <c r="E949" s="1" t="s">
        <v>67</v>
      </c>
      <c r="F949" s="1" t="s">
        <v>66</v>
      </c>
      <c r="G949" s="1" t="s">
        <v>65</v>
      </c>
      <c r="H949" s="1" t="s">
        <v>64</v>
      </c>
      <c r="I949" s="1" t="s">
        <v>63</v>
      </c>
      <c r="J949" s="1" t="s">
        <v>62</v>
      </c>
      <c r="K949" s="1" t="s">
        <v>61</v>
      </c>
      <c r="L949" s="1" t="s">
        <v>60</v>
      </c>
      <c r="M949" s="1" t="s">
        <v>59</v>
      </c>
      <c r="N949" s="1" t="s">
        <v>58</v>
      </c>
      <c r="O949" s="1" t="s">
        <v>57</v>
      </c>
      <c r="P949" s="1" t="s">
        <v>56</v>
      </c>
      <c r="Q949" s="1" t="s">
        <v>55</v>
      </c>
      <c r="R949" s="1" t="s">
        <v>54</v>
      </c>
      <c r="S949" s="1" t="s">
        <v>16</v>
      </c>
      <c r="T949" s="1" t="s">
        <v>53</v>
      </c>
      <c r="U949" s="10" t="s">
        <v>52</v>
      </c>
      <c r="V949" s="10" t="s">
        <v>51</v>
      </c>
      <c r="W949" s="10" t="s">
        <v>50</v>
      </c>
      <c r="X949" s="10" t="s">
        <v>49</v>
      </c>
      <c r="Y949" s="1" t="s">
        <v>48</v>
      </c>
      <c r="Z949" s="1" t="s">
        <v>47</v>
      </c>
      <c r="AA949" s="1" t="s">
        <v>46</v>
      </c>
      <c r="AB949" s="1" t="s">
        <v>45</v>
      </c>
      <c r="AC949" s="1" t="s">
        <v>44</v>
      </c>
      <c r="AD949" s="1" t="s">
        <v>43</v>
      </c>
      <c r="AE949" s="1" t="s">
        <v>42</v>
      </c>
      <c r="AF949" s="1" t="s">
        <v>41</v>
      </c>
      <c r="AG949" s="1" t="s">
        <v>40</v>
      </c>
      <c r="AH949" s="1" t="s">
        <v>39</v>
      </c>
      <c r="AI949" s="1" t="s">
        <v>38</v>
      </c>
      <c r="AJ949" s="1" t="s">
        <v>37</v>
      </c>
      <c r="AK949" s="1" t="s">
        <v>36</v>
      </c>
      <c r="AL949" s="1" t="s">
        <v>35</v>
      </c>
      <c r="AM949" s="1" t="s">
        <v>34</v>
      </c>
      <c r="AN949" s="1" t="s">
        <v>34</v>
      </c>
      <c r="AO949" s="7" t="s">
        <v>33</v>
      </c>
      <c r="AP949" s="7" t="s">
        <v>32</v>
      </c>
      <c r="AQ949" s="7" t="s">
        <v>31</v>
      </c>
      <c r="AR949" s="7" t="s">
        <v>30</v>
      </c>
      <c r="AS949" s="7" t="s">
        <v>29</v>
      </c>
      <c r="AT949" s="7" t="s">
        <v>28</v>
      </c>
      <c r="AU949" s="7" t="s">
        <v>27</v>
      </c>
      <c r="AV949" s="7" t="s">
        <v>27</v>
      </c>
      <c r="AW949" s="1" t="s">
        <v>26</v>
      </c>
      <c r="AX949" s="1" t="s">
        <v>25</v>
      </c>
      <c r="AY949" s="1" t="s">
        <v>24</v>
      </c>
      <c r="AZ949" s="1" t="s">
        <v>23</v>
      </c>
      <c r="BA949" s="1" t="s">
        <v>22</v>
      </c>
      <c r="BB949" s="1" t="s">
        <v>21</v>
      </c>
      <c r="BC949" s="1" t="s">
        <v>20</v>
      </c>
      <c r="BD949" s="1" t="s">
        <v>20</v>
      </c>
      <c r="BE949" s="1" t="s">
        <v>19</v>
      </c>
    </row>
    <row r="950" spans="1:57" x14ac:dyDescent="0.35">
      <c r="A950" s="1">
        <v>500000</v>
      </c>
      <c r="B950" s="1">
        <v>5999999.0959999999</v>
      </c>
      <c r="C950" s="1">
        <v>146.95665459614199</v>
      </c>
      <c r="D950" s="1">
        <v>0</v>
      </c>
      <c r="E950" s="1">
        <v>0.01</v>
      </c>
      <c r="F950" s="1">
        <v>0.05</v>
      </c>
      <c r="G950" s="1">
        <v>0.1</v>
      </c>
      <c r="H950" s="1">
        <v>9.81</v>
      </c>
      <c r="I950" s="1">
        <v>2650</v>
      </c>
      <c r="J950" s="1">
        <v>1000</v>
      </c>
      <c r="K950" s="1">
        <v>1.65</v>
      </c>
      <c r="L950" s="1">
        <v>6.5</v>
      </c>
      <c r="M950" s="1">
        <v>2.5</v>
      </c>
      <c r="N950" s="6">
        <v>9.9999999999999995E-7</v>
      </c>
      <c r="O950" s="1">
        <f xml:space="preserve"> (D951 - D950) / 2</f>
        <v>5.1061868798967165</v>
      </c>
      <c r="P950" s="1">
        <f t="shared" ref="P950:P981" si="163">SQRT((D951 - D950)^2 + (C951 - C950)^2)</f>
        <v>12.612081347143071</v>
      </c>
      <c r="Q950" s="1">
        <f t="shared" ref="Q950:Q981" si="164">IF(ROW()=950, P950/2, (P950 + P949)/2)</f>
        <v>6.3060406735715357</v>
      </c>
      <c r="R950" s="1">
        <v>126.02909999999994</v>
      </c>
      <c r="S950" s="1" t="e">
        <f t="shared" ref="S950:S981" si="165">IF(R950 - C950 &lt; 0, NA(), R950 - C950)</f>
        <v>#N/A</v>
      </c>
      <c r="T950" s="1" t="e">
        <v>#N/A</v>
      </c>
      <c r="U950" s="10" cm="1">
        <f t="array" ref="U950">SUMPRODUCT(IF(ISNA(T950:T999), 0, T950:T999), IF(ISNA(O950:O999), 0, O950:O999))</f>
        <v>12.611678172901748</v>
      </c>
      <c r="V950" s="10">
        <f>SUMIF(S950:S999, "&gt;0", O950:O999)</f>
        <v>20.447722812498938</v>
      </c>
      <c r="W950" s="10">
        <f>SUMIF(S950:S999, "&gt;0", Q950:Q999)</f>
        <v>22.699230388756035</v>
      </c>
      <c r="X950" s="10">
        <f>U950/W950</f>
        <v>0.55559937305843143</v>
      </c>
      <c r="Y950" s="1">
        <f xml:space="preserve"> (6.5 * 2.5 * (X950 / G950)) / SQRT(6.5^2 + 2.5^2 * (X950 / G950)^(5/3))</f>
        <v>7.342892803347211</v>
      </c>
      <c r="Z950" s="1">
        <f>Y950*SQRT(X950*H950*E950)</f>
        <v>1.7142831851835618</v>
      </c>
      <c r="AA950" s="1">
        <f>J950*H950*X950*E950</f>
        <v>54.504298497032124</v>
      </c>
      <c r="AB950" s="1">
        <f>(AA950 / (9.81 * 1000 *1.65 * F950))</f>
        <v>6.7345378552537138E-2</v>
      </c>
      <c r="AC950" s="9">
        <f xml:space="preserve"> F950 * (K950 * H950 / (N950)^2)^(1/3)</f>
        <v>1264.7974700106745</v>
      </c>
      <c r="AD950" s="1">
        <f xml:space="preserve"> 0.3 / (1 + 1.2 * AC950) + 0.055 * (1 - EXP(-0.02 * AC950))</f>
        <v>5.5197529957883754E-2</v>
      </c>
      <c r="AE950" s="1">
        <f>IF(AC950 &lt;= 4, 0.24 * AC950^-1, IF(AC950 &gt; 4, IF(AC950 &lt;= 10, 0.14 * AC950^-0.64, IF(AC950 &lt;= 20, 0.04 * AC950^-0.1, IF(AC950 &lt;= 150, 0.013 * AC950^0.29, 0.056)))))</f>
        <v>5.6000000000000001E-2</v>
      </c>
      <c r="AF950" s="1">
        <f>AB950/AD950-1</f>
        <v>0.22007956884886526</v>
      </c>
      <c r="AG950" s="1">
        <f xml:space="preserve"> 2.45 * SQRT(AD950) / (K950 + 1)^0.4</f>
        <v>0.38978718496890047</v>
      </c>
      <c r="AH950" s="1">
        <f>SQRT(2/3 + 36 / AC950^3) - SQRT(36 / AC950^3)</f>
        <v>0.81636320289979147</v>
      </c>
      <c r="AI950" s="1">
        <f>AA950* Z950 / (J950 * (H950* K950 * F950)^(3/2))</f>
        <v>0.12833020434337966</v>
      </c>
      <c r="AJ950" s="1">
        <f>AD950* K950 * F950 / E950</f>
        <v>0.45537962215254096</v>
      </c>
      <c r="AK950" s="1">
        <f>Y950 * AD950^(3/2)</f>
        <v>9.5224051157913575E-2</v>
      </c>
      <c r="AL950" s="1">
        <f>(0.92 - 0.25 * SQRT(AK950 / AI950))^9</f>
        <v>4.2830195674883574E-2</v>
      </c>
      <c r="AM950" s="1">
        <v>5.2759527000000001E-2</v>
      </c>
      <c r="AN950" s="1">
        <v>4.7434165E-2</v>
      </c>
      <c r="AO950" s="7">
        <f>IF(AB950 &gt; 0.047, 8 * (AB950 - 0.047)^(3/2), 0)</f>
        <v>2.3216067046991737E-2</v>
      </c>
      <c r="AP950" s="7">
        <f>IF(AB950&gt; 0.047, 4 * (AB950 - 0.047)^(3/2), 0)</f>
        <v>1.1608033523495868E-2</v>
      </c>
      <c r="AQ950" s="7">
        <f xml:space="preserve"> (0.053 / AC950^(0.3)) * ((AB950 / AE950) - 1)^2.1</f>
        <v>2.1756778885352018E-4</v>
      </c>
      <c r="AR950" s="7">
        <f xml:space="preserve"> IF(AB950 &gt; AD950, 0.635 * AF950 * SQRT(AB950) * (1 - (1 / (AG950*AF950)) * LOG(1 + AF950*AG950)), 0)</f>
        <v>2.1155498729534011E-2</v>
      </c>
      <c r="AS950" s="8">
        <f>IF(AB950&gt;= 0.19, 40 * AH950 * AB950^3, (AH950 * EXP(-0.391 / AB950)) / 0.465)</f>
        <v>5.2840093194552705E-3</v>
      </c>
      <c r="AT950" s="7">
        <f>AL950* AI950</f>
        <v>5.496407763024745E-3</v>
      </c>
      <c r="AU950" s="7">
        <f>14 * AB950^2.5 / (1 + (AM950/AB950)^4)</f>
        <v>1.1969184968539845E-2</v>
      </c>
      <c r="AV950" s="7">
        <f>14*AB950^2.5/(1+(AN950/AB950)^4)</f>
        <v>1.3223311994425403E-2</v>
      </c>
      <c r="AW950" s="1">
        <f>AO950*SQRT(1.65*9.81*F950^3)</f>
        <v>1.0442876251319289E-3</v>
      </c>
      <c r="AX950" s="1">
        <f>AP950*SQRT(1.65*9.81*F950^3)</f>
        <v>5.2214381256596447E-4</v>
      </c>
      <c r="AY950" s="1">
        <f>AQ950*SQRT(1.65*9.81*F950^3)</f>
        <v>9.7864702521389315E-6</v>
      </c>
      <c r="AZ950" s="1">
        <f>AR950*SQRT(1.65*9.81*F950^3)</f>
        <v>9.5160069455473418E-4</v>
      </c>
      <c r="BA950" s="1">
        <f>AS950*SQRT(1.65*9.81*F950^3)</f>
        <v>2.3768132355148124E-4</v>
      </c>
      <c r="BB950" s="1">
        <f>AT950*SQRT(1.65*9.81*F950^3)</f>
        <v>2.4723527021126336E-4</v>
      </c>
      <c r="BC950" s="1">
        <f>AU950*SQRT(1.65*9.81*G950^3)</f>
        <v>1.5227936399890816E-3</v>
      </c>
      <c r="BD950" s="1">
        <f>AV950*SQRT(1.65*9.81*G950^3)</f>
        <v>1.6823514264028318E-3</v>
      </c>
      <c r="BE950" s="1">
        <f>U950*Z950</f>
        <v>21.619987828752009</v>
      </c>
    </row>
    <row r="951" spans="1:57" x14ac:dyDescent="0.35">
      <c r="A951" s="1">
        <v>500010.20409999997</v>
      </c>
      <c r="B951" s="1">
        <v>5999998.6849999996</v>
      </c>
      <c r="C951" s="1">
        <v>154.35746658519</v>
      </c>
      <c r="D951" s="1">
        <f t="shared" ref="D951:D982" si="166">D950 + SQRT((A951 - A950)^2 + (B951 - B950)^2)</f>
        <v>10.212373759793433</v>
      </c>
      <c r="E951" s="1">
        <v>0.01</v>
      </c>
      <c r="F951" s="1">
        <v>0.05</v>
      </c>
      <c r="G951" s="1">
        <v>0.1</v>
      </c>
      <c r="H951" s="1">
        <v>9.81</v>
      </c>
      <c r="I951" s="1">
        <v>2650</v>
      </c>
      <c r="J951" s="1">
        <v>1000</v>
      </c>
      <c r="K951" s="1">
        <v>1.65</v>
      </c>
      <c r="L951" s="1">
        <v>6.5</v>
      </c>
      <c r="M951" s="1">
        <v>2.5</v>
      </c>
      <c r="N951" s="6">
        <v>9.9999999999999995E-7</v>
      </c>
      <c r="O951" s="1">
        <f t="shared" ref="O951:O998" si="167" xml:space="preserve"> (D952 - D951 + D951 - D950) / 2</f>
        <v>10.212934886473896</v>
      </c>
      <c r="P951" s="1">
        <f t="shared" si="163"/>
        <v>10.748393624242958</v>
      </c>
      <c r="Q951" s="1">
        <f t="shared" si="164"/>
        <v>11.680237485693015</v>
      </c>
      <c r="R951" s="1">
        <v>126.02909999999994</v>
      </c>
      <c r="S951" s="1" t="e">
        <f t="shared" si="165"/>
        <v>#N/A</v>
      </c>
      <c r="T951" s="1" t="e">
        <v>#N/A</v>
      </c>
      <c r="AO951" s="7"/>
      <c r="AP951" s="7"/>
      <c r="AQ951" s="7"/>
      <c r="AR951" s="7"/>
      <c r="AS951" s="7"/>
      <c r="AT951" s="7"/>
      <c r="AU951" s="7"/>
      <c r="AV951" s="7"/>
    </row>
    <row r="952" spans="1:57" x14ac:dyDescent="0.35">
      <c r="A952" s="1">
        <v>500020.40820000001</v>
      </c>
      <c r="B952" s="1">
        <v>5999999.1229999997</v>
      </c>
      <c r="C952" s="1">
        <v>151.008964727501</v>
      </c>
      <c r="D952" s="1">
        <f t="shared" si="166"/>
        <v>20.425869772947792</v>
      </c>
      <c r="E952" s="1">
        <v>0.01</v>
      </c>
      <c r="F952" s="1">
        <v>0.05</v>
      </c>
      <c r="G952" s="1">
        <v>0.1</v>
      </c>
      <c r="H952" s="1">
        <v>9.81</v>
      </c>
      <c r="I952" s="1">
        <v>2650</v>
      </c>
      <c r="J952" s="1">
        <v>1000</v>
      </c>
      <c r="K952" s="1">
        <v>1.65</v>
      </c>
      <c r="L952" s="1">
        <v>6.5</v>
      </c>
      <c r="M952" s="1">
        <v>2.5</v>
      </c>
      <c r="N952" s="6">
        <v>9.9999999999999995E-7</v>
      </c>
      <c r="O952" s="1">
        <f t="shared" si="167"/>
        <v>10.21125621009096</v>
      </c>
      <c r="P952" s="1">
        <f t="shared" si="163"/>
        <v>13.985433799960637</v>
      </c>
      <c r="Q952" s="1">
        <f t="shared" si="164"/>
        <v>12.366913712101798</v>
      </c>
      <c r="R952" s="1">
        <v>126.02909999999994</v>
      </c>
      <c r="S952" s="1" t="e">
        <f t="shared" si="165"/>
        <v>#N/A</v>
      </c>
      <c r="T952" s="1" t="e">
        <v>#N/A</v>
      </c>
    </row>
    <row r="953" spans="1:57" x14ac:dyDescent="0.35">
      <c r="A953" s="1">
        <v>500030.61219999997</v>
      </c>
      <c r="B953" s="1">
        <v>5999998.8030000003</v>
      </c>
      <c r="C953" s="1">
        <v>160.567643641144</v>
      </c>
      <c r="D953" s="1">
        <f t="shared" si="166"/>
        <v>30.634886179975354</v>
      </c>
      <c r="E953" s="1">
        <v>0.01</v>
      </c>
      <c r="F953" s="1">
        <v>0.05</v>
      </c>
      <c r="G953" s="1">
        <v>0.1</v>
      </c>
      <c r="H953" s="1">
        <v>9.81</v>
      </c>
      <c r="I953" s="1">
        <v>2650</v>
      </c>
      <c r="J953" s="1">
        <v>1000</v>
      </c>
      <c r="K953" s="1">
        <v>1.65</v>
      </c>
      <c r="L953" s="1">
        <v>6.5</v>
      </c>
      <c r="M953" s="1">
        <v>2.5</v>
      </c>
      <c r="N953" s="6">
        <v>9.9999999999999995E-7</v>
      </c>
      <c r="O953" s="1">
        <f t="shared" si="167"/>
        <v>10.214935822867286</v>
      </c>
      <c r="P953" s="1">
        <f t="shared" si="163"/>
        <v>10.224042445454263</v>
      </c>
      <c r="Q953" s="1">
        <f t="shared" si="164"/>
        <v>12.104738122707449</v>
      </c>
      <c r="R953" s="1">
        <v>126.02909999999994</v>
      </c>
      <c r="S953" s="1" t="e">
        <f t="shared" si="165"/>
        <v>#N/A</v>
      </c>
      <c r="T953" s="1" t="e">
        <v>#N/A</v>
      </c>
    </row>
    <row r="954" spans="1:57" x14ac:dyDescent="0.35">
      <c r="A954" s="1">
        <v>500040.81630000001</v>
      </c>
      <c r="B954" s="1">
        <v>5999998.2180000003</v>
      </c>
      <c r="C954" s="1">
        <v>160.82291235416201</v>
      </c>
      <c r="D954" s="1">
        <f t="shared" si="166"/>
        <v>40.855741418682364</v>
      </c>
      <c r="E954" s="1">
        <v>0.01</v>
      </c>
      <c r="F954" s="1">
        <v>0.05</v>
      </c>
      <c r="G954" s="1">
        <v>0.1</v>
      </c>
      <c r="H954" s="1">
        <v>9.81</v>
      </c>
      <c r="I954" s="1">
        <v>2650</v>
      </c>
      <c r="J954" s="1">
        <v>1000</v>
      </c>
      <c r="K954" s="1">
        <v>1.65</v>
      </c>
      <c r="L954" s="1">
        <v>6.5</v>
      </c>
      <c r="M954" s="1">
        <v>2.5</v>
      </c>
      <c r="N954" s="6">
        <v>9.9999999999999995E-7</v>
      </c>
      <c r="O954" s="1">
        <f t="shared" si="167"/>
        <v>10.231243785008825</v>
      </c>
      <c r="P954" s="1">
        <f t="shared" si="163"/>
        <v>10.333484931908488</v>
      </c>
      <c r="Q954" s="1">
        <f t="shared" si="164"/>
        <v>10.278763688681376</v>
      </c>
      <c r="R954" s="1">
        <v>126.02909999999994</v>
      </c>
      <c r="S954" s="1" t="e">
        <f t="shared" si="165"/>
        <v>#N/A</v>
      </c>
      <c r="T954" s="1" t="e">
        <v>#N/A</v>
      </c>
    </row>
    <row r="955" spans="1:57" x14ac:dyDescent="0.35">
      <c r="A955" s="1">
        <v>500051.02039999998</v>
      </c>
      <c r="B955" s="1">
        <v>5999997.3420000002</v>
      </c>
      <c r="C955" s="1">
        <v>159.448184007094</v>
      </c>
      <c r="D955" s="1">
        <f t="shared" si="166"/>
        <v>51.097373749993004</v>
      </c>
      <c r="E955" s="1">
        <v>0.01</v>
      </c>
      <c r="F955" s="1">
        <v>0.05</v>
      </c>
      <c r="G955" s="1">
        <v>0.1</v>
      </c>
      <c r="H955" s="1">
        <v>9.81</v>
      </c>
      <c r="I955" s="1">
        <v>2650</v>
      </c>
      <c r="J955" s="1">
        <v>1000</v>
      </c>
      <c r="K955" s="1">
        <v>1.65</v>
      </c>
      <c r="L955" s="1">
        <v>6.5</v>
      </c>
      <c r="M955" s="1">
        <v>2.5</v>
      </c>
      <c r="N955" s="6">
        <v>9.9999999999999995E-7</v>
      </c>
      <c r="O955" s="1">
        <f t="shared" si="167"/>
        <v>10.22297614478725</v>
      </c>
      <c r="P955" s="1">
        <f t="shared" si="163"/>
        <v>11.164078602095582</v>
      </c>
      <c r="Q955" s="1">
        <f t="shared" si="164"/>
        <v>10.748781767002036</v>
      </c>
      <c r="R955" s="1">
        <v>126.02909999999994</v>
      </c>
      <c r="S955" s="1" t="e">
        <f t="shared" si="165"/>
        <v>#N/A</v>
      </c>
      <c r="T955" s="1" t="e">
        <v>#N/A</v>
      </c>
    </row>
    <row r="956" spans="1:57" x14ac:dyDescent="0.35">
      <c r="A956" s="1">
        <v>500061.22450000001</v>
      </c>
      <c r="B956" s="1">
        <v>5999997.2750000004</v>
      </c>
      <c r="C956" s="1">
        <v>163.976815723534</v>
      </c>
      <c r="D956" s="1">
        <f t="shared" si="166"/>
        <v>61.301693708256863</v>
      </c>
      <c r="E956" s="1">
        <v>0.01</v>
      </c>
      <c r="F956" s="1">
        <v>0.05</v>
      </c>
      <c r="G956" s="1">
        <v>0.1</v>
      </c>
      <c r="H956" s="1">
        <v>9.81</v>
      </c>
      <c r="I956" s="1">
        <v>2650</v>
      </c>
      <c r="J956" s="1">
        <v>1000</v>
      </c>
      <c r="K956" s="1">
        <v>1.65</v>
      </c>
      <c r="L956" s="1">
        <v>6.5</v>
      </c>
      <c r="M956" s="1">
        <v>2.5</v>
      </c>
      <c r="N956" s="6">
        <v>9.9999999999999995E-7</v>
      </c>
      <c r="O956" s="1">
        <f t="shared" si="167"/>
        <v>10.209391538632293</v>
      </c>
      <c r="P956" s="1">
        <f t="shared" si="163"/>
        <v>11.034750060361873</v>
      </c>
      <c r="Q956" s="1">
        <f t="shared" si="164"/>
        <v>11.099414331228727</v>
      </c>
      <c r="R956" s="1">
        <v>126.02909999999994</v>
      </c>
      <c r="S956" s="1" t="e">
        <f t="shared" si="165"/>
        <v>#N/A</v>
      </c>
      <c r="T956" s="1" t="e">
        <v>#N/A</v>
      </c>
    </row>
    <row r="957" spans="1:57" x14ac:dyDescent="0.35">
      <c r="A957" s="1">
        <v>500071.42859999998</v>
      </c>
      <c r="B957" s="1">
        <v>5999996.8150000004</v>
      </c>
      <c r="C957" s="1">
        <v>168.15179501512699</v>
      </c>
      <c r="D957" s="1">
        <f t="shared" si="166"/>
        <v>71.516156827257589</v>
      </c>
      <c r="E957" s="1">
        <v>0.01</v>
      </c>
      <c r="F957" s="1">
        <v>0.05</v>
      </c>
      <c r="G957" s="1">
        <v>0.1</v>
      </c>
      <c r="H957" s="1">
        <v>9.81</v>
      </c>
      <c r="I957" s="1">
        <v>2650</v>
      </c>
      <c r="J957" s="1">
        <v>1000</v>
      </c>
      <c r="K957" s="1">
        <v>1.65</v>
      </c>
      <c r="L957" s="1">
        <v>6.5</v>
      </c>
      <c r="M957" s="1">
        <v>2.5</v>
      </c>
      <c r="N957" s="6">
        <v>9.9999999999999995E-7</v>
      </c>
      <c r="O957" s="1">
        <f t="shared" si="167"/>
        <v>10.229976351370027</v>
      </c>
      <c r="P957" s="1">
        <f t="shared" si="163"/>
        <v>11.687505241745082</v>
      </c>
      <c r="Q957" s="1">
        <f t="shared" si="164"/>
        <v>11.361127651053478</v>
      </c>
      <c r="R957" s="1">
        <v>126.02909999999994</v>
      </c>
      <c r="S957" s="1" t="e">
        <f t="shared" si="165"/>
        <v>#N/A</v>
      </c>
      <c r="T957" s="1" t="e">
        <v>#N/A</v>
      </c>
    </row>
    <row r="958" spans="1:57" x14ac:dyDescent="0.35">
      <c r="A958" s="1">
        <v>500081.63270000002</v>
      </c>
      <c r="B958" s="1">
        <v>5999997.7350000003</v>
      </c>
      <c r="C958" s="1">
        <v>162.52794206849799</v>
      </c>
      <c r="D958" s="1">
        <f t="shared" si="166"/>
        <v>81.761646410996917</v>
      </c>
      <c r="E958" s="1">
        <v>0.01</v>
      </c>
      <c r="F958" s="1">
        <v>0.05</v>
      </c>
      <c r="G958" s="1">
        <v>0.1</v>
      </c>
      <c r="H958" s="1">
        <v>9.81</v>
      </c>
      <c r="I958" s="1">
        <v>2650</v>
      </c>
      <c r="J958" s="1">
        <v>1000</v>
      </c>
      <c r="K958" s="1">
        <v>1.65</v>
      </c>
      <c r="L958" s="1">
        <v>6.5</v>
      </c>
      <c r="M958" s="1">
        <v>2.5</v>
      </c>
      <c r="N958" s="6">
        <v>9.9999999999999995E-7</v>
      </c>
      <c r="O958" s="1">
        <f t="shared" si="167"/>
        <v>10.224765396477437</v>
      </c>
      <c r="P958" s="1">
        <f t="shared" si="163"/>
        <v>11.652977208096294</v>
      </c>
      <c r="Q958" s="1">
        <f t="shared" si="164"/>
        <v>11.670241224920687</v>
      </c>
      <c r="R958" s="1">
        <v>126.02909999999994</v>
      </c>
      <c r="S958" s="1" t="e">
        <f t="shared" si="165"/>
        <v>#N/A</v>
      </c>
      <c r="T958" s="1" t="e">
        <v>#N/A</v>
      </c>
    </row>
    <row r="959" spans="1:57" x14ac:dyDescent="0.35">
      <c r="A959" s="1">
        <v>500091.83669999999</v>
      </c>
      <c r="B959" s="1">
        <v>5999997.7640000004</v>
      </c>
      <c r="C959" s="1">
        <v>168.15550111421601</v>
      </c>
      <c r="D959" s="1">
        <f t="shared" si="166"/>
        <v>91.965687620212464</v>
      </c>
      <c r="E959" s="1">
        <v>0.01</v>
      </c>
      <c r="F959" s="1">
        <v>0.05</v>
      </c>
      <c r="G959" s="1">
        <v>0.1</v>
      </c>
      <c r="H959" s="1">
        <v>9.81</v>
      </c>
      <c r="I959" s="1">
        <v>2650</v>
      </c>
      <c r="J959" s="1">
        <v>1000</v>
      </c>
      <c r="K959" s="1">
        <v>1.65</v>
      </c>
      <c r="L959" s="1">
        <v>6.5</v>
      </c>
      <c r="M959" s="1">
        <v>2.5</v>
      </c>
      <c r="N959" s="6">
        <v>9.9999999999999995E-7</v>
      </c>
      <c r="O959" s="1">
        <f t="shared" si="167"/>
        <v>10.204607223431253</v>
      </c>
      <c r="P959" s="1">
        <f t="shared" si="163"/>
        <v>10.499401533865951</v>
      </c>
      <c r="Q959" s="1">
        <f t="shared" si="164"/>
        <v>11.076189370981123</v>
      </c>
      <c r="R959" s="1">
        <v>126.02909999999994</v>
      </c>
      <c r="S959" s="1" t="e">
        <f t="shared" si="165"/>
        <v>#N/A</v>
      </c>
      <c r="T959" s="1" t="e">
        <v>#N/A</v>
      </c>
    </row>
    <row r="960" spans="1:57" x14ac:dyDescent="0.35">
      <c r="A960" s="1">
        <v>500102.04080000002</v>
      </c>
      <c r="B960" s="1">
        <v>5999997.9119999995</v>
      </c>
      <c r="C960" s="1">
        <v>170.62367285843499</v>
      </c>
      <c r="D960" s="1">
        <f t="shared" si="166"/>
        <v>102.17086085785942</v>
      </c>
      <c r="E960" s="1">
        <v>0.01</v>
      </c>
      <c r="F960" s="1">
        <v>0.05</v>
      </c>
      <c r="G960" s="1">
        <v>0.1</v>
      </c>
      <c r="H960" s="1">
        <v>9.81</v>
      </c>
      <c r="I960" s="1">
        <v>2650</v>
      </c>
      <c r="J960" s="1">
        <v>1000</v>
      </c>
      <c r="K960" s="1">
        <v>1.65</v>
      </c>
      <c r="L960" s="1">
        <v>6.5</v>
      </c>
      <c r="M960" s="1">
        <v>2.5</v>
      </c>
      <c r="N960" s="6">
        <v>9.9999999999999995E-7</v>
      </c>
      <c r="O960" s="1">
        <f t="shared" si="167"/>
        <v>10.21006882166494</v>
      </c>
      <c r="P960" s="1">
        <f t="shared" si="163"/>
        <v>10.948230205101877</v>
      </c>
      <c r="Q960" s="1">
        <f t="shared" si="164"/>
        <v>10.723815869483914</v>
      </c>
      <c r="R960" s="1">
        <v>126.02909999999994</v>
      </c>
      <c r="S960" s="1" t="e">
        <f t="shared" si="165"/>
        <v>#N/A</v>
      </c>
      <c r="T960" s="1" t="e">
        <v>#N/A</v>
      </c>
    </row>
    <row r="961" spans="1:20" x14ac:dyDescent="0.35">
      <c r="A961" s="1">
        <v>500112.24489999999</v>
      </c>
      <c r="B961" s="1">
        <v>5999997.4409999996</v>
      </c>
      <c r="C961" s="1">
        <v>174.56299346160199</v>
      </c>
      <c r="D961" s="1">
        <f t="shared" si="166"/>
        <v>112.38582526354234</v>
      </c>
      <c r="E961" s="1">
        <v>0.01</v>
      </c>
      <c r="F961" s="1">
        <v>0.05</v>
      </c>
      <c r="G961" s="1">
        <v>0.1</v>
      </c>
      <c r="H961" s="1">
        <v>9.81</v>
      </c>
      <c r="I961" s="1">
        <v>2650</v>
      </c>
      <c r="J961" s="1">
        <v>1000</v>
      </c>
      <c r="K961" s="1">
        <v>1.65</v>
      </c>
      <c r="L961" s="1">
        <v>6.5</v>
      </c>
      <c r="M961" s="1">
        <v>2.5</v>
      </c>
      <c r="N961" s="6">
        <v>9.9999999999999995E-7</v>
      </c>
      <c r="O961" s="1">
        <f t="shared" si="167"/>
        <v>10.211692861963954</v>
      </c>
      <c r="P961" s="1">
        <f t="shared" si="163"/>
        <v>13.530011313683339</v>
      </c>
      <c r="Q961" s="1">
        <f t="shared" si="164"/>
        <v>12.239120759392609</v>
      </c>
      <c r="R961" s="1">
        <v>126.02909999999994</v>
      </c>
      <c r="S961" s="1" t="e">
        <f t="shared" si="165"/>
        <v>#N/A</v>
      </c>
      <c r="T961" s="1" t="e">
        <v>#N/A</v>
      </c>
    </row>
    <row r="962" spans="1:20" x14ac:dyDescent="0.35">
      <c r="A962" s="1">
        <v>500122.44900000002</v>
      </c>
      <c r="B962" s="1">
        <v>5999997.7379999999</v>
      </c>
      <c r="C962" s="1">
        <v>165.68327835707299</v>
      </c>
      <c r="D962" s="1">
        <f t="shared" si="166"/>
        <v>122.59424658178733</v>
      </c>
      <c r="E962" s="1">
        <v>0.01</v>
      </c>
      <c r="F962" s="1">
        <v>0.05</v>
      </c>
      <c r="G962" s="1">
        <v>0.1</v>
      </c>
      <c r="H962" s="1">
        <v>9.81</v>
      </c>
      <c r="I962" s="1">
        <v>2650</v>
      </c>
      <c r="J962" s="1">
        <v>1000</v>
      </c>
      <c r="K962" s="1">
        <v>1.65</v>
      </c>
      <c r="L962" s="1">
        <v>6.5</v>
      </c>
      <c r="M962" s="1">
        <v>2.5</v>
      </c>
      <c r="N962" s="6">
        <v>9.9999999999999995E-7</v>
      </c>
      <c r="O962" s="1">
        <f t="shared" si="167"/>
        <v>10.212455607463802</v>
      </c>
      <c r="P962" s="1">
        <f t="shared" si="163"/>
        <v>12.917030195420445</v>
      </c>
      <c r="Q962" s="1">
        <f t="shared" si="164"/>
        <v>13.223520754551892</v>
      </c>
      <c r="R962" s="1">
        <v>126.02909999999994</v>
      </c>
      <c r="S962" s="1" t="e">
        <f t="shared" si="165"/>
        <v>#N/A</v>
      </c>
      <c r="T962" s="1" t="e">
        <v>#N/A</v>
      </c>
    </row>
    <row r="963" spans="1:20" x14ac:dyDescent="0.35">
      <c r="A963" s="1">
        <v>500132.6531</v>
      </c>
      <c r="B963" s="1">
        <v>5999997.2350000003</v>
      </c>
      <c r="C963" s="1">
        <v>173.58726489934301</v>
      </c>
      <c r="D963" s="1">
        <f t="shared" si="166"/>
        <v>132.81073647846995</v>
      </c>
      <c r="E963" s="1">
        <v>0.01</v>
      </c>
      <c r="F963" s="1">
        <v>0.05</v>
      </c>
      <c r="G963" s="1">
        <v>0.1</v>
      </c>
      <c r="H963" s="1">
        <v>9.81</v>
      </c>
      <c r="I963" s="1">
        <v>2650</v>
      </c>
      <c r="J963" s="1">
        <v>1000</v>
      </c>
      <c r="K963" s="1">
        <v>1.65</v>
      </c>
      <c r="L963" s="1">
        <v>6.5</v>
      </c>
      <c r="M963" s="1">
        <v>2.5</v>
      </c>
      <c r="N963" s="6">
        <v>9.9999999999999995E-7</v>
      </c>
      <c r="O963" s="1">
        <f t="shared" si="167"/>
        <v>10.225512676353247</v>
      </c>
      <c r="P963" s="1">
        <f t="shared" si="163"/>
        <v>13.492945518552009</v>
      </c>
      <c r="Q963" s="1">
        <f t="shared" si="164"/>
        <v>13.204987856986227</v>
      </c>
      <c r="R963" s="1">
        <v>126.02909999999994</v>
      </c>
      <c r="S963" s="1" t="e">
        <f t="shared" si="165"/>
        <v>#N/A</v>
      </c>
      <c r="T963" s="1" t="e">
        <v>#N/A</v>
      </c>
    </row>
    <row r="964" spans="1:20" x14ac:dyDescent="0.35">
      <c r="A964" s="1">
        <v>500142.85710000002</v>
      </c>
      <c r="B964" s="1">
        <v>5999996.4450000003</v>
      </c>
      <c r="C964" s="1">
        <v>164.79443470844299</v>
      </c>
      <c r="D964" s="1">
        <f t="shared" si="166"/>
        <v>143.04527193449383</v>
      </c>
      <c r="E964" s="1">
        <v>0.01</v>
      </c>
      <c r="F964" s="1">
        <v>0.05</v>
      </c>
      <c r="G964" s="1">
        <v>0.1</v>
      </c>
      <c r="H964" s="1">
        <v>9.81</v>
      </c>
      <c r="I964" s="1">
        <v>2650</v>
      </c>
      <c r="J964" s="1">
        <v>1000</v>
      </c>
      <c r="K964" s="1">
        <v>1.65</v>
      </c>
      <c r="L964" s="1">
        <v>6.5</v>
      </c>
      <c r="M964" s="1">
        <v>2.5</v>
      </c>
      <c r="N964" s="6">
        <v>9.9999999999999995E-7</v>
      </c>
      <c r="O964" s="1">
        <f t="shared" si="167"/>
        <v>10.219577641411078</v>
      </c>
      <c r="P964" s="1">
        <f t="shared" si="163"/>
        <v>10.57052865269438</v>
      </c>
      <c r="Q964" s="1">
        <f t="shared" si="164"/>
        <v>12.031737085623195</v>
      </c>
      <c r="R964" s="1">
        <v>126.02909999999994</v>
      </c>
      <c r="S964" s="1" t="e">
        <f t="shared" si="165"/>
        <v>#N/A</v>
      </c>
      <c r="T964" s="1" t="e">
        <v>#N/A</v>
      </c>
    </row>
    <row r="965" spans="1:20" x14ac:dyDescent="0.35">
      <c r="A965" s="1">
        <v>500153.0612</v>
      </c>
      <c r="B965" s="1">
        <v>5999996.5480000004</v>
      </c>
      <c r="C965" s="1">
        <v>167.55157275140499</v>
      </c>
      <c r="D965" s="1">
        <f t="shared" si="166"/>
        <v>153.2498917612921</v>
      </c>
      <c r="E965" s="1">
        <v>0.01</v>
      </c>
      <c r="F965" s="1">
        <v>0.05</v>
      </c>
      <c r="G965" s="1">
        <v>0.1</v>
      </c>
      <c r="H965" s="1">
        <v>9.81</v>
      </c>
      <c r="I965" s="1">
        <v>2650</v>
      </c>
      <c r="J965" s="1">
        <v>1000</v>
      </c>
      <c r="K965" s="1">
        <v>1.65</v>
      </c>
      <c r="L965" s="1">
        <v>6.5</v>
      </c>
      <c r="M965" s="1">
        <v>2.5</v>
      </c>
      <c r="N965" s="6">
        <v>9.9999999999999995E-7</v>
      </c>
      <c r="O965" s="1">
        <f t="shared" si="167"/>
        <v>10.204940921281036</v>
      </c>
      <c r="P965" s="1">
        <f t="shared" si="163"/>
        <v>10.682627590463349</v>
      </c>
      <c r="Q965" s="1">
        <f t="shared" si="164"/>
        <v>10.626578121578865</v>
      </c>
      <c r="R965" s="1">
        <v>126.02909999999994</v>
      </c>
      <c r="S965" s="1" t="e">
        <f t="shared" si="165"/>
        <v>#N/A</v>
      </c>
      <c r="T965" s="1" t="e">
        <v>#N/A</v>
      </c>
    </row>
    <row r="966" spans="1:20" x14ac:dyDescent="0.35">
      <c r="A966" s="1">
        <v>500163.26530000003</v>
      </c>
      <c r="B966" s="1">
        <v>5999996.7019999996</v>
      </c>
      <c r="C966" s="1">
        <v>164.39385847900201</v>
      </c>
      <c r="D966" s="1">
        <f t="shared" si="166"/>
        <v>163.4551537770559</v>
      </c>
      <c r="E966" s="1">
        <v>0.01</v>
      </c>
      <c r="F966" s="1">
        <v>0.05</v>
      </c>
      <c r="G966" s="1">
        <v>0.1</v>
      </c>
      <c r="H966" s="1">
        <v>9.81</v>
      </c>
      <c r="I966" s="1">
        <v>2650</v>
      </c>
      <c r="J966" s="1">
        <v>1000</v>
      </c>
      <c r="K966" s="1">
        <v>1.65</v>
      </c>
      <c r="L966" s="1">
        <v>6.5</v>
      </c>
      <c r="M966" s="1">
        <v>2.5</v>
      </c>
      <c r="N966" s="6">
        <v>9.9999999999999995E-7</v>
      </c>
      <c r="O966" s="1">
        <f t="shared" si="167"/>
        <v>10.213849082106762</v>
      </c>
      <c r="P966" s="1">
        <f t="shared" si="163"/>
        <v>11.026540308620518</v>
      </c>
      <c r="Q966" s="1">
        <f t="shared" si="164"/>
        <v>10.854583949541933</v>
      </c>
      <c r="R966" s="1">
        <v>126.02909999999994</v>
      </c>
      <c r="S966" s="1" t="e">
        <f t="shared" si="165"/>
        <v>#N/A</v>
      </c>
      <c r="T966" s="1" t="e">
        <v>#N/A</v>
      </c>
    </row>
    <row r="967" spans="1:20" x14ac:dyDescent="0.35">
      <c r="A967" s="1">
        <v>500173.4694</v>
      </c>
      <c r="B967" s="1">
        <v>5999996.0899999999</v>
      </c>
      <c r="C967" s="1">
        <v>168.52742719967199</v>
      </c>
      <c r="D967" s="1">
        <f t="shared" si="166"/>
        <v>173.67758992550563</v>
      </c>
      <c r="E967" s="1">
        <v>0.01</v>
      </c>
      <c r="F967" s="1">
        <v>0.05</v>
      </c>
      <c r="G967" s="1">
        <v>0.1</v>
      </c>
      <c r="H967" s="1">
        <v>9.81</v>
      </c>
      <c r="I967" s="1">
        <v>2650</v>
      </c>
      <c r="J967" s="1">
        <v>1000</v>
      </c>
      <c r="K967" s="1">
        <v>1.65</v>
      </c>
      <c r="L967" s="1">
        <v>6.5</v>
      </c>
      <c r="M967" s="1">
        <v>2.5</v>
      </c>
      <c r="N967" s="6">
        <v>9.9999999999999995E-7</v>
      </c>
      <c r="O967" s="1">
        <f t="shared" si="167"/>
        <v>10.214988293625822</v>
      </c>
      <c r="P967" s="1">
        <f t="shared" si="163"/>
        <v>10.632479456336906</v>
      </c>
      <c r="Q967" s="1">
        <f t="shared" si="164"/>
        <v>10.829509882478712</v>
      </c>
      <c r="R967" s="1">
        <v>126.02909999999994</v>
      </c>
      <c r="S967" s="1" t="e">
        <f t="shared" si="165"/>
        <v>#N/A</v>
      </c>
      <c r="T967" s="1" t="e">
        <v>#N/A</v>
      </c>
    </row>
    <row r="968" spans="1:20" x14ac:dyDescent="0.35">
      <c r="A968" s="1">
        <v>500183.67349999998</v>
      </c>
      <c r="B968" s="1">
        <v>5999996.3550000004</v>
      </c>
      <c r="C968" s="1">
        <v>165.55156806663999</v>
      </c>
      <c r="D968" s="1">
        <f t="shared" si="166"/>
        <v>183.88513036430754</v>
      </c>
      <c r="E968" s="1">
        <v>0.01</v>
      </c>
      <c r="F968" s="1">
        <v>0.05</v>
      </c>
      <c r="G968" s="1">
        <v>0.1</v>
      </c>
      <c r="H968" s="1">
        <v>9.81</v>
      </c>
      <c r="I968" s="1">
        <v>2650</v>
      </c>
      <c r="J968" s="1">
        <v>1000</v>
      </c>
      <c r="K968" s="1">
        <v>1.65</v>
      </c>
      <c r="L968" s="1">
        <v>6.5</v>
      </c>
      <c r="M968" s="1">
        <v>2.5</v>
      </c>
      <c r="N968" s="6">
        <v>9.9999999999999995E-7</v>
      </c>
      <c r="O968" s="1">
        <f t="shared" si="167"/>
        <v>10.210285318026777</v>
      </c>
      <c r="P968" s="1">
        <f t="shared" si="163"/>
        <v>10.217153370786205</v>
      </c>
      <c r="Q968" s="1">
        <f t="shared" si="164"/>
        <v>10.424816413561555</v>
      </c>
      <c r="R968" s="1">
        <v>126.02909999999994</v>
      </c>
      <c r="S968" s="1" t="e">
        <f t="shared" si="165"/>
        <v>#N/A</v>
      </c>
      <c r="T968" s="1" t="e">
        <v>#N/A</v>
      </c>
    </row>
    <row r="969" spans="1:20" x14ac:dyDescent="0.35">
      <c r="A969" s="1">
        <v>500193.87760000001</v>
      </c>
      <c r="B969" s="1">
        <v>5999996.7819999997</v>
      </c>
      <c r="C969" s="1">
        <v>165.84180450851801</v>
      </c>
      <c r="D969" s="1">
        <f t="shared" si="166"/>
        <v>194.09816056155918</v>
      </c>
      <c r="E969" s="1">
        <v>0.01</v>
      </c>
      <c r="F969" s="1">
        <v>0.05</v>
      </c>
      <c r="G969" s="1">
        <v>0.1</v>
      </c>
      <c r="H969" s="1">
        <v>9.81</v>
      </c>
      <c r="I969" s="1">
        <v>2650</v>
      </c>
      <c r="J969" s="1">
        <v>1000</v>
      </c>
      <c r="K969" s="1">
        <v>1.65</v>
      </c>
      <c r="L969" s="1">
        <v>6.5</v>
      </c>
      <c r="M969" s="1">
        <v>2.5</v>
      </c>
      <c r="N969" s="6">
        <v>9.9999999999999995E-7</v>
      </c>
      <c r="O969" s="1">
        <f t="shared" si="167"/>
        <v>10.225732250662787</v>
      </c>
      <c r="P969" s="1">
        <f t="shared" si="163"/>
        <v>11.805317568883225</v>
      </c>
      <c r="Q969" s="1">
        <f t="shared" si="164"/>
        <v>11.011235469834716</v>
      </c>
      <c r="R969" s="1">
        <v>126.02909999999994</v>
      </c>
      <c r="S969" s="1" t="e">
        <f t="shared" si="165"/>
        <v>#N/A</v>
      </c>
      <c r="T969" s="1" t="e">
        <v>#N/A</v>
      </c>
    </row>
    <row r="970" spans="1:20" x14ac:dyDescent="0.35">
      <c r="A970" s="1">
        <v>500204.08159999998</v>
      </c>
      <c r="B970" s="1">
        <v>5999995.943</v>
      </c>
      <c r="C970" s="1">
        <v>159.96473160584401</v>
      </c>
      <c r="D970" s="1">
        <f t="shared" si="166"/>
        <v>204.33659486563312</v>
      </c>
      <c r="E970" s="1">
        <v>0.01</v>
      </c>
      <c r="F970" s="1">
        <v>0.05</v>
      </c>
      <c r="G970" s="1">
        <v>0.1</v>
      </c>
      <c r="H970" s="1">
        <v>9.81</v>
      </c>
      <c r="I970" s="1">
        <v>2650</v>
      </c>
      <c r="J970" s="1">
        <v>1000</v>
      </c>
      <c r="K970" s="1">
        <v>1.65</v>
      </c>
      <c r="L970" s="1">
        <v>6.5</v>
      </c>
      <c r="M970" s="1">
        <v>2.5</v>
      </c>
      <c r="N970" s="6">
        <v>9.9999999999999995E-7</v>
      </c>
      <c r="O970" s="1">
        <f t="shared" si="167"/>
        <v>10.222474465035148</v>
      </c>
      <c r="P970" s="1">
        <f t="shared" si="163"/>
        <v>10.510110351296964</v>
      </c>
      <c r="Q970" s="1">
        <f t="shared" si="164"/>
        <v>11.157713960090096</v>
      </c>
      <c r="R970" s="1">
        <v>126.02909999999994</v>
      </c>
      <c r="S970" s="1" t="e">
        <f t="shared" si="165"/>
        <v>#N/A</v>
      </c>
      <c r="T970" s="1" t="e">
        <v>#N/A</v>
      </c>
    </row>
    <row r="971" spans="1:20" x14ac:dyDescent="0.35">
      <c r="A971" s="1">
        <v>500214.28570000001</v>
      </c>
      <c r="B971" s="1">
        <v>5999995.7209999999</v>
      </c>
      <c r="C971" s="1">
        <v>162.47261493362501</v>
      </c>
      <c r="D971" s="1">
        <f t="shared" si="166"/>
        <v>214.54310949162948</v>
      </c>
      <c r="E971" s="1">
        <v>0.01</v>
      </c>
      <c r="F971" s="1">
        <v>0.05</v>
      </c>
      <c r="G971" s="1">
        <v>0.1</v>
      </c>
      <c r="H971" s="1">
        <v>9.81</v>
      </c>
      <c r="I971" s="1">
        <v>2650</v>
      </c>
      <c r="J971" s="1">
        <v>1000</v>
      </c>
      <c r="K971" s="1">
        <v>1.65</v>
      </c>
      <c r="L971" s="1">
        <v>6.5</v>
      </c>
      <c r="M971" s="1">
        <v>2.5</v>
      </c>
      <c r="N971" s="6">
        <v>9.9999999999999995E-7</v>
      </c>
      <c r="O971" s="1">
        <f t="shared" si="167"/>
        <v>10.209668499185454</v>
      </c>
      <c r="P971" s="1">
        <f t="shared" si="163"/>
        <v>13.932835838967597</v>
      </c>
      <c r="Q971" s="1">
        <f t="shared" si="164"/>
        <v>12.22147309513228</v>
      </c>
      <c r="R971" s="1">
        <v>126.02909999999994</v>
      </c>
      <c r="S971" s="1" t="e">
        <f t="shared" si="165"/>
        <v>#N/A</v>
      </c>
      <c r="T971" s="1" t="e">
        <v>#N/A</v>
      </c>
    </row>
    <row r="972" spans="1:20" x14ac:dyDescent="0.35">
      <c r="A972" s="1">
        <v>500224.48979999998</v>
      </c>
      <c r="B972" s="1">
        <v>5999996.1430000002</v>
      </c>
      <c r="C972" s="1">
        <v>152.99515885586101</v>
      </c>
      <c r="D972" s="1">
        <f t="shared" si="166"/>
        <v>224.75593186400403</v>
      </c>
      <c r="E972" s="1">
        <v>0.01</v>
      </c>
      <c r="F972" s="1">
        <v>0.05</v>
      </c>
      <c r="G972" s="1">
        <v>0.1</v>
      </c>
      <c r="H972" s="1">
        <v>9.81</v>
      </c>
      <c r="I972" s="1">
        <v>2650</v>
      </c>
      <c r="J972" s="1">
        <v>1000</v>
      </c>
      <c r="K972" s="1">
        <v>1.65</v>
      </c>
      <c r="L972" s="1">
        <v>6.5</v>
      </c>
      <c r="M972" s="1">
        <v>2.5</v>
      </c>
      <c r="N972" s="6">
        <v>9.9999999999999995E-7</v>
      </c>
      <c r="O972" s="1">
        <f t="shared" si="167"/>
        <v>10.211706300347956</v>
      </c>
      <c r="P972" s="1">
        <f t="shared" si="163"/>
        <v>10.301820481574744</v>
      </c>
      <c r="Q972" s="1">
        <f t="shared" si="164"/>
        <v>12.117328160271171</v>
      </c>
      <c r="R972" s="1">
        <v>126.02909999999994</v>
      </c>
      <c r="S972" s="1" t="e">
        <f t="shared" si="165"/>
        <v>#N/A</v>
      </c>
      <c r="T972" s="1" t="e">
        <v>#N/A</v>
      </c>
    </row>
    <row r="973" spans="1:20" x14ac:dyDescent="0.35">
      <c r="A973" s="1">
        <v>500234.69390000001</v>
      </c>
      <c r="B973" s="1">
        <v>5999996.5070000002</v>
      </c>
      <c r="C973" s="1">
        <v>151.627185016966</v>
      </c>
      <c r="D973" s="1">
        <f t="shared" si="166"/>
        <v>234.96652209232539</v>
      </c>
      <c r="E973" s="1">
        <v>0.01</v>
      </c>
      <c r="F973" s="1">
        <v>0.05</v>
      </c>
      <c r="G973" s="1">
        <v>0.1</v>
      </c>
      <c r="H973" s="1">
        <v>9.81</v>
      </c>
      <c r="I973" s="1">
        <v>2650</v>
      </c>
      <c r="J973" s="1">
        <v>1000</v>
      </c>
      <c r="K973" s="1">
        <v>1.65</v>
      </c>
      <c r="L973" s="1">
        <v>6.5</v>
      </c>
      <c r="M973" s="1">
        <v>2.5</v>
      </c>
      <c r="N973" s="6">
        <v>9.9999999999999995E-7</v>
      </c>
      <c r="O973" s="1">
        <f t="shared" si="167"/>
        <v>10.212172653557417</v>
      </c>
      <c r="P973" s="1">
        <f t="shared" si="163"/>
        <v>11.089044194999135</v>
      </c>
      <c r="Q973" s="1">
        <f t="shared" si="164"/>
        <v>10.695432338286938</v>
      </c>
      <c r="R973" s="1">
        <v>126.02909999999994</v>
      </c>
      <c r="S973" s="1" t="e">
        <f t="shared" si="165"/>
        <v>#N/A</v>
      </c>
      <c r="T973" s="1" t="e">
        <v>#N/A</v>
      </c>
    </row>
    <row r="974" spans="1:20" x14ac:dyDescent="0.35">
      <c r="A974" s="1">
        <v>500244.89799999999</v>
      </c>
      <c r="B974" s="1">
        <v>5999996.9510000004</v>
      </c>
      <c r="C974" s="1">
        <v>155.94529899752101</v>
      </c>
      <c r="D974" s="1">
        <f t="shared" si="166"/>
        <v>245.18027717111886</v>
      </c>
      <c r="E974" s="1">
        <v>0.01</v>
      </c>
      <c r="F974" s="1">
        <v>0.05</v>
      </c>
      <c r="G974" s="1">
        <v>0.1</v>
      </c>
      <c r="H974" s="1">
        <v>9.81</v>
      </c>
      <c r="I974" s="1">
        <v>2650</v>
      </c>
      <c r="J974" s="1">
        <v>1000</v>
      </c>
      <c r="K974" s="1">
        <v>1.65</v>
      </c>
      <c r="L974" s="1">
        <v>6.5</v>
      </c>
      <c r="M974" s="1">
        <v>2.5</v>
      </c>
      <c r="N974" s="6">
        <v>9.9999999999999995E-7</v>
      </c>
      <c r="O974" s="1">
        <f t="shared" si="167"/>
        <v>10.228334363400478</v>
      </c>
      <c r="P974" s="1">
        <f t="shared" si="163"/>
        <v>11.738479864242503</v>
      </c>
      <c r="Q974" s="1">
        <f t="shared" si="164"/>
        <v>11.41376202962082</v>
      </c>
      <c r="R974" s="1">
        <v>126.02909999999994</v>
      </c>
      <c r="S974" s="1" t="e">
        <f t="shared" si="165"/>
        <v>#N/A</v>
      </c>
      <c r="T974" s="1" t="e">
        <v>#N/A</v>
      </c>
    </row>
    <row r="975" spans="1:20" x14ac:dyDescent="0.35">
      <c r="A975" s="1">
        <v>500255.10200000001</v>
      </c>
      <c r="B975" s="1">
        <v>5999997.8430000003</v>
      </c>
      <c r="C975" s="1">
        <v>150.21165883417899</v>
      </c>
      <c r="D975" s="1">
        <f t="shared" si="166"/>
        <v>255.42319081912635</v>
      </c>
      <c r="E975" s="1">
        <v>0.01</v>
      </c>
      <c r="F975" s="1">
        <v>0.05</v>
      </c>
      <c r="G975" s="1">
        <v>0.1</v>
      </c>
      <c r="H975" s="1">
        <v>9.81</v>
      </c>
      <c r="I975" s="1">
        <v>2650</v>
      </c>
      <c r="J975" s="1">
        <v>1000</v>
      </c>
      <c r="K975" s="1">
        <v>1.65</v>
      </c>
      <c r="L975" s="1">
        <v>6.5</v>
      </c>
      <c r="M975" s="1">
        <v>2.5</v>
      </c>
      <c r="N975" s="6">
        <v>9.9999999999999995E-7</v>
      </c>
      <c r="O975" s="1">
        <f t="shared" si="167"/>
        <v>10.228247812702051</v>
      </c>
      <c r="P975" s="1">
        <f t="shared" si="163"/>
        <v>10.415569048554094</v>
      </c>
      <c r="Q975" s="1">
        <f t="shared" si="164"/>
        <v>11.077024456398298</v>
      </c>
      <c r="R975" s="1">
        <v>126.02909999999994</v>
      </c>
      <c r="S975" s="1" t="e">
        <f t="shared" si="165"/>
        <v>#N/A</v>
      </c>
      <c r="T975" s="1" t="e">
        <v>#N/A</v>
      </c>
    </row>
    <row r="976" spans="1:20" x14ac:dyDescent="0.35">
      <c r="A976" s="1">
        <v>500265.30609999999</v>
      </c>
      <c r="B976" s="1">
        <v>5999998.2829999998</v>
      </c>
      <c r="C976" s="1">
        <v>148.17037938339399</v>
      </c>
      <c r="D976" s="1">
        <f t="shared" si="166"/>
        <v>265.63677279652296</v>
      </c>
      <c r="E976" s="1">
        <v>0.01</v>
      </c>
      <c r="F976" s="1">
        <v>0.05</v>
      </c>
      <c r="G976" s="1">
        <v>0.1</v>
      </c>
      <c r="H976" s="1">
        <v>9.81</v>
      </c>
      <c r="I976" s="1">
        <v>2650</v>
      </c>
      <c r="J976" s="1">
        <v>1000</v>
      </c>
      <c r="K976" s="1">
        <v>1.65</v>
      </c>
      <c r="L976" s="1">
        <v>6.5</v>
      </c>
      <c r="M976" s="1">
        <v>2.5</v>
      </c>
      <c r="N976" s="6">
        <v>9.9999999999999995E-7</v>
      </c>
      <c r="O976" s="1">
        <f t="shared" si="167"/>
        <v>10.23198332194535</v>
      </c>
      <c r="P976" s="1">
        <f t="shared" si="163"/>
        <v>10.753746192038282</v>
      </c>
      <c r="Q976" s="1">
        <f t="shared" si="164"/>
        <v>10.584657620296188</v>
      </c>
      <c r="R976" s="1">
        <v>126.02909999999994</v>
      </c>
      <c r="S976" s="1" t="e">
        <f t="shared" si="165"/>
        <v>#N/A</v>
      </c>
      <c r="T976" s="1" t="e">
        <v>#N/A</v>
      </c>
    </row>
    <row r="977" spans="1:20" x14ac:dyDescent="0.35">
      <c r="A977" s="1">
        <v>500275.51020000002</v>
      </c>
      <c r="B977" s="1">
        <v>5999997.3099999996</v>
      </c>
      <c r="C977" s="1">
        <v>144.91881493659599</v>
      </c>
      <c r="D977" s="1">
        <f t="shared" si="166"/>
        <v>275.88715746301705</v>
      </c>
      <c r="E977" s="1">
        <v>0.01</v>
      </c>
      <c r="F977" s="1">
        <v>0.05</v>
      </c>
      <c r="G977" s="1">
        <v>0.1</v>
      </c>
      <c r="H977" s="1">
        <v>9.81</v>
      </c>
      <c r="I977" s="1">
        <v>2650</v>
      </c>
      <c r="J977" s="1">
        <v>1000</v>
      </c>
      <c r="K977" s="1">
        <v>1.65</v>
      </c>
      <c r="L977" s="1">
        <v>6.5</v>
      </c>
      <c r="M977" s="1">
        <v>2.5</v>
      </c>
      <c r="N977" s="6">
        <v>9.9999999999999995E-7</v>
      </c>
      <c r="O977" s="1">
        <f t="shared" si="167"/>
        <v>10.247668609691146</v>
      </c>
      <c r="P977" s="1">
        <f t="shared" si="163"/>
        <v>10.247801935839309</v>
      </c>
      <c r="Q977" s="1">
        <f t="shared" si="164"/>
        <v>10.500774063938795</v>
      </c>
      <c r="R977" s="1">
        <v>126.02909999999994</v>
      </c>
      <c r="S977" s="1" t="e">
        <f t="shared" si="165"/>
        <v>#N/A</v>
      </c>
      <c r="T977" s="1" t="e">
        <v>#N/A</v>
      </c>
    </row>
    <row r="978" spans="1:20" x14ac:dyDescent="0.35">
      <c r="A978" s="1">
        <v>500285.71429999999</v>
      </c>
      <c r="B978" s="1">
        <v>5999998.2240000004</v>
      </c>
      <c r="C978" s="1">
        <v>144.67717117967001</v>
      </c>
      <c r="D978" s="1">
        <f t="shared" si="166"/>
        <v>286.13211001590525</v>
      </c>
      <c r="E978" s="1">
        <v>0.01</v>
      </c>
      <c r="F978" s="1">
        <v>0.05</v>
      </c>
      <c r="G978" s="1">
        <v>0.1</v>
      </c>
      <c r="H978" s="1">
        <v>9.81</v>
      </c>
      <c r="I978" s="1">
        <v>2650</v>
      </c>
      <c r="J978" s="1">
        <v>1000</v>
      </c>
      <c r="K978" s="1">
        <v>1.65</v>
      </c>
      <c r="L978" s="1">
        <v>6.5</v>
      </c>
      <c r="M978" s="1">
        <v>2.5</v>
      </c>
      <c r="N978" s="6">
        <v>9.9999999999999995E-7</v>
      </c>
      <c r="O978" s="1">
        <f t="shared" si="167"/>
        <v>10.245310960713113</v>
      </c>
      <c r="P978" s="1">
        <f t="shared" si="163"/>
        <v>10.773986209295044</v>
      </c>
      <c r="Q978" s="1">
        <f t="shared" si="164"/>
        <v>10.510894072567176</v>
      </c>
      <c r="R978" s="1">
        <v>126.02909999999994</v>
      </c>
      <c r="S978" s="1" t="e">
        <f t="shared" si="165"/>
        <v>#N/A</v>
      </c>
      <c r="T978" s="1" t="e">
        <v>#N/A</v>
      </c>
    </row>
    <row r="979" spans="1:20" x14ac:dyDescent="0.35">
      <c r="A979" s="1">
        <v>500295.91840000002</v>
      </c>
      <c r="B979" s="1">
        <v>5999999.1459999997</v>
      </c>
      <c r="C979" s="1">
        <v>141.344748933213</v>
      </c>
      <c r="D979" s="1">
        <f t="shared" si="166"/>
        <v>296.37777938444327</v>
      </c>
      <c r="E979" s="1">
        <v>0.01</v>
      </c>
      <c r="F979" s="1">
        <v>0.05</v>
      </c>
      <c r="G979" s="1">
        <v>0.1</v>
      </c>
      <c r="H979" s="1">
        <v>9.81</v>
      </c>
      <c r="I979" s="1">
        <v>2650</v>
      </c>
      <c r="J979" s="1">
        <v>1000</v>
      </c>
      <c r="K979" s="1">
        <v>1.65</v>
      </c>
      <c r="L979" s="1">
        <v>6.5</v>
      </c>
      <c r="M979" s="1">
        <v>2.5</v>
      </c>
      <c r="N979" s="6">
        <v>9.9999999999999995E-7</v>
      </c>
      <c r="O979" s="1">
        <f t="shared" si="167"/>
        <v>10.233098302678485</v>
      </c>
      <c r="P979" s="1">
        <f t="shared" si="163"/>
        <v>10.320041754295742</v>
      </c>
      <c r="Q979" s="1">
        <f t="shared" si="164"/>
        <v>10.547013981795393</v>
      </c>
      <c r="R979" s="1">
        <v>126.02909999999994</v>
      </c>
      <c r="S979" s="1" t="e">
        <f t="shared" si="165"/>
        <v>#N/A</v>
      </c>
      <c r="T979" s="1" t="e">
        <v>#N/A</v>
      </c>
    </row>
    <row r="980" spans="1:20" x14ac:dyDescent="0.35">
      <c r="A980" s="1">
        <v>500306.12239999999</v>
      </c>
      <c r="B980" s="1">
        <v>5999998.5650000004</v>
      </c>
      <c r="C980" s="1">
        <v>139.91503399244701</v>
      </c>
      <c r="D980" s="1">
        <f t="shared" si="166"/>
        <v>306.59830662126222</v>
      </c>
      <c r="E980" s="1">
        <v>0.01</v>
      </c>
      <c r="F980" s="1">
        <v>0.05</v>
      </c>
      <c r="G980" s="1">
        <v>0.1</v>
      </c>
      <c r="H980" s="1">
        <v>9.81</v>
      </c>
      <c r="I980" s="1">
        <v>2650</v>
      </c>
      <c r="J980" s="1">
        <v>1000</v>
      </c>
      <c r="K980" s="1">
        <v>1.65</v>
      </c>
      <c r="L980" s="1">
        <v>6.5</v>
      </c>
      <c r="M980" s="1">
        <v>2.5</v>
      </c>
      <c r="N980" s="6">
        <v>9.9999999999999995E-7</v>
      </c>
      <c r="O980" s="1">
        <f t="shared" si="167"/>
        <v>10.221874954638196</v>
      </c>
      <c r="P980" s="1">
        <f t="shared" si="163"/>
        <v>13.893706980070347</v>
      </c>
      <c r="Q980" s="1">
        <f t="shared" si="164"/>
        <v>12.106874367183044</v>
      </c>
      <c r="R980" s="1">
        <v>126.02909999999994</v>
      </c>
      <c r="S980" s="1" t="e">
        <f t="shared" si="165"/>
        <v>#N/A</v>
      </c>
      <c r="T980" s="1" t="e">
        <v>#N/A</v>
      </c>
    </row>
    <row r="981" spans="1:20" x14ac:dyDescent="0.35">
      <c r="A981" s="1">
        <v>500316.32650000002</v>
      </c>
      <c r="B981" s="1">
        <v>5999999.1900000004</v>
      </c>
      <c r="C981" s="1">
        <v>130.506484059678</v>
      </c>
      <c r="D981" s="1">
        <f t="shared" si="166"/>
        <v>316.82152929371966</v>
      </c>
      <c r="E981" s="1">
        <v>0.01</v>
      </c>
      <c r="F981" s="1">
        <v>0.05</v>
      </c>
      <c r="G981" s="1">
        <v>0.1</v>
      </c>
      <c r="H981" s="1">
        <v>9.81</v>
      </c>
      <c r="I981" s="1">
        <v>2650</v>
      </c>
      <c r="J981" s="1">
        <v>1000</v>
      </c>
      <c r="K981" s="1">
        <v>1.65</v>
      </c>
      <c r="L981" s="1">
        <v>6.5</v>
      </c>
      <c r="M981" s="1">
        <v>2.5</v>
      </c>
      <c r="N981" s="6">
        <v>9.9999999999999995E-7</v>
      </c>
      <c r="O981" s="1">
        <f t="shared" si="167"/>
        <v>10.235493697492075</v>
      </c>
      <c r="P981" s="1">
        <f t="shared" si="163"/>
        <v>10.418299398725649</v>
      </c>
      <c r="Q981" s="1">
        <f t="shared" si="164"/>
        <v>12.156003189397998</v>
      </c>
      <c r="R981" s="1">
        <v>126.02909999999994</v>
      </c>
      <c r="S981" s="1" t="e">
        <f t="shared" si="165"/>
        <v>#N/A</v>
      </c>
      <c r="T981" s="1" t="e">
        <v>#N/A</v>
      </c>
    </row>
    <row r="982" spans="1:20" x14ac:dyDescent="0.35">
      <c r="A982" s="1">
        <v>500326.5306</v>
      </c>
      <c r="B982" s="1">
        <v>6000000.1349999998</v>
      </c>
      <c r="C982" s="1">
        <v>128.62917733108401</v>
      </c>
      <c r="D982" s="1">
        <f t="shared" si="166"/>
        <v>327.06929401624637</v>
      </c>
      <c r="E982" s="1">
        <v>0.01</v>
      </c>
      <c r="F982" s="1">
        <v>0.05</v>
      </c>
      <c r="G982" s="1">
        <v>0.1</v>
      </c>
      <c r="H982" s="1">
        <v>9.81</v>
      </c>
      <c r="I982" s="1">
        <v>2650</v>
      </c>
      <c r="J982" s="1">
        <v>1000</v>
      </c>
      <c r="K982" s="1">
        <v>1.65</v>
      </c>
      <c r="L982" s="1">
        <v>6.5</v>
      </c>
      <c r="M982" s="1">
        <v>2.5</v>
      </c>
      <c r="N982" s="6">
        <v>9.9999999999999995E-7</v>
      </c>
      <c r="O982" s="1">
        <f t="shared" si="167"/>
        <v>10.241238558797846</v>
      </c>
      <c r="P982" s="1">
        <f t="shared" ref="P982:P998" si="168">SQRT((D983 - D982)^2 + (C983 - C982)^2)</f>
        <v>10.787841757464356</v>
      </c>
      <c r="Q982" s="1">
        <f t="shared" ref="Q982:Q998" si="169">IF(ROW()=950, P982/2, (P982 + P981)/2)</f>
        <v>10.603070578095004</v>
      </c>
      <c r="R982" s="1">
        <v>126.02909999999994</v>
      </c>
      <c r="S982" s="1" t="e">
        <f t="shared" ref="S982:S998" si="170">IF(R982 - C982 &lt; 0, NA(), R982 - C982)</f>
        <v>#N/A</v>
      </c>
      <c r="T982" s="1" t="e">
        <v>#N/A</v>
      </c>
    </row>
    <row r="983" spans="1:20" x14ac:dyDescent="0.35">
      <c r="A983" s="1">
        <v>500336.73469999997</v>
      </c>
      <c r="B983" s="1">
        <v>5999999.3439999996</v>
      </c>
      <c r="C983" s="1">
        <v>132.03919081702699</v>
      </c>
      <c r="D983" s="1">
        <f t="shared" ref="D983:D999" si="171">D982 + SQRT((A983 - A982)^2 + (B983 - B982)^2)</f>
        <v>337.30400641131536</v>
      </c>
      <c r="E983" s="1">
        <v>0.01</v>
      </c>
      <c r="F983" s="1">
        <v>0.05</v>
      </c>
      <c r="G983" s="1">
        <v>0.1</v>
      </c>
      <c r="H983" s="1">
        <v>9.81</v>
      </c>
      <c r="I983" s="1">
        <v>2650</v>
      </c>
      <c r="J983" s="1">
        <v>1000</v>
      </c>
      <c r="K983" s="1">
        <v>1.65</v>
      </c>
      <c r="L983" s="1">
        <v>6.5</v>
      </c>
      <c r="M983" s="1">
        <v>2.5</v>
      </c>
      <c r="N983" s="6">
        <v>9.9999999999999995E-7</v>
      </c>
      <c r="O983" s="1">
        <f t="shared" si="167"/>
        <v>10.233949248828765</v>
      </c>
      <c r="P983" s="1">
        <f t="shared" si="168"/>
        <v>11.755266476054745</v>
      </c>
      <c r="Q983" s="1">
        <f t="shared" si="169"/>
        <v>11.27155411675955</v>
      </c>
      <c r="R983" s="1">
        <v>126.02909999999994</v>
      </c>
      <c r="S983" s="1" t="e">
        <f t="shared" si="170"/>
        <v>#N/A</v>
      </c>
      <c r="T983" s="1" t="e">
        <v>#N/A</v>
      </c>
    </row>
    <row r="984" spans="1:20" x14ac:dyDescent="0.35">
      <c r="A984" s="1">
        <v>500346.9388</v>
      </c>
      <c r="B984" s="1">
        <v>5999998.5729999999</v>
      </c>
      <c r="C984" s="1">
        <v>126.254020801129</v>
      </c>
      <c r="D984" s="1">
        <f t="shared" si="171"/>
        <v>347.5371925139039</v>
      </c>
      <c r="E984" s="1">
        <v>0.01</v>
      </c>
      <c r="F984" s="1">
        <v>0.05</v>
      </c>
      <c r="G984" s="1">
        <v>0.1</v>
      </c>
      <c r="H984" s="1">
        <v>9.81</v>
      </c>
      <c r="I984" s="1">
        <v>2650</v>
      </c>
      <c r="J984" s="1">
        <v>1000</v>
      </c>
      <c r="K984" s="1">
        <v>1.65</v>
      </c>
      <c r="L984" s="1">
        <v>6.5</v>
      </c>
      <c r="M984" s="1">
        <v>2.5</v>
      </c>
      <c r="N984" s="6">
        <v>9.9999999999999995E-7</v>
      </c>
      <c r="O984" s="1">
        <f t="shared" si="167"/>
        <v>10.232552707337419</v>
      </c>
      <c r="P984" s="1">
        <f t="shared" si="168"/>
        <v>11.350607222214496</v>
      </c>
      <c r="Q984" s="1">
        <f t="shared" si="169"/>
        <v>11.552936849134621</v>
      </c>
      <c r="R984" s="1">
        <v>126.02909999999994</v>
      </c>
      <c r="S984" s="1" t="e">
        <f t="shared" si="170"/>
        <v>#N/A</v>
      </c>
      <c r="T984" s="1" t="e">
        <v>#N/A</v>
      </c>
    </row>
    <row r="985" spans="1:20" x14ac:dyDescent="0.35">
      <c r="A985" s="1">
        <v>500357.14289999998</v>
      </c>
      <c r="B985" s="1">
        <v>5999999.3269999996</v>
      </c>
      <c r="C985" s="1">
        <v>131.167686591956</v>
      </c>
      <c r="D985" s="1">
        <f t="shared" si="171"/>
        <v>357.76911182599019</v>
      </c>
      <c r="E985" s="1">
        <v>0.01</v>
      </c>
      <c r="F985" s="1">
        <v>0.05</v>
      </c>
      <c r="G985" s="1">
        <v>0.1</v>
      </c>
      <c r="H985" s="1">
        <v>9.81</v>
      </c>
      <c r="I985" s="1">
        <v>2650</v>
      </c>
      <c r="J985" s="1">
        <v>1000</v>
      </c>
      <c r="K985" s="1">
        <v>1.65</v>
      </c>
      <c r="L985" s="1">
        <v>6.5</v>
      </c>
      <c r="M985" s="1">
        <v>2.5</v>
      </c>
      <c r="N985" s="6">
        <v>9.9999999999999995E-7</v>
      </c>
      <c r="O985" s="1">
        <f t="shared" si="167"/>
        <v>10.223838765829584</v>
      </c>
      <c r="P985" s="1">
        <f t="shared" si="168"/>
        <v>10.479732415606993</v>
      </c>
      <c r="Q985" s="1">
        <f t="shared" si="169"/>
        <v>10.915169818910744</v>
      </c>
      <c r="R985" s="1">
        <v>126.02909999999994</v>
      </c>
      <c r="S985" s="1" t="e">
        <f t="shared" si="170"/>
        <v>#N/A</v>
      </c>
      <c r="T985" s="1" t="e">
        <v>#N/A</v>
      </c>
    </row>
    <row r="986" spans="1:20" x14ac:dyDescent="0.35">
      <c r="A986" s="1">
        <v>500367.3469</v>
      </c>
      <c r="B986" s="1">
        <v>5999999.8169999998</v>
      </c>
      <c r="C986" s="1">
        <v>128.83036429882799</v>
      </c>
      <c r="D986" s="1">
        <f t="shared" si="171"/>
        <v>367.98487004556307</v>
      </c>
      <c r="E986" s="1">
        <v>0.01</v>
      </c>
      <c r="F986" s="1">
        <v>0.05</v>
      </c>
      <c r="G986" s="1">
        <v>0.1</v>
      </c>
      <c r="H986" s="1">
        <v>9.81</v>
      </c>
      <c r="I986" s="1">
        <v>2650</v>
      </c>
      <c r="J986" s="1">
        <v>1000</v>
      </c>
      <c r="K986" s="1">
        <v>1.65</v>
      </c>
      <c r="L986" s="1">
        <v>6.5</v>
      </c>
      <c r="M986" s="1">
        <v>2.5</v>
      </c>
      <c r="N986" s="6">
        <v>9.9999999999999995E-7</v>
      </c>
      <c r="O986" s="1">
        <f t="shared" si="167"/>
        <v>10.224509856901079</v>
      </c>
      <c r="P986" s="1">
        <f t="shared" si="168"/>
        <v>10.91645406051112</v>
      </c>
      <c r="Q986" s="1">
        <f t="shared" si="169"/>
        <v>10.698093238059055</v>
      </c>
      <c r="R986" s="1">
        <v>126.02909999999994</v>
      </c>
      <c r="S986" s="1" t="e">
        <f t="shared" si="170"/>
        <v>#N/A</v>
      </c>
      <c r="T986" s="1" t="e">
        <v>#N/A</v>
      </c>
    </row>
    <row r="987" spans="1:20" x14ac:dyDescent="0.35">
      <c r="A987" s="1">
        <v>500377.55099999998</v>
      </c>
      <c r="B987" s="1">
        <v>5999999.0449999999</v>
      </c>
      <c r="C987" s="1">
        <v>125.029137069896</v>
      </c>
      <c r="D987" s="1">
        <f t="shared" si="171"/>
        <v>378.21813153979235</v>
      </c>
      <c r="E987" s="1">
        <v>0.01</v>
      </c>
      <c r="F987" s="1">
        <v>0.05</v>
      </c>
      <c r="G987" s="1">
        <v>0.1</v>
      </c>
      <c r="H987" s="1">
        <v>9.81</v>
      </c>
      <c r="I987" s="1">
        <v>2650</v>
      </c>
      <c r="J987" s="1">
        <v>1000</v>
      </c>
      <c r="K987" s="1">
        <v>1.65</v>
      </c>
      <c r="L987" s="1">
        <v>6.5</v>
      </c>
      <c r="M987" s="1">
        <v>2.5</v>
      </c>
      <c r="N987" s="6">
        <v>9.9999999999999995E-7</v>
      </c>
      <c r="O987" s="1">
        <f t="shared" si="167"/>
        <v>10.221049857319429</v>
      </c>
      <c r="P987" s="1">
        <f t="shared" si="168"/>
        <v>10.237547645163266</v>
      </c>
      <c r="Q987" s="1">
        <f t="shared" si="169"/>
        <v>10.577000852837193</v>
      </c>
      <c r="R987" s="1">
        <v>126.02909999999994</v>
      </c>
      <c r="S987" s="1">
        <f t="shared" si="170"/>
        <v>0.99996293010394766</v>
      </c>
      <c r="T987" s="1">
        <v>0.99996293010394766</v>
      </c>
    </row>
    <row r="988" spans="1:20" x14ac:dyDescent="0.35">
      <c r="A988" s="1">
        <v>500387.75510000001</v>
      </c>
      <c r="B988" s="1">
        <v>5999999.3559999997</v>
      </c>
      <c r="C988" s="1">
        <v>125.795298917349</v>
      </c>
      <c r="D988" s="1">
        <f t="shared" si="171"/>
        <v>388.42696976020193</v>
      </c>
      <c r="E988" s="1">
        <v>0.01</v>
      </c>
      <c r="F988" s="1">
        <v>0.05</v>
      </c>
      <c r="G988" s="1">
        <v>0.1</v>
      </c>
      <c r="H988" s="1">
        <v>9.81</v>
      </c>
      <c r="I988" s="1">
        <v>2650</v>
      </c>
      <c r="J988" s="1">
        <v>1000</v>
      </c>
      <c r="K988" s="1">
        <v>1.65</v>
      </c>
      <c r="L988" s="1">
        <v>6.5</v>
      </c>
      <c r="M988" s="1">
        <v>2.5</v>
      </c>
      <c r="N988" s="6">
        <v>9.9999999999999995E-7</v>
      </c>
      <c r="O988" s="1">
        <f t="shared" si="167"/>
        <v>10.226672955179509</v>
      </c>
      <c r="P988" s="1">
        <f t="shared" si="168"/>
        <v>14.006911426674414</v>
      </c>
      <c r="Q988" s="1">
        <f t="shared" si="169"/>
        <v>12.122229535918841</v>
      </c>
      <c r="R988" s="1">
        <v>126.02909999999994</v>
      </c>
      <c r="S988" s="1">
        <f t="shared" si="170"/>
        <v>0.23380108265094179</v>
      </c>
      <c r="T988" s="1">
        <v>0.23380108265094179</v>
      </c>
    </row>
    <row r="989" spans="1:20" x14ac:dyDescent="0.35">
      <c r="A989" s="1">
        <v>500397.95919999998</v>
      </c>
      <c r="B989" s="1">
        <v>5999998.4469999997</v>
      </c>
      <c r="C989" s="1">
        <v>135.347452072804</v>
      </c>
      <c r="D989" s="1">
        <f t="shared" si="171"/>
        <v>398.67147745015137</v>
      </c>
      <c r="E989" s="1">
        <v>0.01</v>
      </c>
      <c r="F989" s="1">
        <v>0.05</v>
      </c>
      <c r="G989" s="1">
        <v>0.1</v>
      </c>
      <c r="H989" s="1">
        <v>9.81</v>
      </c>
      <c r="I989" s="1">
        <v>2650</v>
      </c>
      <c r="J989" s="1">
        <v>1000</v>
      </c>
      <c r="K989" s="1">
        <v>1.65</v>
      </c>
      <c r="L989" s="1">
        <v>6.5</v>
      </c>
      <c r="M989" s="1">
        <v>2.5</v>
      </c>
      <c r="N989" s="6">
        <v>9.9999999999999995E-7</v>
      </c>
      <c r="O989" s="1">
        <f t="shared" si="167"/>
        <v>10.22650836474881</v>
      </c>
      <c r="P989" s="1">
        <f t="shared" si="168"/>
        <v>12.538849639326756</v>
      </c>
      <c r="Q989" s="1">
        <f t="shared" si="169"/>
        <v>13.272880533000585</v>
      </c>
      <c r="R989" s="1">
        <v>126.02909999999994</v>
      </c>
      <c r="S989" s="1" t="e">
        <f t="shared" si="170"/>
        <v>#N/A</v>
      </c>
      <c r="T989" s="1" t="e">
        <v>#N/A</v>
      </c>
    </row>
    <row r="990" spans="1:20" x14ac:dyDescent="0.35">
      <c r="A990" s="1">
        <v>500408.16330000001</v>
      </c>
      <c r="B990" s="1">
        <v>5999998.1469999999</v>
      </c>
      <c r="C990" s="1">
        <v>128.06671766842501</v>
      </c>
      <c r="D990" s="1">
        <f t="shared" si="171"/>
        <v>408.87998648969955</v>
      </c>
      <c r="E990" s="1">
        <v>0.01</v>
      </c>
      <c r="F990" s="1">
        <v>0.05</v>
      </c>
      <c r="G990" s="1">
        <v>0.1</v>
      </c>
      <c r="H990" s="1">
        <v>9.81</v>
      </c>
      <c r="I990" s="1">
        <v>2650</v>
      </c>
      <c r="J990" s="1">
        <v>1000</v>
      </c>
      <c r="K990" s="1">
        <v>1.65</v>
      </c>
      <c r="L990" s="1">
        <v>6.5</v>
      </c>
      <c r="M990" s="1">
        <v>2.5</v>
      </c>
      <c r="N990" s="6">
        <v>9.9999999999999995E-7</v>
      </c>
      <c r="O990" s="1">
        <f t="shared" si="167"/>
        <v>10.217670819070179</v>
      </c>
      <c r="P990" s="1">
        <f t="shared" si="168"/>
        <v>11.126667604014996</v>
      </c>
      <c r="Q990" s="1">
        <f t="shared" si="169"/>
        <v>11.832758621670877</v>
      </c>
      <c r="R990" s="1">
        <v>126.02909999999994</v>
      </c>
      <c r="S990" s="1" t="e">
        <f t="shared" si="170"/>
        <v>#N/A</v>
      </c>
      <c r="T990" s="1" t="e">
        <v>#N/A</v>
      </c>
    </row>
    <row r="991" spans="1:20" x14ac:dyDescent="0.35">
      <c r="A991" s="1">
        <v>500418.36729999998</v>
      </c>
      <c r="B991" s="1">
        <v>5999997.4639999997</v>
      </c>
      <c r="C991" s="1">
        <v>132.450166877736</v>
      </c>
      <c r="D991" s="1">
        <f t="shared" si="171"/>
        <v>419.10681908829173</v>
      </c>
      <c r="E991" s="1">
        <v>0.01</v>
      </c>
      <c r="F991" s="1">
        <v>0.05</v>
      </c>
      <c r="G991" s="1">
        <v>0.1</v>
      </c>
      <c r="H991" s="1">
        <v>9.81</v>
      </c>
      <c r="I991" s="1">
        <v>2650</v>
      </c>
      <c r="J991" s="1">
        <v>1000</v>
      </c>
      <c r="K991" s="1">
        <v>1.65</v>
      </c>
      <c r="L991" s="1">
        <v>6.5</v>
      </c>
      <c r="M991" s="1">
        <v>2.5</v>
      </c>
      <c r="N991" s="6">
        <v>9.9999999999999995E-7</v>
      </c>
      <c r="O991" s="1">
        <f t="shared" si="167"/>
        <v>10.219153288461655</v>
      </c>
      <c r="P991" s="1">
        <f t="shared" si="168"/>
        <v>12.259823035582844</v>
      </c>
      <c r="Q991" s="1">
        <f t="shared" si="169"/>
        <v>11.693245319798919</v>
      </c>
      <c r="R991" s="1">
        <v>126.02909999999994</v>
      </c>
      <c r="S991" s="1" t="e">
        <f t="shared" si="170"/>
        <v>#N/A</v>
      </c>
      <c r="T991" s="1" t="e">
        <v>#N/A</v>
      </c>
    </row>
    <row r="992" spans="1:20" x14ac:dyDescent="0.35">
      <c r="A992" s="1">
        <v>500428.57140000002</v>
      </c>
      <c r="B992" s="1">
        <v>5999997.0760000004</v>
      </c>
      <c r="C992" s="1">
        <v>139.234638858198</v>
      </c>
      <c r="D992" s="1">
        <f t="shared" si="171"/>
        <v>429.31829306662286</v>
      </c>
      <c r="E992" s="1">
        <v>0.01</v>
      </c>
      <c r="F992" s="1">
        <v>0.05</v>
      </c>
      <c r="G992" s="1">
        <v>0.1</v>
      </c>
      <c r="H992" s="1">
        <v>9.81</v>
      </c>
      <c r="I992" s="1">
        <v>2650</v>
      </c>
      <c r="J992" s="1">
        <v>1000</v>
      </c>
      <c r="K992" s="1">
        <v>1.65</v>
      </c>
      <c r="L992" s="1">
        <v>6.5</v>
      </c>
      <c r="M992" s="1">
        <v>2.5</v>
      </c>
      <c r="N992" s="6">
        <v>9.9999999999999995E-7</v>
      </c>
      <c r="O992" s="1">
        <f t="shared" si="167"/>
        <v>10.213570502749036</v>
      </c>
      <c r="P992" s="1">
        <f t="shared" si="168"/>
        <v>10.221862151517284</v>
      </c>
      <c r="Q992" s="1">
        <f t="shared" si="169"/>
        <v>11.240842593550063</v>
      </c>
      <c r="R992" s="1">
        <v>126.02909999999994</v>
      </c>
      <c r="S992" s="1" t="e">
        <f t="shared" si="170"/>
        <v>#N/A</v>
      </c>
      <c r="T992" s="1" t="e">
        <v>#N/A</v>
      </c>
    </row>
    <row r="993" spans="1:57" x14ac:dyDescent="0.35">
      <c r="A993" s="1">
        <v>500438.77549999999</v>
      </c>
      <c r="B993" s="1">
        <v>5999996.5899999999</v>
      </c>
      <c r="C993" s="1">
        <v>139.590466112179</v>
      </c>
      <c r="D993" s="1">
        <f t="shared" si="171"/>
        <v>439.5339600937898</v>
      </c>
      <c r="E993" s="1">
        <v>0.01</v>
      </c>
      <c r="F993" s="1">
        <v>0.05</v>
      </c>
      <c r="G993" s="1">
        <v>0.1</v>
      </c>
      <c r="H993" s="1">
        <v>9.81</v>
      </c>
      <c r="I993" s="1">
        <v>2650</v>
      </c>
      <c r="J993" s="1">
        <v>1000</v>
      </c>
      <c r="K993" s="1">
        <v>1.65</v>
      </c>
      <c r="L993" s="1">
        <v>6.5</v>
      </c>
      <c r="M993" s="1">
        <v>2.5</v>
      </c>
      <c r="N993" s="6">
        <v>9.9999999999999995E-7</v>
      </c>
      <c r="O993" s="1">
        <f t="shared" si="167"/>
        <v>10.227678867958247</v>
      </c>
      <c r="P993" s="1">
        <f t="shared" si="168"/>
        <v>10.247073843648518</v>
      </c>
      <c r="Q993" s="1">
        <f t="shared" si="169"/>
        <v>10.2344679975829</v>
      </c>
      <c r="R993" s="1">
        <v>126.02909999999994</v>
      </c>
      <c r="S993" s="1" t="e">
        <f t="shared" si="170"/>
        <v>#N/A</v>
      </c>
      <c r="T993" s="1" t="e">
        <v>#N/A</v>
      </c>
    </row>
    <row r="994" spans="1:57" x14ac:dyDescent="0.35">
      <c r="A994" s="1">
        <v>500448.97960000002</v>
      </c>
      <c r="B994" s="1">
        <v>5999995.7369999997</v>
      </c>
      <c r="C994" s="1">
        <v>139.20154896633201</v>
      </c>
      <c r="D994" s="1">
        <f t="shared" si="171"/>
        <v>449.77365080253935</v>
      </c>
      <c r="E994" s="1">
        <v>0.01</v>
      </c>
      <c r="F994" s="1">
        <v>0.05</v>
      </c>
      <c r="G994" s="1">
        <v>0.1</v>
      </c>
      <c r="H994" s="1">
        <v>9.81</v>
      </c>
      <c r="I994" s="1">
        <v>2650</v>
      </c>
      <c r="J994" s="1">
        <v>1000</v>
      </c>
      <c r="K994" s="1">
        <v>1.65</v>
      </c>
      <c r="L994" s="1">
        <v>6.5</v>
      </c>
      <c r="M994" s="1">
        <v>2.5</v>
      </c>
      <c r="N994" s="6">
        <v>9.9999999999999995E-7</v>
      </c>
      <c r="O994" s="1">
        <f t="shared" si="167"/>
        <v>10.226507982984828</v>
      </c>
      <c r="P994" s="1">
        <f t="shared" si="168"/>
        <v>10.216402783069102</v>
      </c>
      <c r="Q994" s="1">
        <f t="shared" si="169"/>
        <v>10.231738313358811</v>
      </c>
      <c r="R994" s="1">
        <v>126.02909999999994</v>
      </c>
      <c r="S994" s="1" t="e">
        <f t="shared" si="170"/>
        <v>#N/A</v>
      </c>
      <c r="T994" s="1" t="e">
        <v>#N/A</v>
      </c>
    </row>
    <row r="995" spans="1:57" x14ac:dyDescent="0.35">
      <c r="A995" s="1">
        <v>500459.18369999999</v>
      </c>
      <c r="B995" s="1">
        <v>5999996.1710000001</v>
      </c>
      <c r="C995" s="1">
        <v>138.95080404388699</v>
      </c>
      <c r="D995" s="1">
        <f t="shared" si="171"/>
        <v>459.98697605975946</v>
      </c>
      <c r="E995" s="1">
        <v>0.01</v>
      </c>
      <c r="F995" s="1">
        <v>0.05</v>
      </c>
      <c r="G995" s="1">
        <v>0.1</v>
      </c>
      <c r="H995" s="1">
        <v>9.81</v>
      </c>
      <c r="I995" s="1">
        <v>2650</v>
      </c>
      <c r="J995" s="1">
        <v>1000</v>
      </c>
      <c r="K995" s="1">
        <v>1.65</v>
      </c>
      <c r="L995" s="1">
        <v>6.5</v>
      </c>
      <c r="M995" s="1">
        <v>2.5</v>
      </c>
      <c r="N995" s="6">
        <v>9.9999999999999995E-7</v>
      </c>
      <c r="O995" s="1">
        <f t="shared" si="167"/>
        <v>10.228563101333435</v>
      </c>
      <c r="P995" s="1">
        <f t="shared" si="168"/>
        <v>10.24381622597874</v>
      </c>
      <c r="Q995" s="1">
        <f t="shared" si="169"/>
        <v>10.23010950452392</v>
      </c>
      <c r="R995" s="1">
        <v>126.02909999999994</v>
      </c>
      <c r="S995" s="1" t="e">
        <f t="shared" si="170"/>
        <v>#N/A</v>
      </c>
      <c r="T995" s="1" t="e">
        <v>#N/A</v>
      </c>
    </row>
    <row r="996" spans="1:57" x14ac:dyDescent="0.35">
      <c r="A996" s="1">
        <v>500469.38780000003</v>
      </c>
      <c r="B996" s="1">
        <v>5999997.0719999997</v>
      </c>
      <c r="C996" s="1">
        <v>138.933110494517</v>
      </c>
      <c r="D996" s="1">
        <f t="shared" si="171"/>
        <v>470.23077700520622</v>
      </c>
      <c r="E996" s="1">
        <v>0.01</v>
      </c>
      <c r="F996" s="1">
        <v>0.05</v>
      </c>
      <c r="G996" s="1">
        <v>0.1</v>
      </c>
      <c r="H996" s="1">
        <v>9.81</v>
      </c>
      <c r="I996" s="1">
        <v>2650</v>
      </c>
      <c r="J996" s="1">
        <v>1000</v>
      </c>
      <c r="K996" s="1">
        <v>1.65</v>
      </c>
      <c r="L996" s="1">
        <v>6.5</v>
      </c>
      <c r="M996" s="1">
        <v>2.5</v>
      </c>
      <c r="N996" s="6">
        <v>9.9999999999999995E-7</v>
      </c>
      <c r="O996" s="1">
        <f t="shared" si="167"/>
        <v>10.235585469869676</v>
      </c>
      <c r="P996" s="1">
        <f t="shared" si="168"/>
        <v>14.038699271405504</v>
      </c>
      <c r="Q996" s="1">
        <f t="shared" si="169"/>
        <v>12.141257748692123</v>
      </c>
      <c r="R996" s="1">
        <v>126.02909999999994</v>
      </c>
      <c r="S996" s="1" t="e">
        <f t="shared" si="170"/>
        <v>#N/A</v>
      </c>
      <c r="T996" s="1" t="e">
        <v>#N/A</v>
      </c>
    </row>
    <row r="997" spans="1:57" x14ac:dyDescent="0.35">
      <c r="A997" s="1">
        <v>500479.59179999999</v>
      </c>
      <c r="B997" s="1">
        <v>5999997.7630000003</v>
      </c>
      <c r="C997" s="1">
        <v>148.55007364474301</v>
      </c>
      <c r="D997" s="1">
        <f t="shared" si="171"/>
        <v>480.45814699949881</v>
      </c>
      <c r="E997" s="1">
        <v>0.01</v>
      </c>
      <c r="F997" s="1">
        <v>0.05</v>
      </c>
      <c r="G997" s="1">
        <v>0.1</v>
      </c>
      <c r="H997" s="1">
        <v>9.81</v>
      </c>
      <c r="I997" s="1">
        <v>2650</v>
      </c>
      <c r="J997" s="1">
        <v>1000</v>
      </c>
      <c r="K997" s="1">
        <v>1.65</v>
      </c>
      <c r="L997" s="1">
        <v>6.5</v>
      </c>
      <c r="M997" s="1">
        <v>2.5</v>
      </c>
      <c r="N997" s="6">
        <v>9.9999999999999995E-7</v>
      </c>
      <c r="O997" s="1">
        <f t="shared" si="167"/>
        <v>10.217030880251457</v>
      </c>
      <c r="P997" s="1">
        <f t="shared" si="168"/>
        <v>10.496604105828091</v>
      </c>
      <c r="Q997" s="1">
        <f t="shared" si="169"/>
        <v>12.267651688616798</v>
      </c>
      <c r="R997" s="1">
        <v>126.02909999999994</v>
      </c>
      <c r="S997" s="1" t="e">
        <f t="shared" si="170"/>
        <v>#N/A</v>
      </c>
      <c r="T997" s="1" t="e">
        <v>#N/A</v>
      </c>
    </row>
    <row r="998" spans="1:57" x14ac:dyDescent="0.35">
      <c r="A998" s="1">
        <v>500489.79590000003</v>
      </c>
      <c r="B998" s="1">
        <v>5999997.9929999998</v>
      </c>
      <c r="C998" s="1">
        <v>146.10014692256101</v>
      </c>
      <c r="D998" s="1">
        <f t="shared" si="171"/>
        <v>490.66483876570913</v>
      </c>
      <c r="E998" s="1">
        <v>0.01</v>
      </c>
      <c r="F998" s="1">
        <v>0.05</v>
      </c>
      <c r="G998" s="1">
        <v>0.1</v>
      </c>
      <c r="H998" s="1">
        <v>9.81</v>
      </c>
      <c r="I998" s="1">
        <v>2650</v>
      </c>
      <c r="J998" s="1">
        <v>1000</v>
      </c>
      <c r="K998" s="1">
        <v>1.65</v>
      </c>
      <c r="L998" s="1">
        <v>6.5</v>
      </c>
      <c r="M998" s="1">
        <v>2.5</v>
      </c>
      <c r="N998" s="6">
        <v>9.9999999999999995E-7</v>
      </c>
      <c r="O998" s="1">
        <f t="shared" si="167"/>
        <v>10.209902888805345</v>
      </c>
      <c r="P998" s="1">
        <f t="shared" si="168"/>
        <v>10.652346301971106</v>
      </c>
      <c r="Q998" s="1">
        <f t="shared" si="169"/>
        <v>10.574475203899599</v>
      </c>
      <c r="R998" s="1">
        <v>126.02909999999994</v>
      </c>
      <c r="S998" s="1" t="e">
        <f t="shared" si="170"/>
        <v>#N/A</v>
      </c>
      <c r="T998" s="1" t="e">
        <v>#N/A</v>
      </c>
    </row>
    <row r="999" spans="1:57" x14ac:dyDescent="0.35">
      <c r="A999" s="1">
        <v>500500</v>
      </c>
      <c r="B999" s="1">
        <v>5999998.4220000003</v>
      </c>
      <c r="C999" s="1">
        <v>149.127486336511</v>
      </c>
      <c r="D999" s="1">
        <f t="shared" si="171"/>
        <v>500.8779527771095</v>
      </c>
      <c r="E999" s="1">
        <v>0.01</v>
      </c>
      <c r="F999" s="1">
        <v>0.05</v>
      </c>
      <c r="G999" s="1">
        <v>0.1</v>
      </c>
      <c r="H999" s="1">
        <v>9.81</v>
      </c>
      <c r="I999" s="1">
        <v>2650</v>
      </c>
      <c r="J999" s="1">
        <v>1000</v>
      </c>
      <c r="K999" s="1">
        <v>1.65</v>
      </c>
      <c r="L999" s="1">
        <v>6.5</v>
      </c>
      <c r="M999" s="1">
        <v>2.5</v>
      </c>
      <c r="N999" s="6">
        <v>9.9999999999999995E-7</v>
      </c>
      <c r="O999" s="1">
        <f xml:space="preserve"> (D999 - D998) / 2</f>
        <v>5.1065570057001821</v>
      </c>
    </row>
    <row r="1003" spans="1:57" x14ac:dyDescent="0.35">
      <c r="A1003" s="1" t="s">
        <v>0</v>
      </c>
      <c r="B1003" s="1" t="s">
        <v>1</v>
      </c>
      <c r="C1003" s="1" t="s">
        <v>2</v>
      </c>
      <c r="D1003" s="1" t="s">
        <v>18</v>
      </c>
      <c r="E1003" s="1" t="s">
        <v>67</v>
      </c>
      <c r="F1003" s="1" t="s">
        <v>66</v>
      </c>
      <c r="G1003" s="1" t="s">
        <v>65</v>
      </c>
      <c r="H1003" s="1" t="s">
        <v>64</v>
      </c>
      <c r="I1003" s="1" t="s">
        <v>63</v>
      </c>
      <c r="J1003" s="1" t="s">
        <v>62</v>
      </c>
      <c r="K1003" s="1" t="s">
        <v>61</v>
      </c>
      <c r="L1003" s="1" t="s">
        <v>60</v>
      </c>
      <c r="M1003" s="1" t="s">
        <v>59</v>
      </c>
      <c r="N1003" s="1" t="s">
        <v>58</v>
      </c>
      <c r="O1003" s="1" t="s">
        <v>57</v>
      </c>
      <c r="P1003" s="1" t="s">
        <v>56</v>
      </c>
      <c r="Q1003" s="1" t="s">
        <v>55</v>
      </c>
      <c r="R1003" s="1" t="s">
        <v>54</v>
      </c>
      <c r="S1003" s="1" t="s">
        <v>16</v>
      </c>
      <c r="T1003" s="1" t="s">
        <v>53</v>
      </c>
      <c r="U1003" s="10" t="s">
        <v>52</v>
      </c>
      <c r="V1003" s="10" t="s">
        <v>51</v>
      </c>
      <c r="W1003" s="10" t="s">
        <v>50</v>
      </c>
      <c r="X1003" s="10" t="s">
        <v>49</v>
      </c>
      <c r="Y1003" s="1" t="s">
        <v>48</v>
      </c>
      <c r="Z1003" s="1" t="s">
        <v>47</v>
      </c>
      <c r="AA1003" s="1" t="s">
        <v>46</v>
      </c>
      <c r="AB1003" s="1" t="s">
        <v>45</v>
      </c>
      <c r="AC1003" s="1" t="s">
        <v>44</v>
      </c>
      <c r="AD1003" s="1" t="s">
        <v>43</v>
      </c>
      <c r="AE1003" s="1" t="s">
        <v>42</v>
      </c>
      <c r="AF1003" s="1" t="s">
        <v>41</v>
      </c>
      <c r="AG1003" s="1" t="s">
        <v>40</v>
      </c>
      <c r="AH1003" s="1" t="s">
        <v>39</v>
      </c>
      <c r="AI1003" s="1" t="s">
        <v>38</v>
      </c>
      <c r="AJ1003" s="1" t="s">
        <v>37</v>
      </c>
      <c r="AK1003" s="1" t="s">
        <v>36</v>
      </c>
      <c r="AL1003" s="1" t="s">
        <v>35</v>
      </c>
      <c r="AM1003" s="1" t="s">
        <v>34</v>
      </c>
      <c r="AN1003" s="1" t="s">
        <v>34</v>
      </c>
      <c r="AO1003" s="7" t="s">
        <v>33</v>
      </c>
      <c r="AP1003" s="7" t="s">
        <v>32</v>
      </c>
      <c r="AQ1003" s="7" t="s">
        <v>31</v>
      </c>
      <c r="AR1003" s="7" t="s">
        <v>30</v>
      </c>
      <c r="AS1003" s="7" t="s">
        <v>29</v>
      </c>
      <c r="AT1003" s="7" t="s">
        <v>28</v>
      </c>
      <c r="AU1003" s="7" t="s">
        <v>27</v>
      </c>
      <c r="AV1003" s="7" t="s">
        <v>27</v>
      </c>
      <c r="AW1003" s="1" t="s">
        <v>26</v>
      </c>
      <c r="AX1003" s="1" t="s">
        <v>25</v>
      </c>
      <c r="AY1003" s="1" t="s">
        <v>24</v>
      </c>
      <c r="AZ1003" s="1" t="s">
        <v>23</v>
      </c>
      <c r="BA1003" s="1" t="s">
        <v>22</v>
      </c>
      <c r="BB1003" s="1" t="s">
        <v>21</v>
      </c>
      <c r="BC1003" s="1" t="s">
        <v>20</v>
      </c>
      <c r="BD1003" s="1" t="s">
        <v>20</v>
      </c>
      <c r="BE1003" s="1" t="s">
        <v>19</v>
      </c>
    </row>
    <row r="1004" spans="1:57" x14ac:dyDescent="0.35">
      <c r="A1004" s="1">
        <v>500000</v>
      </c>
      <c r="B1004" s="1">
        <v>5999999.0959999999</v>
      </c>
      <c r="C1004" s="1">
        <v>146.95665459614199</v>
      </c>
      <c r="D1004" s="1">
        <v>0</v>
      </c>
      <c r="E1004" s="1">
        <v>0.01</v>
      </c>
      <c r="F1004" s="1">
        <v>0.05</v>
      </c>
      <c r="G1004" s="1">
        <v>0.1</v>
      </c>
      <c r="H1004" s="1">
        <v>9.81</v>
      </c>
      <c r="I1004" s="1">
        <v>2650</v>
      </c>
      <c r="J1004" s="1">
        <v>1000</v>
      </c>
      <c r="K1004" s="1">
        <v>1.65</v>
      </c>
      <c r="L1004" s="1">
        <v>6.5</v>
      </c>
      <c r="M1004" s="1">
        <v>2.5</v>
      </c>
      <c r="N1004" s="6">
        <v>9.9999999999999995E-7</v>
      </c>
      <c r="O1004" s="1">
        <f xml:space="preserve"> (D1005 - D1004) / 2</f>
        <v>5.1061868798967165</v>
      </c>
      <c r="P1004" s="1">
        <f t="shared" ref="P1004:P1035" si="172">SQRT((D1005 - D1004)^2 + (C1005 - C1004)^2)</f>
        <v>12.612081347143071</v>
      </c>
      <c r="Q1004" s="1">
        <f t="shared" ref="Q1004:Q1035" si="173">IF(ROW()=1004, P1004/2, (P1004 + P1003)/2)</f>
        <v>6.3060406735715357</v>
      </c>
      <c r="R1004" s="1">
        <v>126.07909999999994</v>
      </c>
      <c r="S1004" s="1" t="e">
        <f t="shared" ref="S1004:S1035" si="174">IF(R1004 - C1004 &lt; 0, NA(), R1004 - C1004)</f>
        <v>#N/A</v>
      </c>
      <c r="T1004" s="1" t="e">
        <v>#N/A</v>
      </c>
      <c r="U1004" s="10" cm="1">
        <f t="array" ref="U1004">SUMPRODUCT(IF(ISNA(T1004:T1053), 0, T1004:T1053), IF(ISNA(O1004:O1053), 0, O1004:O1053))</f>
        <v>13.634064313526636</v>
      </c>
      <c r="V1004" s="10">
        <f>SUMIF(S1004:S1053, "&gt;0", O1004:O1053)</f>
        <v>20.447722812498938</v>
      </c>
      <c r="W1004" s="10">
        <f>SUMIF(S1004:S1053, "&gt;0", Q1004:Q1053)</f>
        <v>22.699230388756035</v>
      </c>
      <c r="X1004" s="10">
        <f>U1004/W1004</f>
        <v>0.60063993712668828</v>
      </c>
      <c r="Y1004" s="1">
        <f xml:space="preserve"> (6.5 * 2.5 * (X1004 / G1004)) / SQRT(6.5^2 + 2.5^2 * (X1004 / G1004)^(5/3))</f>
        <v>7.5688743532681215</v>
      </c>
      <c r="Z1004" s="1">
        <f>Y1004*SQRT(X1004*H1004*E1004)</f>
        <v>1.8372696554657415</v>
      </c>
      <c r="AA1004" s="1">
        <f>J1004*H1004*X1004*E1004</f>
        <v>58.922777832128126</v>
      </c>
      <c r="AB1004" s="1">
        <f>(AA1004 / (9.81 * 1000 *1.65 * F1004))</f>
        <v>7.2804840863841008E-2</v>
      </c>
      <c r="AC1004" s="9">
        <f xml:space="preserve"> F1004 * (K1004 * H1004 / (N1004)^2)^(1/3)</f>
        <v>1264.7974700106745</v>
      </c>
      <c r="AD1004" s="1">
        <f xml:space="preserve"> 0.3 / (1 + 1.2 * AC1004) + 0.055 * (1 - EXP(-0.02 * AC1004))</f>
        <v>5.5197529957883754E-2</v>
      </c>
      <c r="AE1004" s="1">
        <f>IF(AC1004 &lt;= 4, 0.24 * AC1004^-1, IF(AC1004 &gt; 4, IF(AC1004 &lt;= 10, 0.14 * AC1004^-0.64, IF(AC1004 &lt;= 20, 0.04 * AC1004^-0.1, IF(AC1004 &lt;= 150, 0.013 * AC1004^0.29, 0.056)))))</f>
        <v>5.6000000000000001E-2</v>
      </c>
      <c r="AF1004" s="1">
        <f>AB1004/AD1004-1</f>
        <v>0.31898729742783427</v>
      </c>
      <c r="AG1004" s="1">
        <f xml:space="preserve"> 2.45 * SQRT(AD1004) / (K1004 + 1)^0.4</f>
        <v>0.38978718496890047</v>
      </c>
      <c r="AH1004" s="1">
        <f>SQRT(2/3 + 36 / AC1004^3) - SQRT(36 / AC1004^3)</f>
        <v>0.81636320289979147</v>
      </c>
      <c r="AI1004" s="1">
        <f>AA1004* Z1004 / (J1004 * (H1004* K1004 * F1004)^(3/2))</f>
        <v>0.14868654885216234</v>
      </c>
      <c r="AJ1004" s="1">
        <f>AD1004* K1004 * F1004 / E1004</f>
        <v>0.45537962215254096</v>
      </c>
      <c r="AK1004" s="1">
        <f>Y1004 * AD1004^(3/2)</f>
        <v>9.8154623514982997E-2</v>
      </c>
      <c r="AL1004" s="1">
        <f>(0.92 - 0.25 * SQRT(AK1004 / AI1004))^9</f>
        <v>5.0003532109281129E-2</v>
      </c>
      <c r="AM1004" s="1">
        <v>5.2759527000000001E-2</v>
      </c>
      <c r="AN1004" s="1">
        <v>4.7434165E-2</v>
      </c>
      <c r="AO1004" s="7">
        <f>IF(AB1004 &gt; 0.047, 8 * (AB1004 - 0.047)^(3/2), 0)</f>
        <v>3.3162080158372249E-2</v>
      </c>
      <c r="AP1004" s="7">
        <f>IF(AB1004&gt; 0.047, 4 * (AB1004 - 0.047)^(3/2), 0)</f>
        <v>1.6581040079186125E-2</v>
      </c>
      <c r="AQ1004" s="7">
        <f xml:space="preserve"> (0.053 / AC1004^(0.3)) * ((AB1004 / AE1004) - 1)^2.1</f>
        <v>4.9646308913215418E-4</v>
      </c>
      <c r="AR1004" s="7">
        <f xml:space="preserve"> IF(AB1004 &gt; AD1004, 0.635 * AF1004 * SQRT(AB1004) * (1 - (1 / (AG1004*AF1004)) * LOG(1 + AF1004*AG1004)), 0)</f>
        <v>3.228215279941745E-2</v>
      </c>
      <c r="AS1004" s="8">
        <f>IF(AB1004&gt;= 0.19, 40 * AH1004 * AB1004^3, (AH1004 * EXP(-0.391 / AB1004)) / 0.465)</f>
        <v>8.1666209014187498E-3</v>
      </c>
      <c r="AT1004" s="7">
        <f>AL1004* AI1004</f>
        <v>7.4348526197472965E-3</v>
      </c>
      <c r="AU1004" s="7">
        <f>14 * AB1004^2.5 / (1 + (AM1004/AB1004)^4)</f>
        <v>1.5694697023597298E-2</v>
      </c>
      <c r="AV1004" s="7">
        <f>14*AB1004^2.5/(1+(AN1004/AB1004)^4)</f>
        <v>1.6965933734655495E-2</v>
      </c>
      <c r="AW1004" s="1">
        <f>AO1004*SQRT(1.65*9.81*F1004^3)</f>
        <v>1.4916716885304032E-3</v>
      </c>
      <c r="AX1004" s="1">
        <f>AP1004*SQRT(1.65*9.81*F1004^3)</f>
        <v>7.4583584426520162E-4</v>
      </c>
      <c r="AY1004" s="1">
        <f>AQ1004*SQRT(1.65*9.81*F1004^3)</f>
        <v>2.2331528387908304E-5</v>
      </c>
      <c r="AZ1004" s="1">
        <f>AR1004*SQRT(1.65*9.81*F1004^3)</f>
        <v>1.452091459454067E-3</v>
      </c>
      <c r="BA1004" s="1">
        <f>AS1004*SQRT(1.65*9.81*F1004^3)</f>
        <v>3.6734478450778032E-4</v>
      </c>
      <c r="BB1004" s="1">
        <f>AT1004*SQRT(1.65*9.81*F1004^3)</f>
        <v>3.3442893534750773E-4</v>
      </c>
      <c r="BC1004" s="1">
        <f>AU1004*SQRT(1.65*9.81*G1004^3)</f>
        <v>1.9967762944518301E-3</v>
      </c>
      <c r="BD1004" s="1">
        <f>AV1004*SQRT(1.65*9.81*G1004^3)</f>
        <v>2.1585108806921006E-3</v>
      </c>
      <c r="BE1004" s="1">
        <f>U1004*Z1004</f>
        <v>25.049452643910843</v>
      </c>
    </row>
    <row r="1005" spans="1:57" x14ac:dyDescent="0.35">
      <c r="A1005" s="1">
        <v>500010.20409999997</v>
      </c>
      <c r="B1005" s="1">
        <v>5999998.6849999996</v>
      </c>
      <c r="C1005" s="1">
        <v>154.35746658519</v>
      </c>
      <c r="D1005" s="1">
        <f t="shared" ref="D1005:D1036" si="175">D1004 + SQRT((A1005 - A1004)^2 + (B1005 - B1004)^2)</f>
        <v>10.212373759793433</v>
      </c>
      <c r="E1005" s="1">
        <v>0.01</v>
      </c>
      <c r="F1005" s="1">
        <v>0.05</v>
      </c>
      <c r="G1005" s="1">
        <v>0.1</v>
      </c>
      <c r="H1005" s="1">
        <v>9.81</v>
      </c>
      <c r="I1005" s="1">
        <v>2650</v>
      </c>
      <c r="J1005" s="1">
        <v>1000</v>
      </c>
      <c r="K1005" s="1">
        <v>1.65</v>
      </c>
      <c r="L1005" s="1">
        <v>6.5</v>
      </c>
      <c r="M1005" s="1">
        <v>2.5</v>
      </c>
      <c r="N1005" s="6">
        <v>9.9999999999999995E-7</v>
      </c>
      <c r="O1005" s="1">
        <f t="shared" ref="O1005:O1052" si="176" xml:space="preserve"> (D1006 - D1005 + D1005 - D1004) / 2</f>
        <v>10.212934886473896</v>
      </c>
      <c r="P1005" s="1">
        <f t="shared" si="172"/>
        <v>10.748393624242958</v>
      </c>
      <c r="Q1005" s="1">
        <f t="shared" si="173"/>
        <v>11.680237485693015</v>
      </c>
      <c r="R1005" s="1">
        <v>126.07909999999994</v>
      </c>
      <c r="S1005" s="1" t="e">
        <f t="shared" si="174"/>
        <v>#N/A</v>
      </c>
      <c r="T1005" s="1" t="e">
        <v>#N/A</v>
      </c>
      <c r="AO1005" s="7"/>
      <c r="AP1005" s="7"/>
      <c r="AQ1005" s="7"/>
      <c r="AR1005" s="7"/>
      <c r="AS1005" s="7"/>
      <c r="AT1005" s="7"/>
      <c r="AU1005" s="7"/>
      <c r="AV1005" s="7"/>
    </row>
    <row r="1006" spans="1:57" x14ac:dyDescent="0.35">
      <c r="A1006" s="1">
        <v>500020.40820000001</v>
      </c>
      <c r="B1006" s="1">
        <v>5999999.1229999997</v>
      </c>
      <c r="C1006" s="1">
        <v>151.008964727501</v>
      </c>
      <c r="D1006" s="1">
        <f t="shared" si="175"/>
        <v>20.425869772947792</v>
      </c>
      <c r="E1006" s="1">
        <v>0.01</v>
      </c>
      <c r="F1006" s="1">
        <v>0.05</v>
      </c>
      <c r="G1006" s="1">
        <v>0.1</v>
      </c>
      <c r="H1006" s="1">
        <v>9.81</v>
      </c>
      <c r="I1006" s="1">
        <v>2650</v>
      </c>
      <c r="J1006" s="1">
        <v>1000</v>
      </c>
      <c r="K1006" s="1">
        <v>1.65</v>
      </c>
      <c r="L1006" s="1">
        <v>6.5</v>
      </c>
      <c r="M1006" s="1">
        <v>2.5</v>
      </c>
      <c r="N1006" s="6">
        <v>9.9999999999999995E-7</v>
      </c>
      <c r="O1006" s="1">
        <f t="shared" si="176"/>
        <v>10.21125621009096</v>
      </c>
      <c r="P1006" s="1">
        <f t="shared" si="172"/>
        <v>13.985433799960637</v>
      </c>
      <c r="Q1006" s="1">
        <f t="shared" si="173"/>
        <v>12.366913712101798</v>
      </c>
      <c r="R1006" s="1">
        <v>126.07909999999994</v>
      </c>
      <c r="S1006" s="1" t="e">
        <f t="shared" si="174"/>
        <v>#N/A</v>
      </c>
      <c r="T1006" s="1" t="e">
        <v>#N/A</v>
      </c>
    </row>
    <row r="1007" spans="1:57" x14ac:dyDescent="0.35">
      <c r="A1007" s="1">
        <v>500030.61219999997</v>
      </c>
      <c r="B1007" s="1">
        <v>5999998.8030000003</v>
      </c>
      <c r="C1007" s="1">
        <v>160.567643641144</v>
      </c>
      <c r="D1007" s="1">
        <f t="shared" si="175"/>
        <v>30.634886179975354</v>
      </c>
      <c r="E1007" s="1">
        <v>0.01</v>
      </c>
      <c r="F1007" s="1">
        <v>0.05</v>
      </c>
      <c r="G1007" s="1">
        <v>0.1</v>
      </c>
      <c r="H1007" s="1">
        <v>9.81</v>
      </c>
      <c r="I1007" s="1">
        <v>2650</v>
      </c>
      <c r="J1007" s="1">
        <v>1000</v>
      </c>
      <c r="K1007" s="1">
        <v>1.65</v>
      </c>
      <c r="L1007" s="1">
        <v>6.5</v>
      </c>
      <c r="M1007" s="1">
        <v>2.5</v>
      </c>
      <c r="N1007" s="6">
        <v>9.9999999999999995E-7</v>
      </c>
      <c r="O1007" s="1">
        <f t="shared" si="176"/>
        <v>10.214935822867286</v>
      </c>
      <c r="P1007" s="1">
        <f t="shared" si="172"/>
        <v>10.224042445454263</v>
      </c>
      <c r="Q1007" s="1">
        <f t="shared" si="173"/>
        <v>12.104738122707449</v>
      </c>
      <c r="R1007" s="1">
        <v>126.07909999999994</v>
      </c>
      <c r="S1007" s="1" t="e">
        <f t="shared" si="174"/>
        <v>#N/A</v>
      </c>
      <c r="T1007" s="1" t="e">
        <v>#N/A</v>
      </c>
    </row>
    <row r="1008" spans="1:57" x14ac:dyDescent="0.35">
      <c r="A1008" s="1">
        <v>500040.81630000001</v>
      </c>
      <c r="B1008" s="1">
        <v>5999998.2180000003</v>
      </c>
      <c r="C1008" s="1">
        <v>160.82291235416201</v>
      </c>
      <c r="D1008" s="1">
        <f t="shared" si="175"/>
        <v>40.855741418682364</v>
      </c>
      <c r="E1008" s="1">
        <v>0.01</v>
      </c>
      <c r="F1008" s="1">
        <v>0.05</v>
      </c>
      <c r="G1008" s="1">
        <v>0.1</v>
      </c>
      <c r="H1008" s="1">
        <v>9.81</v>
      </c>
      <c r="I1008" s="1">
        <v>2650</v>
      </c>
      <c r="J1008" s="1">
        <v>1000</v>
      </c>
      <c r="K1008" s="1">
        <v>1.65</v>
      </c>
      <c r="L1008" s="1">
        <v>6.5</v>
      </c>
      <c r="M1008" s="1">
        <v>2.5</v>
      </c>
      <c r="N1008" s="6">
        <v>9.9999999999999995E-7</v>
      </c>
      <c r="O1008" s="1">
        <f t="shared" si="176"/>
        <v>10.231243785008825</v>
      </c>
      <c r="P1008" s="1">
        <f t="shared" si="172"/>
        <v>10.333484931908488</v>
      </c>
      <c r="Q1008" s="1">
        <f t="shared" si="173"/>
        <v>10.278763688681376</v>
      </c>
      <c r="R1008" s="1">
        <v>126.07909999999994</v>
      </c>
      <c r="S1008" s="1" t="e">
        <f t="shared" si="174"/>
        <v>#N/A</v>
      </c>
      <c r="T1008" s="1" t="e">
        <v>#N/A</v>
      </c>
    </row>
    <row r="1009" spans="1:20" x14ac:dyDescent="0.35">
      <c r="A1009" s="1">
        <v>500051.02039999998</v>
      </c>
      <c r="B1009" s="1">
        <v>5999997.3420000002</v>
      </c>
      <c r="C1009" s="1">
        <v>159.448184007094</v>
      </c>
      <c r="D1009" s="1">
        <f t="shared" si="175"/>
        <v>51.097373749993004</v>
      </c>
      <c r="E1009" s="1">
        <v>0.01</v>
      </c>
      <c r="F1009" s="1">
        <v>0.05</v>
      </c>
      <c r="G1009" s="1">
        <v>0.1</v>
      </c>
      <c r="H1009" s="1">
        <v>9.81</v>
      </c>
      <c r="I1009" s="1">
        <v>2650</v>
      </c>
      <c r="J1009" s="1">
        <v>1000</v>
      </c>
      <c r="K1009" s="1">
        <v>1.65</v>
      </c>
      <c r="L1009" s="1">
        <v>6.5</v>
      </c>
      <c r="M1009" s="1">
        <v>2.5</v>
      </c>
      <c r="N1009" s="6">
        <v>9.9999999999999995E-7</v>
      </c>
      <c r="O1009" s="1">
        <f t="shared" si="176"/>
        <v>10.22297614478725</v>
      </c>
      <c r="P1009" s="1">
        <f t="shared" si="172"/>
        <v>11.164078602095582</v>
      </c>
      <c r="Q1009" s="1">
        <f t="shared" si="173"/>
        <v>10.748781767002036</v>
      </c>
      <c r="R1009" s="1">
        <v>126.07909999999994</v>
      </c>
      <c r="S1009" s="1" t="e">
        <f t="shared" si="174"/>
        <v>#N/A</v>
      </c>
      <c r="T1009" s="1" t="e">
        <v>#N/A</v>
      </c>
    </row>
    <row r="1010" spans="1:20" x14ac:dyDescent="0.35">
      <c r="A1010" s="1">
        <v>500061.22450000001</v>
      </c>
      <c r="B1010" s="1">
        <v>5999997.2750000004</v>
      </c>
      <c r="C1010" s="1">
        <v>163.976815723534</v>
      </c>
      <c r="D1010" s="1">
        <f t="shared" si="175"/>
        <v>61.301693708256863</v>
      </c>
      <c r="E1010" s="1">
        <v>0.01</v>
      </c>
      <c r="F1010" s="1">
        <v>0.05</v>
      </c>
      <c r="G1010" s="1">
        <v>0.1</v>
      </c>
      <c r="H1010" s="1">
        <v>9.81</v>
      </c>
      <c r="I1010" s="1">
        <v>2650</v>
      </c>
      <c r="J1010" s="1">
        <v>1000</v>
      </c>
      <c r="K1010" s="1">
        <v>1.65</v>
      </c>
      <c r="L1010" s="1">
        <v>6.5</v>
      </c>
      <c r="M1010" s="1">
        <v>2.5</v>
      </c>
      <c r="N1010" s="6">
        <v>9.9999999999999995E-7</v>
      </c>
      <c r="O1010" s="1">
        <f t="shared" si="176"/>
        <v>10.209391538632293</v>
      </c>
      <c r="P1010" s="1">
        <f t="shared" si="172"/>
        <v>11.034750060361873</v>
      </c>
      <c r="Q1010" s="1">
        <f t="shared" si="173"/>
        <v>11.099414331228727</v>
      </c>
      <c r="R1010" s="1">
        <v>126.07909999999994</v>
      </c>
      <c r="S1010" s="1" t="e">
        <f t="shared" si="174"/>
        <v>#N/A</v>
      </c>
      <c r="T1010" s="1" t="e">
        <v>#N/A</v>
      </c>
    </row>
    <row r="1011" spans="1:20" x14ac:dyDescent="0.35">
      <c r="A1011" s="1">
        <v>500071.42859999998</v>
      </c>
      <c r="B1011" s="1">
        <v>5999996.8150000004</v>
      </c>
      <c r="C1011" s="1">
        <v>168.15179501512699</v>
      </c>
      <c r="D1011" s="1">
        <f t="shared" si="175"/>
        <v>71.516156827257589</v>
      </c>
      <c r="E1011" s="1">
        <v>0.01</v>
      </c>
      <c r="F1011" s="1">
        <v>0.05</v>
      </c>
      <c r="G1011" s="1">
        <v>0.1</v>
      </c>
      <c r="H1011" s="1">
        <v>9.81</v>
      </c>
      <c r="I1011" s="1">
        <v>2650</v>
      </c>
      <c r="J1011" s="1">
        <v>1000</v>
      </c>
      <c r="K1011" s="1">
        <v>1.65</v>
      </c>
      <c r="L1011" s="1">
        <v>6.5</v>
      </c>
      <c r="M1011" s="1">
        <v>2.5</v>
      </c>
      <c r="N1011" s="6">
        <v>9.9999999999999995E-7</v>
      </c>
      <c r="O1011" s="1">
        <f t="shared" si="176"/>
        <v>10.229976351370027</v>
      </c>
      <c r="P1011" s="1">
        <f t="shared" si="172"/>
        <v>11.687505241745082</v>
      </c>
      <c r="Q1011" s="1">
        <f t="shared" si="173"/>
        <v>11.361127651053478</v>
      </c>
      <c r="R1011" s="1">
        <v>126.07909999999994</v>
      </c>
      <c r="S1011" s="1" t="e">
        <f t="shared" si="174"/>
        <v>#N/A</v>
      </c>
      <c r="T1011" s="1" t="e">
        <v>#N/A</v>
      </c>
    </row>
    <row r="1012" spans="1:20" x14ac:dyDescent="0.35">
      <c r="A1012" s="1">
        <v>500081.63270000002</v>
      </c>
      <c r="B1012" s="1">
        <v>5999997.7350000003</v>
      </c>
      <c r="C1012" s="1">
        <v>162.52794206849799</v>
      </c>
      <c r="D1012" s="1">
        <f t="shared" si="175"/>
        <v>81.761646410996917</v>
      </c>
      <c r="E1012" s="1">
        <v>0.01</v>
      </c>
      <c r="F1012" s="1">
        <v>0.05</v>
      </c>
      <c r="G1012" s="1">
        <v>0.1</v>
      </c>
      <c r="H1012" s="1">
        <v>9.81</v>
      </c>
      <c r="I1012" s="1">
        <v>2650</v>
      </c>
      <c r="J1012" s="1">
        <v>1000</v>
      </c>
      <c r="K1012" s="1">
        <v>1.65</v>
      </c>
      <c r="L1012" s="1">
        <v>6.5</v>
      </c>
      <c r="M1012" s="1">
        <v>2.5</v>
      </c>
      <c r="N1012" s="6">
        <v>9.9999999999999995E-7</v>
      </c>
      <c r="O1012" s="1">
        <f t="shared" si="176"/>
        <v>10.224765396477437</v>
      </c>
      <c r="P1012" s="1">
        <f t="shared" si="172"/>
        <v>11.652977208096294</v>
      </c>
      <c r="Q1012" s="1">
        <f t="shared" si="173"/>
        <v>11.670241224920687</v>
      </c>
      <c r="R1012" s="1">
        <v>126.07909999999994</v>
      </c>
      <c r="S1012" s="1" t="e">
        <f t="shared" si="174"/>
        <v>#N/A</v>
      </c>
      <c r="T1012" s="1" t="e">
        <v>#N/A</v>
      </c>
    </row>
    <row r="1013" spans="1:20" x14ac:dyDescent="0.35">
      <c r="A1013" s="1">
        <v>500091.83669999999</v>
      </c>
      <c r="B1013" s="1">
        <v>5999997.7640000004</v>
      </c>
      <c r="C1013" s="1">
        <v>168.15550111421601</v>
      </c>
      <c r="D1013" s="1">
        <f t="shared" si="175"/>
        <v>91.965687620212464</v>
      </c>
      <c r="E1013" s="1">
        <v>0.01</v>
      </c>
      <c r="F1013" s="1">
        <v>0.05</v>
      </c>
      <c r="G1013" s="1">
        <v>0.1</v>
      </c>
      <c r="H1013" s="1">
        <v>9.81</v>
      </c>
      <c r="I1013" s="1">
        <v>2650</v>
      </c>
      <c r="J1013" s="1">
        <v>1000</v>
      </c>
      <c r="K1013" s="1">
        <v>1.65</v>
      </c>
      <c r="L1013" s="1">
        <v>6.5</v>
      </c>
      <c r="M1013" s="1">
        <v>2.5</v>
      </c>
      <c r="N1013" s="6">
        <v>9.9999999999999995E-7</v>
      </c>
      <c r="O1013" s="1">
        <f t="shared" si="176"/>
        <v>10.204607223431253</v>
      </c>
      <c r="P1013" s="1">
        <f t="shared" si="172"/>
        <v>10.499401533865951</v>
      </c>
      <c r="Q1013" s="1">
        <f t="shared" si="173"/>
        <v>11.076189370981123</v>
      </c>
      <c r="R1013" s="1">
        <v>126.07909999999994</v>
      </c>
      <c r="S1013" s="1" t="e">
        <f t="shared" si="174"/>
        <v>#N/A</v>
      </c>
      <c r="T1013" s="1" t="e">
        <v>#N/A</v>
      </c>
    </row>
    <row r="1014" spans="1:20" x14ac:dyDescent="0.35">
      <c r="A1014" s="1">
        <v>500102.04080000002</v>
      </c>
      <c r="B1014" s="1">
        <v>5999997.9119999995</v>
      </c>
      <c r="C1014" s="1">
        <v>170.62367285843499</v>
      </c>
      <c r="D1014" s="1">
        <f t="shared" si="175"/>
        <v>102.17086085785942</v>
      </c>
      <c r="E1014" s="1">
        <v>0.01</v>
      </c>
      <c r="F1014" s="1">
        <v>0.05</v>
      </c>
      <c r="G1014" s="1">
        <v>0.1</v>
      </c>
      <c r="H1014" s="1">
        <v>9.81</v>
      </c>
      <c r="I1014" s="1">
        <v>2650</v>
      </c>
      <c r="J1014" s="1">
        <v>1000</v>
      </c>
      <c r="K1014" s="1">
        <v>1.65</v>
      </c>
      <c r="L1014" s="1">
        <v>6.5</v>
      </c>
      <c r="M1014" s="1">
        <v>2.5</v>
      </c>
      <c r="N1014" s="6">
        <v>9.9999999999999995E-7</v>
      </c>
      <c r="O1014" s="1">
        <f t="shared" si="176"/>
        <v>10.21006882166494</v>
      </c>
      <c r="P1014" s="1">
        <f t="shared" si="172"/>
        <v>10.948230205101877</v>
      </c>
      <c r="Q1014" s="1">
        <f t="shared" si="173"/>
        <v>10.723815869483914</v>
      </c>
      <c r="R1014" s="1">
        <v>126.07909999999994</v>
      </c>
      <c r="S1014" s="1" t="e">
        <f t="shared" si="174"/>
        <v>#N/A</v>
      </c>
      <c r="T1014" s="1" t="e">
        <v>#N/A</v>
      </c>
    </row>
    <row r="1015" spans="1:20" x14ac:dyDescent="0.35">
      <c r="A1015" s="1">
        <v>500112.24489999999</v>
      </c>
      <c r="B1015" s="1">
        <v>5999997.4409999996</v>
      </c>
      <c r="C1015" s="1">
        <v>174.56299346160199</v>
      </c>
      <c r="D1015" s="1">
        <f t="shared" si="175"/>
        <v>112.38582526354234</v>
      </c>
      <c r="E1015" s="1">
        <v>0.01</v>
      </c>
      <c r="F1015" s="1">
        <v>0.05</v>
      </c>
      <c r="G1015" s="1">
        <v>0.1</v>
      </c>
      <c r="H1015" s="1">
        <v>9.81</v>
      </c>
      <c r="I1015" s="1">
        <v>2650</v>
      </c>
      <c r="J1015" s="1">
        <v>1000</v>
      </c>
      <c r="K1015" s="1">
        <v>1.65</v>
      </c>
      <c r="L1015" s="1">
        <v>6.5</v>
      </c>
      <c r="M1015" s="1">
        <v>2.5</v>
      </c>
      <c r="N1015" s="6">
        <v>9.9999999999999995E-7</v>
      </c>
      <c r="O1015" s="1">
        <f t="shared" si="176"/>
        <v>10.211692861963954</v>
      </c>
      <c r="P1015" s="1">
        <f t="shared" si="172"/>
        <v>13.530011313683339</v>
      </c>
      <c r="Q1015" s="1">
        <f t="shared" si="173"/>
        <v>12.239120759392609</v>
      </c>
      <c r="R1015" s="1">
        <v>126.07909999999994</v>
      </c>
      <c r="S1015" s="1" t="e">
        <f t="shared" si="174"/>
        <v>#N/A</v>
      </c>
      <c r="T1015" s="1" t="e">
        <v>#N/A</v>
      </c>
    </row>
    <row r="1016" spans="1:20" x14ac:dyDescent="0.35">
      <c r="A1016" s="1">
        <v>500122.44900000002</v>
      </c>
      <c r="B1016" s="1">
        <v>5999997.7379999999</v>
      </c>
      <c r="C1016" s="1">
        <v>165.68327835707299</v>
      </c>
      <c r="D1016" s="1">
        <f t="shared" si="175"/>
        <v>122.59424658178733</v>
      </c>
      <c r="E1016" s="1">
        <v>0.01</v>
      </c>
      <c r="F1016" s="1">
        <v>0.05</v>
      </c>
      <c r="G1016" s="1">
        <v>0.1</v>
      </c>
      <c r="H1016" s="1">
        <v>9.81</v>
      </c>
      <c r="I1016" s="1">
        <v>2650</v>
      </c>
      <c r="J1016" s="1">
        <v>1000</v>
      </c>
      <c r="K1016" s="1">
        <v>1.65</v>
      </c>
      <c r="L1016" s="1">
        <v>6.5</v>
      </c>
      <c r="M1016" s="1">
        <v>2.5</v>
      </c>
      <c r="N1016" s="6">
        <v>9.9999999999999995E-7</v>
      </c>
      <c r="O1016" s="1">
        <f t="shared" si="176"/>
        <v>10.212455607463802</v>
      </c>
      <c r="P1016" s="1">
        <f t="shared" si="172"/>
        <v>12.917030195420445</v>
      </c>
      <c r="Q1016" s="1">
        <f t="shared" si="173"/>
        <v>13.223520754551892</v>
      </c>
      <c r="R1016" s="1">
        <v>126.07909999999994</v>
      </c>
      <c r="S1016" s="1" t="e">
        <f t="shared" si="174"/>
        <v>#N/A</v>
      </c>
      <c r="T1016" s="1" t="e">
        <v>#N/A</v>
      </c>
    </row>
    <row r="1017" spans="1:20" x14ac:dyDescent="0.35">
      <c r="A1017" s="1">
        <v>500132.6531</v>
      </c>
      <c r="B1017" s="1">
        <v>5999997.2350000003</v>
      </c>
      <c r="C1017" s="1">
        <v>173.58726489934301</v>
      </c>
      <c r="D1017" s="1">
        <f t="shared" si="175"/>
        <v>132.81073647846995</v>
      </c>
      <c r="E1017" s="1">
        <v>0.01</v>
      </c>
      <c r="F1017" s="1">
        <v>0.05</v>
      </c>
      <c r="G1017" s="1">
        <v>0.1</v>
      </c>
      <c r="H1017" s="1">
        <v>9.81</v>
      </c>
      <c r="I1017" s="1">
        <v>2650</v>
      </c>
      <c r="J1017" s="1">
        <v>1000</v>
      </c>
      <c r="K1017" s="1">
        <v>1.65</v>
      </c>
      <c r="L1017" s="1">
        <v>6.5</v>
      </c>
      <c r="M1017" s="1">
        <v>2.5</v>
      </c>
      <c r="N1017" s="6">
        <v>9.9999999999999995E-7</v>
      </c>
      <c r="O1017" s="1">
        <f t="shared" si="176"/>
        <v>10.225512676353247</v>
      </c>
      <c r="P1017" s="1">
        <f t="shared" si="172"/>
        <v>13.492945518552009</v>
      </c>
      <c r="Q1017" s="1">
        <f t="shared" si="173"/>
        <v>13.204987856986227</v>
      </c>
      <c r="R1017" s="1">
        <v>126.07909999999994</v>
      </c>
      <c r="S1017" s="1" t="e">
        <f t="shared" si="174"/>
        <v>#N/A</v>
      </c>
      <c r="T1017" s="1" t="e">
        <v>#N/A</v>
      </c>
    </row>
    <row r="1018" spans="1:20" x14ac:dyDescent="0.35">
      <c r="A1018" s="1">
        <v>500142.85710000002</v>
      </c>
      <c r="B1018" s="1">
        <v>5999996.4450000003</v>
      </c>
      <c r="C1018" s="1">
        <v>164.79443470844299</v>
      </c>
      <c r="D1018" s="1">
        <f t="shared" si="175"/>
        <v>143.04527193449383</v>
      </c>
      <c r="E1018" s="1">
        <v>0.01</v>
      </c>
      <c r="F1018" s="1">
        <v>0.05</v>
      </c>
      <c r="G1018" s="1">
        <v>0.1</v>
      </c>
      <c r="H1018" s="1">
        <v>9.81</v>
      </c>
      <c r="I1018" s="1">
        <v>2650</v>
      </c>
      <c r="J1018" s="1">
        <v>1000</v>
      </c>
      <c r="K1018" s="1">
        <v>1.65</v>
      </c>
      <c r="L1018" s="1">
        <v>6.5</v>
      </c>
      <c r="M1018" s="1">
        <v>2.5</v>
      </c>
      <c r="N1018" s="6">
        <v>9.9999999999999995E-7</v>
      </c>
      <c r="O1018" s="1">
        <f t="shared" si="176"/>
        <v>10.219577641411078</v>
      </c>
      <c r="P1018" s="1">
        <f t="shared" si="172"/>
        <v>10.57052865269438</v>
      </c>
      <c r="Q1018" s="1">
        <f t="shared" si="173"/>
        <v>12.031737085623195</v>
      </c>
      <c r="R1018" s="1">
        <v>126.07909999999994</v>
      </c>
      <c r="S1018" s="1" t="e">
        <f t="shared" si="174"/>
        <v>#N/A</v>
      </c>
      <c r="T1018" s="1" t="e">
        <v>#N/A</v>
      </c>
    </row>
    <row r="1019" spans="1:20" x14ac:dyDescent="0.35">
      <c r="A1019" s="1">
        <v>500153.0612</v>
      </c>
      <c r="B1019" s="1">
        <v>5999996.5480000004</v>
      </c>
      <c r="C1019" s="1">
        <v>167.55157275140499</v>
      </c>
      <c r="D1019" s="1">
        <f t="shared" si="175"/>
        <v>153.2498917612921</v>
      </c>
      <c r="E1019" s="1">
        <v>0.01</v>
      </c>
      <c r="F1019" s="1">
        <v>0.05</v>
      </c>
      <c r="G1019" s="1">
        <v>0.1</v>
      </c>
      <c r="H1019" s="1">
        <v>9.81</v>
      </c>
      <c r="I1019" s="1">
        <v>2650</v>
      </c>
      <c r="J1019" s="1">
        <v>1000</v>
      </c>
      <c r="K1019" s="1">
        <v>1.65</v>
      </c>
      <c r="L1019" s="1">
        <v>6.5</v>
      </c>
      <c r="M1019" s="1">
        <v>2.5</v>
      </c>
      <c r="N1019" s="6">
        <v>9.9999999999999995E-7</v>
      </c>
      <c r="O1019" s="1">
        <f t="shared" si="176"/>
        <v>10.204940921281036</v>
      </c>
      <c r="P1019" s="1">
        <f t="shared" si="172"/>
        <v>10.682627590463349</v>
      </c>
      <c r="Q1019" s="1">
        <f t="shared" si="173"/>
        <v>10.626578121578865</v>
      </c>
      <c r="R1019" s="1">
        <v>126.07909999999994</v>
      </c>
      <c r="S1019" s="1" t="e">
        <f t="shared" si="174"/>
        <v>#N/A</v>
      </c>
      <c r="T1019" s="1" t="e">
        <v>#N/A</v>
      </c>
    </row>
    <row r="1020" spans="1:20" x14ac:dyDescent="0.35">
      <c r="A1020" s="1">
        <v>500163.26530000003</v>
      </c>
      <c r="B1020" s="1">
        <v>5999996.7019999996</v>
      </c>
      <c r="C1020" s="1">
        <v>164.39385847900201</v>
      </c>
      <c r="D1020" s="1">
        <f t="shared" si="175"/>
        <v>163.4551537770559</v>
      </c>
      <c r="E1020" s="1">
        <v>0.01</v>
      </c>
      <c r="F1020" s="1">
        <v>0.05</v>
      </c>
      <c r="G1020" s="1">
        <v>0.1</v>
      </c>
      <c r="H1020" s="1">
        <v>9.81</v>
      </c>
      <c r="I1020" s="1">
        <v>2650</v>
      </c>
      <c r="J1020" s="1">
        <v>1000</v>
      </c>
      <c r="K1020" s="1">
        <v>1.65</v>
      </c>
      <c r="L1020" s="1">
        <v>6.5</v>
      </c>
      <c r="M1020" s="1">
        <v>2.5</v>
      </c>
      <c r="N1020" s="6">
        <v>9.9999999999999995E-7</v>
      </c>
      <c r="O1020" s="1">
        <f t="shared" si="176"/>
        <v>10.213849082106762</v>
      </c>
      <c r="P1020" s="1">
        <f t="shared" si="172"/>
        <v>11.026540308620518</v>
      </c>
      <c r="Q1020" s="1">
        <f t="shared" si="173"/>
        <v>10.854583949541933</v>
      </c>
      <c r="R1020" s="1">
        <v>126.07909999999994</v>
      </c>
      <c r="S1020" s="1" t="e">
        <f t="shared" si="174"/>
        <v>#N/A</v>
      </c>
      <c r="T1020" s="1" t="e">
        <v>#N/A</v>
      </c>
    </row>
    <row r="1021" spans="1:20" x14ac:dyDescent="0.35">
      <c r="A1021" s="1">
        <v>500173.4694</v>
      </c>
      <c r="B1021" s="1">
        <v>5999996.0899999999</v>
      </c>
      <c r="C1021" s="1">
        <v>168.52742719967199</v>
      </c>
      <c r="D1021" s="1">
        <f t="shared" si="175"/>
        <v>173.67758992550563</v>
      </c>
      <c r="E1021" s="1">
        <v>0.01</v>
      </c>
      <c r="F1021" s="1">
        <v>0.05</v>
      </c>
      <c r="G1021" s="1">
        <v>0.1</v>
      </c>
      <c r="H1021" s="1">
        <v>9.81</v>
      </c>
      <c r="I1021" s="1">
        <v>2650</v>
      </c>
      <c r="J1021" s="1">
        <v>1000</v>
      </c>
      <c r="K1021" s="1">
        <v>1.65</v>
      </c>
      <c r="L1021" s="1">
        <v>6.5</v>
      </c>
      <c r="M1021" s="1">
        <v>2.5</v>
      </c>
      <c r="N1021" s="6">
        <v>9.9999999999999995E-7</v>
      </c>
      <c r="O1021" s="1">
        <f t="shared" si="176"/>
        <v>10.214988293625822</v>
      </c>
      <c r="P1021" s="1">
        <f t="shared" si="172"/>
        <v>10.632479456336906</v>
      </c>
      <c r="Q1021" s="1">
        <f t="shared" si="173"/>
        <v>10.829509882478712</v>
      </c>
      <c r="R1021" s="1">
        <v>126.07909999999994</v>
      </c>
      <c r="S1021" s="1" t="e">
        <f t="shared" si="174"/>
        <v>#N/A</v>
      </c>
      <c r="T1021" s="1" t="e">
        <v>#N/A</v>
      </c>
    </row>
    <row r="1022" spans="1:20" x14ac:dyDescent="0.35">
      <c r="A1022" s="1">
        <v>500183.67349999998</v>
      </c>
      <c r="B1022" s="1">
        <v>5999996.3550000004</v>
      </c>
      <c r="C1022" s="1">
        <v>165.55156806663999</v>
      </c>
      <c r="D1022" s="1">
        <f t="shared" si="175"/>
        <v>183.88513036430754</v>
      </c>
      <c r="E1022" s="1">
        <v>0.01</v>
      </c>
      <c r="F1022" s="1">
        <v>0.05</v>
      </c>
      <c r="G1022" s="1">
        <v>0.1</v>
      </c>
      <c r="H1022" s="1">
        <v>9.81</v>
      </c>
      <c r="I1022" s="1">
        <v>2650</v>
      </c>
      <c r="J1022" s="1">
        <v>1000</v>
      </c>
      <c r="K1022" s="1">
        <v>1.65</v>
      </c>
      <c r="L1022" s="1">
        <v>6.5</v>
      </c>
      <c r="M1022" s="1">
        <v>2.5</v>
      </c>
      <c r="N1022" s="6">
        <v>9.9999999999999995E-7</v>
      </c>
      <c r="O1022" s="1">
        <f t="shared" si="176"/>
        <v>10.210285318026777</v>
      </c>
      <c r="P1022" s="1">
        <f t="shared" si="172"/>
        <v>10.217153370786205</v>
      </c>
      <c r="Q1022" s="1">
        <f t="shared" si="173"/>
        <v>10.424816413561555</v>
      </c>
      <c r="R1022" s="1">
        <v>126.07909999999994</v>
      </c>
      <c r="S1022" s="1" t="e">
        <f t="shared" si="174"/>
        <v>#N/A</v>
      </c>
      <c r="T1022" s="1" t="e">
        <v>#N/A</v>
      </c>
    </row>
    <row r="1023" spans="1:20" x14ac:dyDescent="0.35">
      <c r="A1023" s="1">
        <v>500193.87760000001</v>
      </c>
      <c r="B1023" s="1">
        <v>5999996.7819999997</v>
      </c>
      <c r="C1023" s="1">
        <v>165.84180450851801</v>
      </c>
      <c r="D1023" s="1">
        <f t="shared" si="175"/>
        <v>194.09816056155918</v>
      </c>
      <c r="E1023" s="1">
        <v>0.01</v>
      </c>
      <c r="F1023" s="1">
        <v>0.05</v>
      </c>
      <c r="G1023" s="1">
        <v>0.1</v>
      </c>
      <c r="H1023" s="1">
        <v>9.81</v>
      </c>
      <c r="I1023" s="1">
        <v>2650</v>
      </c>
      <c r="J1023" s="1">
        <v>1000</v>
      </c>
      <c r="K1023" s="1">
        <v>1.65</v>
      </c>
      <c r="L1023" s="1">
        <v>6.5</v>
      </c>
      <c r="M1023" s="1">
        <v>2.5</v>
      </c>
      <c r="N1023" s="6">
        <v>9.9999999999999995E-7</v>
      </c>
      <c r="O1023" s="1">
        <f t="shared" si="176"/>
        <v>10.225732250662787</v>
      </c>
      <c r="P1023" s="1">
        <f t="shared" si="172"/>
        <v>11.805317568883225</v>
      </c>
      <c r="Q1023" s="1">
        <f t="shared" si="173"/>
        <v>11.011235469834716</v>
      </c>
      <c r="R1023" s="1">
        <v>126.07909999999994</v>
      </c>
      <c r="S1023" s="1" t="e">
        <f t="shared" si="174"/>
        <v>#N/A</v>
      </c>
      <c r="T1023" s="1" t="e">
        <v>#N/A</v>
      </c>
    </row>
    <row r="1024" spans="1:20" x14ac:dyDescent="0.35">
      <c r="A1024" s="1">
        <v>500204.08159999998</v>
      </c>
      <c r="B1024" s="1">
        <v>5999995.943</v>
      </c>
      <c r="C1024" s="1">
        <v>159.96473160584401</v>
      </c>
      <c r="D1024" s="1">
        <f t="shared" si="175"/>
        <v>204.33659486563312</v>
      </c>
      <c r="E1024" s="1">
        <v>0.01</v>
      </c>
      <c r="F1024" s="1">
        <v>0.05</v>
      </c>
      <c r="G1024" s="1">
        <v>0.1</v>
      </c>
      <c r="H1024" s="1">
        <v>9.81</v>
      </c>
      <c r="I1024" s="1">
        <v>2650</v>
      </c>
      <c r="J1024" s="1">
        <v>1000</v>
      </c>
      <c r="K1024" s="1">
        <v>1.65</v>
      </c>
      <c r="L1024" s="1">
        <v>6.5</v>
      </c>
      <c r="M1024" s="1">
        <v>2.5</v>
      </c>
      <c r="N1024" s="6">
        <v>9.9999999999999995E-7</v>
      </c>
      <c r="O1024" s="1">
        <f t="shared" si="176"/>
        <v>10.222474465035148</v>
      </c>
      <c r="P1024" s="1">
        <f t="shared" si="172"/>
        <v>10.510110351296964</v>
      </c>
      <c r="Q1024" s="1">
        <f t="shared" si="173"/>
        <v>11.157713960090096</v>
      </c>
      <c r="R1024" s="1">
        <v>126.07909999999994</v>
      </c>
      <c r="S1024" s="1" t="e">
        <f t="shared" si="174"/>
        <v>#N/A</v>
      </c>
      <c r="T1024" s="1" t="e">
        <v>#N/A</v>
      </c>
    </row>
    <row r="1025" spans="1:20" x14ac:dyDescent="0.35">
      <c r="A1025" s="1">
        <v>500214.28570000001</v>
      </c>
      <c r="B1025" s="1">
        <v>5999995.7209999999</v>
      </c>
      <c r="C1025" s="1">
        <v>162.47261493362501</v>
      </c>
      <c r="D1025" s="1">
        <f t="shared" si="175"/>
        <v>214.54310949162948</v>
      </c>
      <c r="E1025" s="1">
        <v>0.01</v>
      </c>
      <c r="F1025" s="1">
        <v>0.05</v>
      </c>
      <c r="G1025" s="1">
        <v>0.1</v>
      </c>
      <c r="H1025" s="1">
        <v>9.81</v>
      </c>
      <c r="I1025" s="1">
        <v>2650</v>
      </c>
      <c r="J1025" s="1">
        <v>1000</v>
      </c>
      <c r="K1025" s="1">
        <v>1.65</v>
      </c>
      <c r="L1025" s="1">
        <v>6.5</v>
      </c>
      <c r="M1025" s="1">
        <v>2.5</v>
      </c>
      <c r="N1025" s="6">
        <v>9.9999999999999995E-7</v>
      </c>
      <c r="O1025" s="1">
        <f t="shared" si="176"/>
        <v>10.209668499185454</v>
      </c>
      <c r="P1025" s="1">
        <f t="shared" si="172"/>
        <v>13.932835838967597</v>
      </c>
      <c r="Q1025" s="1">
        <f t="shared" si="173"/>
        <v>12.22147309513228</v>
      </c>
      <c r="R1025" s="1">
        <v>126.07909999999994</v>
      </c>
      <c r="S1025" s="1" t="e">
        <f t="shared" si="174"/>
        <v>#N/A</v>
      </c>
      <c r="T1025" s="1" t="e">
        <v>#N/A</v>
      </c>
    </row>
    <row r="1026" spans="1:20" x14ac:dyDescent="0.35">
      <c r="A1026" s="1">
        <v>500224.48979999998</v>
      </c>
      <c r="B1026" s="1">
        <v>5999996.1430000002</v>
      </c>
      <c r="C1026" s="1">
        <v>152.99515885586101</v>
      </c>
      <c r="D1026" s="1">
        <f t="shared" si="175"/>
        <v>224.75593186400403</v>
      </c>
      <c r="E1026" s="1">
        <v>0.01</v>
      </c>
      <c r="F1026" s="1">
        <v>0.05</v>
      </c>
      <c r="G1026" s="1">
        <v>0.1</v>
      </c>
      <c r="H1026" s="1">
        <v>9.81</v>
      </c>
      <c r="I1026" s="1">
        <v>2650</v>
      </c>
      <c r="J1026" s="1">
        <v>1000</v>
      </c>
      <c r="K1026" s="1">
        <v>1.65</v>
      </c>
      <c r="L1026" s="1">
        <v>6.5</v>
      </c>
      <c r="M1026" s="1">
        <v>2.5</v>
      </c>
      <c r="N1026" s="6">
        <v>9.9999999999999995E-7</v>
      </c>
      <c r="O1026" s="1">
        <f t="shared" si="176"/>
        <v>10.211706300347956</v>
      </c>
      <c r="P1026" s="1">
        <f t="shared" si="172"/>
        <v>10.301820481574744</v>
      </c>
      <c r="Q1026" s="1">
        <f t="shared" si="173"/>
        <v>12.117328160271171</v>
      </c>
      <c r="R1026" s="1">
        <v>126.07909999999994</v>
      </c>
      <c r="S1026" s="1" t="e">
        <f t="shared" si="174"/>
        <v>#N/A</v>
      </c>
      <c r="T1026" s="1" t="e">
        <v>#N/A</v>
      </c>
    </row>
    <row r="1027" spans="1:20" x14ac:dyDescent="0.35">
      <c r="A1027" s="1">
        <v>500234.69390000001</v>
      </c>
      <c r="B1027" s="1">
        <v>5999996.5070000002</v>
      </c>
      <c r="C1027" s="1">
        <v>151.627185016966</v>
      </c>
      <c r="D1027" s="1">
        <f t="shared" si="175"/>
        <v>234.96652209232539</v>
      </c>
      <c r="E1027" s="1">
        <v>0.01</v>
      </c>
      <c r="F1027" s="1">
        <v>0.05</v>
      </c>
      <c r="G1027" s="1">
        <v>0.1</v>
      </c>
      <c r="H1027" s="1">
        <v>9.81</v>
      </c>
      <c r="I1027" s="1">
        <v>2650</v>
      </c>
      <c r="J1027" s="1">
        <v>1000</v>
      </c>
      <c r="K1027" s="1">
        <v>1.65</v>
      </c>
      <c r="L1027" s="1">
        <v>6.5</v>
      </c>
      <c r="M1027" s="1">
        <v>2.5</v>
      </c>
      <c r="N1027" s="6">
        <v>9.9999999999999995E-7</v>
      </c>
      <c r="O1027" s="1">
        <f t="shared" si="176"/>
        <v>10.212172653557417</v>
      </c>
      <c r="P1027" s="1">
        <f t="shared" si="172"/>
        <v>11.089044194999135</v>
      </c>
      <c r="Q1027" s="1">
        <f t="shared" si="173"/>
        <v>10.695432338286938</v>
      </c>
      <c r="R1027" s="1">
        <v>126.07909999999994</v>
      </c>
      <c r="S1027" s="1" t="e">
        <f t="shared" si="174"/>
        <v>#N/A</v>
      </c>
      <c r="T1027" s="1" t="e">
        <v>#N/A</v>
      </c>
    </row>
    <row r="1028" spans="1:20" x14ac:dyDescent="0.35">
      <c r="A1028" s="1">
        <v>500244.89799999999</v>
      </c>
      <c r="B1028" s="1">
        <v>5999996.9510000004</v>
      </c>
      <c r="C1028" s="1">
        <v>155.94529899752101</v>
      </c>
      <c r="D1028" s="1">
        <f t="shared" si="175"/>
        <v>245.18027717111886</v>
      </c>
      <c r="E1028" s="1">
        <v>0.01</v>
      </c>
      <c r="F1028" s="1">
        <v>0.05</v>
      </c>
      <c r="G1028" s="1">
        <v>0.1</v>
      </c>
      <c r="H1028" s="1">
        <v>9.81</v>
      </c>
      <c r="I1028" s="1">
        <v>2650</v>
      </c>
      <c r="J1028" s="1">
        <v>1000</v>
      </c>
      <c r="K1028" s="1">
        <v>1.65</v>
      </c>
      <c r="L1028" s="1">
        <v>6.5</v>
      </c>
      <c r="M1028" s="1">
        <v>2.5</v>
      </c>
      <c r="N1028" s="6">
        <v>9.9999999999999995E-7</v>
      </c>
      <c r="O1028" s="1">
        <f t="shared" si="176"/>
        <v>10.228334363400478</v>
      </c>
      <c r="P1028" s="1">
        <f t="shared" si="172"/>
        <v>11.738479864242503</v>
      </c>
      <c r="Q1028" s="1">
        <f t="shared" si="173"/>
        <v>11.41376202962082</v>
      </c>
      <c r="R1028" s="1">
        <v>126.07909999999994</v>
      </c>
      <c r="S1028" s="1" t="e">
        <f t="shared" si="174"/>
        <v>#N/A</v>
      </c>
      <c r="T1028" s="1" t="e">
        <v>#N/A</v>
      </c>
    </row>
    <row r="1029" spans="1:20" x14ac:dyDescent="0.35">
      <c r="A1029" s="1">
        <v>500255.10200000001</v>
      </c>
      <c r="B1029" s="1">
        <v>5999997.8430000003</v>
      </c>
      <c r="C1029" s="1">
        <v>150.21165883417899</v>
      </c>
      <c r="D1029" s="1">
        <f t="shared" si="175"/>
        <v>255.42319081912635</v>
      </c>
      <c r="E1029" s="1">
        <v>0.01</v>
      </c>
      <c r="F1029" s="1">
        <v>0.05</v>
      </c>
      <c r="G1029" s="1">
        <v>0.1</v>
      </c>
      <c r="H1029" s="1">
        <v>9.81</v>
      </c>
      <c r="I1029" s="1">
        <v>2650</v>
      </c>
      <c r="J1029" s="1">
        <v>1000</v>
      </c>
      <c r="K1029" s="1">
        <v>1.65</v>
      </c>
      <c r="L1029" s="1">
        <v>6.5</v>
      </c>
      <c r="M1029" s="1">
        <v>2.5</v>
      </c>
      <c r="N1029" s="6">
        <v>9.9999999999999995E-7</v>
      </c>
      <c r="O1029" s="1">
        <f t="shared" si="176"/>
        <v>10.228247812702051</v>
      </c>
      <c r="P1029" s="1">
        <f t="shared" si="172"/>
        <v>10.415569048554094</v>
      </c>
      <c r="Q1029" s="1">
        <f t="shared" si="173"/>
        <v>11.077024456398298</v>
      </c>
      <c r="R1029" s="1">
        <v>126.07909999999994</v>
      </c>
      <c r="S1029" s="1" t="e">
        <f t="shared" si="174"/>
        <v>#N/A</v>
      </c>
      <c r="T1029" s="1" t="e">
        <v>#N/A</v>
      </c>
    </row>
    <row r="1030" spans="1:20" x14ac:dyDescent="0.35">
      <c r="A1030" s="1">
        <v>500265.30609999999</v>
      </c>
      <c r="B1030" s="1">
        <v>5999998.2829999998</v>
      </c>
      <c r="C1030" s="1">
        <v>148.17037938339399</v>
      </c>
      <c r="D1030" s="1">
        <f t="shared" si="175"/>
        <v>265.63677279652296</v>
      </c>
      <c r="E1030" s="1">
        <v>0.01</v>
      </c>
      <c r="F1030" s="1">
        <v>0.05</v>
      </c>
      <c r="G1030" s="1">
        <v>0.1</v>
      </c>
      <c r="H1030" s="1">
        <v>9.81</v>
      </c>
      <c r="I1030" s="1">
        <v>2650</v>
      </c>
      <c r="J1030" s="1">
        <v>1000</v>
      </c>
      <c r="K1030" s="1">
        <v>1.65</v>
      </c>
      <c r="L1030" s="1">
        <v>6.5</v>
      </c>
      <c r="M1030" s="1">
        <v>2.5</v>
      </c>
      <c r="N1030" s="6">
        <v>9.9999999999999995E-7</v>
      </c>
      <c r="O1030" s="1">
        <f t="shared" si="176"/>
        <v>10.23198332194535</v>
      </c>
      <c r="P1030" s="1">
        <f t="shared" si="172"/>
        <v>10.753746192038282</v>
      </c>
      <c r="Q1030" s="1">
        <f t="shared" si="173"/>
        <v>10.584657620296188</v>
      </c>
      <c r="R1030" s="1">
        <v>126.07909999999994</v>
      </c>
      <c r="S1030" s="1" t="e">
        <f t="shared" si="174"/>
        <v>#N/A</v>
      </c>
      <c r="T1030" s="1" t="e">
        <v>#N/A</v>
      </c>
    </row>
    <row r="1031" spans="1:20" x14ac:dyDescent="0.35">
      <c r="A1031" s="1">
        <v>500275.51020000002</v>
      </c>
      <c r="B1031" s="1">
        <v>5999997.3099999996</v>
      </c>
      <c r="C1031" s="1">
        <v>144.91881493659599</v>
      </c>
      <c r="D1031" s="1">
        <f t="shared" si="175"/>
        <v>275.88715746301705</v>
      </c>
      <c r="E1031" s="1">
        <v>0.01</v>
      </c>
      <c r="F1031" s="1">
        <v>0.05</v>
      </c>
      <c r="G1031" s="1">
        <v>0.1</v>
      </c>
      <c r="H1031" s="1">
        <v>9.81</v>
      </c>
      <c r="I1031" s="1">
        <v>2650</v>
      </c>
      <c r="J1031" s="1">
        <v>1000</v>
      </c>
      <c r="K1031" s="1">
        <v>1.65</v>
      </c>
      <c r="L1031" s="1">
        <v>6.5</v>
      </c>
      <c r="M1031" s="1">
        <v>2.5</v>
      </c>
      <c r="N1031" s="6">
        <v>9.9999999999999995E-7</v>
      </c>
      <c r="O1031" s="1">
        <f t="shared" si="176"/>
        <v>10.247668609691146</v>
      </c>
      <c r="P1031" s="1">
        <f t="shared" si="172"/>
        <v>10.247801935839309</v>
      </c>
      <c r="Q1031" s="1">
        <f t="shared" si="173"/>
        <v>10.500774063938795</v>
      </c>
      <c r="R1031" s="1">
        <v>126.07909999999994</v>
      </c>
      <c r="S1031" s="1" t="e">
        <f t="shared" si="174"/>
        <v>#N/A</v>
      </c>
      <c r="T1031" s="1" t="e">
        <v>#N/A</v>
      </c>
    </row>
    <row r="1032" spans="1:20" x14ac:dyDescent="0.35">
      <c r="A1032" s="1">
        <v>500285.71429999999</v>
      </c>
      <c r="B1032" s="1">
        <v>5999998.2240000004</v>
      </c>
      <c r="C1032" s="1">
        <v>144.67717117967001</v>
      </c>
      <c r="D1032" s="1">
        <f t="shared" si="175"/>
        <v>286.13211001590525</v>
      </c>
      <c r="E1032" s="1">
        <v>0.01</v>
      </c>
      <c r="F1032" s="1">
        <v>0.05</v>
      </c>
      <c r="G1032" s="1">
        <v>0.1</v>
      </c>
      <c r="H1032" s="1">
        <v>9.81</v>
      </c>
      <c r="I1032" s="1">
        <v>2650</v>
      </c>
      <c r="J1032" s="1">
        <v>1000</v>
      </c>
      <c r="K1032" s="1">
        <v>1.65</v>
      </c>
      <c r="L1032" s="1">
        <v>6.5</v>
      </c>
      <c r="M1032" s="1">
        <v>2.5</v>
      </c>
      <c r="N1032" s="6">
        <v>9.9999999999999995E-7</v>
      </c>
      <c r="O1032" s="1">
        <f t="shared" si="176"/>
        <v>10.245310960713113</v>
      </c>
      <c r="P1032" s="1">
        <f t="shared" si="172"/>
        <v>10.773986209295044</v>
      </c>
      <c r="Q1032" s="1">
        <f t="shared" si="173"/>
        <v>10.510894072567176</v>
      </c>
      <c r="R1032" s="1">
        <v>126.07909999999994</v>
      </c>
      <c r="S1032" s="1" t="e">
        <f t="shared" si="174"/>
        <v>#N/A</v>
      </c>
      <c r="T1032" s="1" t="e">
        <v>#N/A</v>
      </c>
    </row>
    <row r="1033" spans="1:20" x14ac:dyDescent="0.35">
      <c r="A1033" s="1">
        <v>500295.91840000002</v>
      </c>
      <c r="B1033" s="1">
        <v>5999999.1459999997</v>
      </c>
      <c r="C1033" s="1">
        <v>141.344748933213</v>
      </c>
      <c r="D1033" s="1">
        <f t="shared" si="175"/>
        <v>296.37777938444327</v>
      </c>
      <c r="E1033" s="1">
        <v>0.01</v>
      </c>
      <c r="F1033" s="1">
        <v>0.05</v>
      </c>
      <c r="G1033" s="1">
        <v>0.1</v>
      </c>
      <c r="H1033" s="1">
        <v>9.81</v>
      </c>
      <c r="I1033" s="1">
        <v>2650</v>
      </c>
      <c r="J1033" s="1">
        <v>1000</v>
      </c>
      <c r="K1033" s="1">
        <v>1.65</v>
      </c>
      <c r="L1033" s="1">
        <v>6.5</v>
      </c>
      <c r="M1033" s="1">
        <v>2.5</v>
      </c>
      <c r="N1033" s="6">
        <v>9.9999999999999995E-7</v>
      </c>
      <c r="O1033" s="1">
        <f t="shared" si="176"/>
        <v>10.233098302678485</v>
      </c>
      <c r="P1033" s="1">
        <f t="shared" si="172"/>
        <v>10.320041754295742</v>
      </c>
      <c r="Q1033" s="1">
        <f t="shared" si="173"/>
        <v>10.547013981795393</v>
      </c>
      <c r="R1033" s="1">
        <v>126.07909999999994</v>
      </c>
      <c r="S1033" s="1" t="e">
        <f t="shared" si="174"/>
        <v>#N/A</v>
      </c>
      <c r="T1033" s="1" t="e">
        <v>#N/A</v>
      </c>
    </row>
    <row r="1034" spans="1:20" x14ac:dyDescent="0.35">
      <c r="A1034" s="1">
        <v>500306.12239999999</v>
      </c>
      <c r="B1034" s="1">
        <v>5999998.5650000004</v>
      </c>
      <c r="C1034" s="1">
        <v>139.91503399244701</v>
      </c>
      <c r="D1034" s="1">
        <f t="shared" si="175"/>
        <v>306.59830662126222</v>
      </c>
      <c r="E1034" s="1">
        <v>0.01</v>
      </c>
      <c r="F1034" s="1">
        <v>0.05</v>
      </c>
      <c r="G1034" s="1">
        <v>0.1</v>
      </c>
      <c r="H1034" s="1">
        <v>9.81</v>
      </c>
      <c r="I1034" s="1">
        <v>2650</v>
      </c>
      <c r="J1034" s="1">
        <v>1000</v>
      </c>
      <c r="K1034" s="1">
        <v>1.65</v>
      </c>
      <c r="L1034" s="1">
        <v>6.5</v>
      </c>
      <c r="M1034" s="1">
        <v>2.5</v>
      </c>
      <c r="N1034" s="6">
        <v>9.9999999999999995E-7</v>
      </c>
      <c r="O1034" s="1">
        <f t="shared" si="176"/>
        <v>10.221874954638196</v>
      </c>
      <c r="P1034" s="1">
        <f t="shared" si="172"/>
        <v>13.893706980070347</v>
      </c>
      <c r="Q1034" s="1">
        <f t="shared" si="173"/>
        <v>12.106874367183044</v>
      </c>
      <c r="R1034" s="1">
        <v>126.07909999999994</v>
      </c>
      <c r="S1034" s="1" t="e">
        <f t="shared" si="174"/>
        <v>#N/A</v>
      </c>
      <c r="T1034" s="1" t="e">
        <v>#N/A</v>
      </c>
    </row>
    <row r="1035" spans="1:20" x14ac:dyDescent="0.35">
      <c r="A1035" s="1">
        <v>500316.32650000002</v>
      </c>
      <c r="B1035" s="1">
        <v>5999999.1900000004</v>
      </c>
      <c r="C1035" s="1">
        <v>130.506484059678</v>
      </c>
      <c r="D1035" s="1">
        <f t="shared" si="175"/>
        <v>316.82152929371966</v>
      </c>
      <c r="E1035" s="1">
        <v>0.01</v>
      </c>
      <c r="F1035" s="1">
        <v>0.05</v>
      </c>
      <c r="G1035" s="1">
        <v>0.1</v>
      </c>
      <c r="H1035" s="1">
        <v>9.81</v>
      </c>
      <c r="I1035" s="1">
        <v>2650</v>
      </c>
      <c r="J1035" s="1">
        <v>1000</v>
      </c>
      <c r="K1035" s="1">
        <v>1.65</v>
      </c>
      <c r="L1035" s="1">
        <v>6.5</v>
      </c>
      <c r="M1035" s="1">
        <v>2.5</v>
      </c>
      <c r="N1035" s="6">
        <v>9.9999999999999995E-7</v>
      </c>
      <c r="O1035" s="1">
        <f t="shared" si="176"/>
        <v>10.235493697492075</v>
      </c>
      <c r="P1035" s="1">
        <f t="shared" si="172"/>
        <v>10.418299398725649</v>
      </c>
      <c r="Q1035" s="1">
        <f t="shared" si="173"/>
        <v>12.156003189397998</v>
      </c>
      <c r="R1035" s="1">
        <v>126.07909999999994</v>
      </c>
      <c r="S1035" s="1" t="e">
        <f t="shared" si="174"/>
        <v>#N/A</v>
      </c>
      <c r="T1035" s="1" t="e">
        <v>#N/A</v>
      </c>
    </row>
    <row r="1036" spans="1:20" x14ac:dyDescent="0.35">
      <c r="A1036" s="1">
        <v>500326.5306</v>
      </c>
      <c r="B1036" s="1">
        <v>6000000.1349999998</v>
      </c>
      <c r="C1036" s="1">
        <v>128.62917733108401</v>
      </c>
      <c r="D1036" s="1">
        <f t="shared" si="175"/>
        <v>327.06929401624637</v>
      </c>
      <c r="E1036" s="1">
        <v>0.01</v>
      </c>
      <c r="F1036" s="1">
        <v>0.05</v>
      </c>
      <c r="G1036" s="1">
        <v>0.1</v>
      </c>
      <c r="H1036" s="1">
        <v>9.81</v>
      </c>
      <c r="I1036" s="1">
        <v>2650</v>
      </c>
      <c r="J1036" s="1">
        <v>1000</v>
      </c>
      <c r="K1036" s="1">
        <v>1.65</v>
      </c>
      <c r="L1036" s="1">
        <v>6.5</v>
      </c>
      <c r="M1036" s="1">
        <v>2.5</v>
      </c>
      <c r="N1036" s="6">
        <v>9.9999999999999995E-7</v>
      </c>
      <c r="O1036" s="1">
        <f t="shared" si="176"/>
        <v>10.241238558797846</v>
      </c>
      <c r="P1036" s="1">
        <f t="shared" ref="P1036:P1052" si="177">SQRT((D1037 - D1036)^2 + (C1037 - C1036)^2)</f>
        <v>10.787841757464356</v>
      </c>
      <c r="Q1036" s="1">
        <f t="shared" ref="Q1036:Q1052" si="178">IF(ROW()=1004, P1036/2, (P1036 + P1035)/2)</f>
        <v>10.603070578095004</v>
      </c>
      <c r="R1036" s="1">
        <v>126.07909999999994</v>
      </c>
      <c r="S1036" s="1" t="e">
        <f t="shared" ref="S1036:S1052" si="179">IF(R1036 - C1036 &lt; 0, NA(), R1036 - C1036)</f>
        <v>#N/A</v>
      </c>
      <c r="T1036" s="1" t="e">
        <v>#N/A</v>
      </c>
    </row>
    <row r="1037" spans="1:20" x14ac:dyDescent="0.35">
      <c r="A1037" s="1">
        <v>500336.73469999997</v>
      </c>
      <c r="B1037" s="1">
        <v>5999999.3439999996</v>
      </c>
      <c r="C1037" s="1">
        <v>132.03919081702699</v>
      </c>
      <c r="D1037" s="1">
        <f t="shared" ref="D1037:D1053" si="180">D1036 + SQRT((A1037 - A1036)^2 + (B1037 - B1036)^2)</f>
        <v>337.30400641131536</v>
      </c>
      <c r="E1037" s="1">
        <v>0.01</v>
      </c>
      <c r="F1037" s="1">
        <v>0.05</v>
      </c>
      <c r="G1037" s="1">
        <v>0.1</v>
      </c>
      <c r="H1037" s="1">
        <v>9.81</v>
      </c>
      <c r="I1037" s="1">
        <v>2650</v>
      </c>
      <c r="J1037" s="1">
        <v>1000</v>
      </c>
      <c r="K1037" s="1">
        <v>1.65</v>
      </c>
      <c r="L1037" s="1">
        <v>6.5</v>
      </c>
      <c r="M1037" s="1">
        <v>2.5</v>
      </c>
      <c r="N1037" s="6">
        <v>9.9999999999999995E-7</v>
      </c>
      <c r="O1037" s="1">
        <f t="shared" si="176"/>
        <v>10.233949248828765</v>
      </c>
      <c r="P1037" s="1">
        <f t="shared" si="177"/>
        <v>11.755266476054745</v>
      </c>
      <c r="Q1037" s="1">
        <f t="shared" si="178"/>
        <v>11.27155411675955</v>
      </c>
      <c r="R1037" s="1">
        <v>126.07909999999994</v>
      </c>
      <c r="S1037" s="1" t="e">
        <f t="shared" si="179"/>
        <v>#N/A</v>
      </c>
      <c r="T1037" s="1" t="e">
        <v>#N/A</v>
      </c>
    </row>
    <row r="1038" spans="1:20" x14ac:dyDescent="0.35">
      <c r="A1038" s="1">
        <v>500346.9388</v>
      </c>
      <c r="B1038" s="1">
        <v>5999998.5729999999</v>
      </c>
      <c r="C1038" s="1">
        <v>126.254020801129</v>
      </c>
      <c r="D1038" s="1">
        <f t="shared" si="180"/>
        <v>347.5371925139039</v>
      </c>
      <c r="E1038" s="1">
        <v>0.01</v>
      </c>
      <c r="F1038" s="1">
        <v>0.05</v>
      </c>
      <c r="G1038" s="1">
        <v>0.1</v>
      </c>
      <c r="H1038" s="1">
        <v>9.81</v>
      </c>
      <c r="I1038" s="1">
        <v>2650</v>
      </c>
      <c r="J1038" s="1">
        <v>1000</v>
      </c>
      <c r="K1038" s="1">
        <v>1.65</v>
      </c>
      <c r="L1038" s="1">
        <v>6.5</v>
      </c>
      <c r="M1038" s="1">
        <v>2.5</v>
      </c>
      <c r="N1038" s="6">
        <v>9.9999999999999995E-7</v>
      </c>
      <c r="O1038" s="1">
        <f t="shared" si="176"/>
        <v>10.232552707337419</v>
      </c>
      <c r="P1038" s="1">
        <f t="shared" si="177"/>
        <v>11.350607222214496</v>
      </c>
      <c r="Q1038" s="1">
        <f t="shared" si="178"/>
        <v>11.552936849134621</v>
      </c>
      <c r="R1038" s="1">
        <v>126.07909999999994</v>
      </c>
      <c r="S1038" s="1" t="e">
        <f t="shared" si="179"/>
        <v>#N/A</v>
      </c>
      <c r="T1038" s="1" t="e">
        <v>#N/A</v>
      </c>
    </row>
    <row r="1039" spans="1:20" x14ac:dyDescent="0.35">
      <c r="A1039" s="1">
        <v>500357.14289999998</v>
      </c>
      <c r="B1039" s="1">
        <v>5999999.3269999996</v>
      </c>
      <c r="C1039" s="1">
        <v>131.167686591956</v>
      </c>
      <c r="D1039" s="1">
        <f t="shared" si="180"/>
        <v>357.76911182599019</v>
      </c>
      <c r="E1039" s="1">
        <v>0.01</v>
      </c>
      <c r="F1039" s="1">
        <v>0.05</v>
      </c>
      <c r="G1039" s="1">
        <v>0.1</v>
      </c>
      <c r="H1039" s="1">
        <v>9.81</v>
      </c>
      <c r="I1039" s="1">
        <v>2650</v>
      </c>
      <c r="J1039" s="1">
        <v>1000</v>
      </c>
      <c r="K1039" s="1">
        <v>1.65</v>
      </c>
      <c r="L1039" s="1">
        <v>6.5</v>
      </c>
      <c r="M1039" s="1">
        <v>2.5</v>
      </c>
      <c r="N1039" s="6">
        <v>9.9999999999999995E-7</v>
      </c>
      <c r="O1039" s="1">
        <f t="shared" si="176"/>
        <v>10.223838765829584</v>
      </c>
      <c r="P1039" s="1">
        <f t="shared" si="177"/>
        <v>10.479732415606993</v>
      </c>
      <c r="Q1039" s="1">
        <f t="shared" si="178"/>
        <v>10.915169818910744</v>
      </c>
      <c r="R1039" s="1">
        <v>126.07909999999994</v>
      </c>
      <c r="S1039" s="1" t="e">
        <f t="shared" si="179"/>
        <v>#N/A</v>
      </c>
      <c r="T1039" s="1" t="e">
        <v>#N/A</v>
      </c>
    </row>
    <row r="1040" spans="1:20" x14ac:dyDescent="0.35">
      <c r="A1040" s="1">
        <v>500367.3469</v>
      </c>
      <c r="B1040" s="1">
        <v>5999999.8169999998</v>
      </c>
      <c r="C1040" s="1">
        <v>128.83036429882799</v>
      </c>
      <c r="D1040" s="1">
        <f t="shared" si="180"/>
        <v>367.98487004556307</v>
      </c>
      <c r="E1040" s="1">
        <v>0.01</v>
      </c>
      <c r="F1040" s="1">
        <v>0.05</v>
      </c>
      <c r="G1040" s="1">
        <v>0.1</v>
      </c>
      <c r="H1040" s="1">
        <v>9.81</v>
      </c>
      <c r="I1040" s="1">
        <v>2650</v>
      </c>
      <c r="J1040" s="1">
        <v>1000</v>
      </c>
      <c r="K1040" s="1">
        <v>1.65</v>
      </c>
      <c r="L1040" s="1">
        <v>6.5</v>
      </c>
      <c r="M1040" s="1">
        <v>2.5</v>
      </c>
      <c r="N1040" s="6">
        <v>9.9999999999999995E-7</v>
      </c>
      <c r="O1040" s="1">
        <f t="shared" si="176"/>
        <v>10.224509856901079</v>
      </c>
      <c r="P1040" s="1">
        <f t="shared" si="177"/>
        <v>10.91645406051112</v>
      </c>
      <c r="Q1040" s="1">
        <f t="shared" si="178"/>
        <v>10.698093238059055</v>
      </c>
      <c r="R1040" s="1">
        <v>126.07909999999994</v>
      </c>
      <c r="S1040" s="1" t="e">
        <f t="shared" si="179"/>
        <v>#N/A</v>
      </c>
      <c r="T1040" s="1" t="e">
        <v>#N/A</v>
      </c>
    </row>
    <row r="1041" spans="1:57" x14ac:dyDescent="0.35">
      <c r="A1041" s="1">
        <v>500377.55099999998</v>
      </c>
      <c r="B1041" s="1">
        <v>5999999.0449999999</v>
      </c>
      <c r="C1041" s="1">
        <v>125.029137069896</v>
      </c>
      <c r="D1041" s="1">
        <f t="shared" si="180"/>
        <v>378.21813153979235</v>
      </c>
      <c r="E1041" s="1">
        <v>0.01</v>
      </c>
      <c r="F1041" s="1">
        <v>0.05</v>
      </c>
      <c r="G1041" s="1">
        <v>0.1</v>
      </c>
      <c r="H1041" s="1">
        <v>9.81</v>
      </c>
      <c r="I1041" s="1">
        <v>2650</v>
      </c>
      <c r="J1041" s="1">
        <v>1000</v>
      </c>
      <c r="K1041" s="1">
        <v>1.65</v>
      </c>
      <c r="L1041" s="1">
        <v>6.5</v>
      </c>
      <c r="M1041" s="1">
        <v>2.5</v>
      </c>
      <c r="N1041" s="6">
        <v>9.9999999999999995E-7</v>
      </c>
      <c r="O1041" s="1">
        <f t="shared" si="176"/>
        <v>10.221049857319429</v>
      </c>
      <c r="P1041" s="1">
        <f t="shared" si="177"/>
        <v>10.237547645163266</v>
      </c>
      <c r="Q1041" s="1">
        <f t="shared" si="178"/>
        <v>10.577000852837193</v>
      </c>
      <c r="R1041" s="1">
        <v>126.07909999999994</v>
      </c>
      <c r="S1041" s="1">
        <f t="shared" si="179"/>
        <v>1.0499629301039448</v>
      </c>
      <c r="T1041" s="1">
        <v>1.0499629301039448</v>
      </c>
    </row>
    <row r="1042" spans="1:57" x14ac:dyDescent="0.35">
      <c r="A1042" s="1">
        <v>500387.75510000001</v>
      </c>
      <c r="B1042" s="1">
        <v>5999999.3559999997</v>
      </c>
      <c r="C1042" s="1">
        <v>125.795298917349</v>
      </c>
      <c r="D1042" s="1">
        <f t="shared" si="180"/>
        <v>388.42696976020193</v>
      </c>
      <c r="E1042" s="1">
        <v>0.01</v>
      </c>
      <c r="F1042" s="1">
        <v>0.05</v>
      </c>
      <c r="G1042" s="1">
        <v>0.1</v>
      </c>
      <c r="H1042" s="1">
        <v>9.81</v>
      </c>
      <c r="I1042" s="1">
        <v>2650</v>
      </c>
      <c r="J1042" s="1">
        <v>1000</v>
      </c>
      <c r="K1042" s="1">
        <v>1.65</v>
      </c>
      <c r="L1042" s="1">
        <v>6.5</v>
      </c>
      <c r="M1042" s="1">
        <v>2.5</v>
      </c>
      <c r="N1042" s="6">
        <v>9.9999999999999995E-7</v>
      </c>
      <c r="O1042" s="1">
        <f t="shared" si="176"/>
        <v>10.226672955179509</v>
      </c>
      <c r="P1042" s="1">
        <f t="shared" si="177"/>
        <v>14.006911426674414</v>
      </c>
      <c r="Q1042" s="1">
        <f t="shared" si="178"/>
        <v>12.122229535918841</v>
      </c>
      <c r="R1042" s="1">
        <v>126.07909999999994</v>
      </c>
      <c r="S1042" s="1">
        <f t="shared" si="179"/>
        <v>0.28380108265093895</v>
      </c>
      <c r="T1042" s="1">
        <v>0.28380108265093895</v>
      </c>
    </row>
    <row r="1043" spans="1:57" x14ac:dyDescent="0.35">
      <c r="A1043" s="1">
        <v>500397.95919999998</v>
      </c>
      <c r="B1043" s="1">
        <v>5999998.4469999997</v>
      </c>
      <c r="C1043" s="1">
        <v>135.347452072804</v>
      </c>
      <c r="D1043" s="1">
        <f t="shared" si="180"/>
        <v>398.67147745015137</v>
      </c>
      <c r="E1043" s="1">
        <v>0.01</v>
      </c>
      <c r="F1043" s="1">
        <v>0.05</v>
      </c>
      <c r="G1043" s="1">
        <v>0.1</v>
      </c>
      <c r="H1043" s="1">
        <v>9.81</v>
      </c>
      <c r="I1043" s="1">
        <v>2650</v>
      </c>
      <c r="J1043" s="1">
        <v>1000</v>
      </c>
      <c r="K1043" s="1">
        <v>1.65</v>
      </c>
      <c r="L1043" s="1">
        <v>6.5</v>
      </c>
      <c r="M1043" s="1">
        <v>2.5</v>
      </c>
      <c r="N1043" s="6">
        <v>9.9999999999999995E-7</v>
      </c>
      <c r="O1043" s="1">
        <f t="shared" si="176"/>
        <v>10.22650836474881</v>
      </c>
      <c r="P1043" s="1">
        <f t="shared" si="177"/>
        <v>12.538849639326756</v>
      </c>
      <c r="Q1043" s="1">
        <f t="shared" si="178"/>
        <v>13.272880533000585</v>
      </c>
      <c r="R1043" s="1">
        <v>126.07909999999994</v>
      </c>
      <c r="S1043" s="1" t="e">
        <f t="shared" si="179"/>
        <v>#N/A</v>
      </c>
      <c r="T1043" s="1" t="e">
        <v>#N/A</v>
      </c>
    </row>
    <row r="1044" spans="1:57" x14ac:dyDescent="0.35">
      <c r="A1044" s="1">
        <v>500408.16330000001</v>
      </c>
      <c r="B1044" s="1">
        <v>5999998.1469999999</v>
      </c>
      <c r="C1044" s="1">
        <v>128.06671766842501</v>
      </c>
      <c r="D1044" s="1">
        <f t="shared" si="180"/>
        <v>408.87998648969955</v>
      </c>
      <c r="E1044" s="1">
        <v>0.01</v>
      </c>
      <c r="F1044" s="1">
        <v>0.05</v>
      </c>
      <c r="G1044" s="1">
        <v>0.1</v>
      </c>
      <c r="H1044" s="1">
        <v>9.81</v>
      </c>
      <c r="I1044" s="1">
        <v>2650</v>
      </c>
      <c r="J1044" s="1">
        <v>1000</v>
      </c>
      <c r="K1044" s="1">
        <v>1.65</v>
      </c>
      <c r="L1044" s="1">
        <v>6.5</v>
      </c>
      <c r="M1044" s="1">
        <v>2.5</v>
      </c>
      <c r="N1044" s="6">
        <v>9.9999999999999995E-7</v>
      </c>
      <c r="O1044" s="1">
        <f t="shared" si="176"/>
        <v>10.217670819070179</v>
      </c>
      <c r="P1044" s="1">
        <f t="shared" si="177"/>
        <v>11.126667604014996</v>
      </c>
      <c r="Q1044" s="1">
        <f t="shared" si="178"/>
        <v>11.832758621670877</v>
      </c>
      <c r="R1044" s="1">
        <v>126.07909999999994</v>
      </c>
      <c r="S1044" s="1" t="e">
        <f t="shared" si="179"/>
        <v>#N/A</v>
      </c>
      <c r="T1044" s="1" t="e">
        <v>#N/A</v>
      </c>
    </row>
    <row r="1045" spans="1:57" x14ac:dyDescent="0.35">
      <c r="A1045" s="1">
        <v>500418.36729999998</v>
      </c>
      <c r="B1045" s="1">
        <v>5999997.4639999997</v>
      </c>
      <c r="C1045" s="1">
        <v>132.450166877736</v>
      </c>
      <c r="D1045" s="1">
        <f t="shared" si="180"/>
        <v>419.10681908829173</v>
      </c>
      <c r="E1045" s="1">
        <v>0.01</v>
      </c>
      <c r="F1045" s="1">
        <v>0.05</v>
      </c>
      <c r="G1045" s="1">
        <v>0.1</v>
      </c>
      <c r="H1045" s="1">
        <v>9.81</v>
      </c>
      <c r="I1045" s="1">
        <v>2650</v>
      </c>
      <c r="J1045" s="1">
        <v>1000</v>
      </c>
      <c r="K1045" s="1">
        <v>1.65</v>
      </c>
      <c r="L1045" s="1">
        <v>6.5</v>
      </c>
      <c r="M1045" s="1">
        <v>2.5</v>
      </c>
      <c r="N1045" s="6">
        <v>9.9999999999999995E-7</v>
      </c>
      <c r="O1045" s="1">
        <f t="shared" si="176"/>
        <v>10.219153288461655</v>
      </c>
      <c r="P1045" s="1">
        <f t="shared" si="177"/>
        <v>12.259823035582844</v>
      </c>
      <c r="Q1045" s="1">
        <f t="shared" si="178"/>
        <v>11.693245319798919</v>
      </c>
      <c r="R1045" s="1">
        <v>126.07909999999994</v>
      </c>
      <c r="S1045" s="1" t="e">
        <f t="shared" si="179"/>
        <v>#N/A</v>
      </c>
      <c r="T1045" s="1" t="e">
        <v>#N/A</v>
      </c>
    </row>
    <row r="1046" spans="1:57" x14ac:dyDescent="0.35">
      <c r="A1046" s="1">
        <v>500428.57140000002</v>
      </c>
      <c r="B1046" s="1">
        <v>5999997.0760000004</v>
      </c>
      <c r="C1046" s="1">
        <v>139.234638858198</v>
      </c>
      <c r="D1046" s="1">
        <f t="shared" si="180"/>
        <v>429.31829306662286</v>
      </c>
      <c r="E1046" s="1">
        <v>0.01</v>
      </c>
      <c r="F1046" s="1">
        <v>0.05</v>
      </c>
      <c r="G1046" s="1">
        <v>0.1</v>
      </c>
      <c r="H1046" s="1">
        <v>9.81</v>
      </c>
      <c r="I1046" s="1">
        <v>2650</v>
      </c>
      <c r="J1046" s="1">
        <v>1000</v>
      </c>
      <c r="K1046" s="1">
        <v>1.65</v>
      </c>
      <c r="L1046" s="1">
        <v>6.5</v>
      </c>
      <c r="M1046" s="1">
        <v>2.5</v>
      </c>
      <c r="N1046" s="6">
        <v>9.9999999999999995E-7</v>
      </c>
      <c r="O1046" s="1">
        <f t="shared" si="176"/>
        <v>10.213570502749036</v>
      </c>
      <c r="P1046" s="1">
        <f t="shared" si="177"/>
        <v>10.221862151517284</v>
      </c>
      <c r="Q1046" s="1">
        <f t="shared" si="178"/>
        <v>11.240842593550063</v>
      </c>
      <c r="R1046" s="1">
        <v>126.07909999999994</v>
      </c>
      <c r="S1046" s="1" t="e">
        <f t="shared" si="179"/>
        <v>#N/A</v>
      </c>
      <c r="T1046" s="1" t="e">
        <v>#N/A</v>
      </c>
    </row>
    <row r="1047" spans="1:57" x14ac:dyDescent="0.35">
      <c r="A1047" s="1">
        <v>500438.77549999999</v>
      </c>
      <c r="B1047" s="1">
        <v>5999996.5899999999</v>
      </c>
      <c r="C1047" s="1">
        <v>139.590466112179</v>
      </c>
      <c r="D1047" s="1">
        <f t="shared" si="180"/>
        <v>439.5339600937898</v>
      </c>
      <c r="E1047" s="1">
        <v>0.01</v>
      </c>
      <c r="F1047" s="1">
        <v>0.05</v>
      </c>
      <c r="G1047" s="1">
        <v>0.1</v>
      </c>
      <c r="H1047" s="1">
        <v>9.81</v>
      </c>
      <c r="I1047" s="1">
        <v>2650</v>
      </c>
      <c r="J1047" s="1">
        <v>1000</v>
      </c>
      <c r="K1047" s="1">
        <v>1.65</v>
      </c>
      <c r="L1047" s="1">
        <v>6.5</v>
      </c>
      <c r="M1047" s="1">
        <v>2.5</v>
      </c>
      <c r="N1047" s="6">
        <v>9.9999999999999995E-7</v>
      </c>
      <c r="O1047" s="1">
        <f t="shared" si="176"/>
        <v>10.227678867958247</v>
      </c>
      <c r="P1047" s="1">
        <f t="shared" si="177"/>
        <v>10.247073843648518</v>
      </c>
      <c r="Q1047" s="1">
        <f t="shared" si="178"/>
        <v>10.2344679975829</v>
      </c>
      <c r="R1047" s="1">
        <v>126.07909999999994</v>
      </c>
      <c r="S1047" s="1" t="e">
        <f t="shared" si="179"/>
        <v>#N/A</v>
      </c>
      <c r="T1047" s="1" t="e">
        <v>#N/A</v>
      </c>
    </row>
    <row r="1048" spans="1:57" x14ac:dyDescent="0.35">
      <c r="A1048" s="1">
        <v>500448.97960000002</v>
      </c>
      <c r="B1048" s="1">
        <v>5999995.7369999997</v>
      </c>
      <c r="C1048" s="1">
        <v>139.20154896633201</v>
      </c>
      <c r="D1048" s="1">
        <f t="shared" si="180"/>
        <v>449.77365080253935</v>
      </c>
      <c r="E1048" s="1">
        <v>0.01</v>
      </c>
      <c r="F1048" s="1">
        <v>0.05</v>
      </c>
      <c r="G1048" s="1">
        <v>0.1</v>
      </c>
      <c r="H1048" s="1">
        <v>9.81</v>
      </c>
      <c r="I1048" s="1">
        <v>2650</v>
      </c>
      <c r="J1048" s="1">
        <v>1000</v>
      </c>
      <c r="K1048" s="1">
        <v>1.65</v>
      </c>
      <c r="L1048" s="1">
        <v>6.5</v>
      </c>
      <c r="M1048" s="1">
        <v>2.5</v>
      </c>
      <c r="N1048" s="6">
        <v>9.9999999999999995E-7</v>
      </c>
      <c r="O1048" s="1">
        <f t="shared" si="176"/>
        <v>10.226507982984828</v>
      </c>
      <c r="P1048" s="1">
        <f t="shared" si="177"/>
        <v>10.216402783069102</v>
      </c>
      <c r="Q1048" s="1">
        <f t="shared" si="178"/>
        <v>10.231738313358811</v>
      </c>
      <c r="R1048" s="1">
        <v>126.07909999999994</v>
      </c>
      <c r="S1048" s="1" t="e">
        <f t="shared" si="179"/>
        <v>#N/A</v>
      </c>
      <c r="T1048" s="1" t="e">
        <v>#N/A</v>
      </c>
    </row>
    <row r="1049" spans="1:57" x14ac:dyDescent="0.35">
      <c r="A1049" s="1">
        <v>500459.18369999999</v>
      </c>
      <c r="B1049" s="1">
        <v>5999996.1710000001</v>
      </c>
      <c r="C1049" s="1">
        <v>138.95080404388699</v>
      </c>
      <c r="D1049" s="1">
        <f t="shared" si="180"/>
        <v>459.98697605975946</v>
      </c>
      <c r="E1049" s="1">
        <v>0.01</v>
      </c>
      <c r="F1049" s="1">
        <v>0.05</v>
      </c>
      <c r="G1049" s="1">
        <v>0.1</v>
      </c>
      <c r="H1049" s="1">
        <v>9.81</v>
      </c>
      <c r="I1049" s="1">
        <v>2650</v>
      </c>
      <c r="J1049" s="1">
        <v>1000</v>
      </c>
      <c r="K1049" s="1">
        <v>1.65</v>
      </c>
      <c r="L1049" s="1">
        <v>6.5</v>
      </c>
      <c r="M1049" s="1">
        <v>2.5</v>
      </c>
      <c r="N1049" s="6">
        <v>9.9999999999999995E-7</v>
      </c>
      <c r="O1049" s="1">
        <f t="shared" si="176"/>
        <v>10.228563101333435</v>
      </c>
      <c r="P1049" s="1">
        <f t="shared" si="177"/>
        <v>10.24381622597874</v>
      </c>
      <c r="Q1049" s="1">
        <f t="shared" si="178"/>
        <v>10.23010950452392</v>
      </c>
      <c r="R1049" s="1">
        <v>126.07909999999994</v>
      </c>
      <c r="S1049" s="1" t="e">
        <f t="shared" si="179"/>
        <v>#N/A</v>
      </c>
      <c r="T1049" s="1" t="e">
        <v>#N/A</v>
      </c>
    </row>
    <row r="1050" spans="1:57" x14ac:dyDescent="0.35">
      <c r="A1050" s="1">
        <v>500469.38780000003</v>
      </c>
      <c r="B1050" s="1">
        <v>5999997.0719999997</v>
      </c>
      <c r="C1050" s="1">
        <v>138.933110494517</v>
      </c>
      <c r="D1050" s="1">
        <f t="shared" si="180"/>
        <v>470.23077700520622</v>
      </c>
      <c r="E1050" s="1">
        <v>0.01</v>
      </c>
      <c r="F1050" s="1">
        <v>0.05</v>
      </c>
      <c r="G1050" s="1">
        <v>0.1</v>
      </c>
      <c r="H1050" s="1">
        <v>9.81</v>
      </c>
      <c r="I1050" s="1">
        <v>2650</v>
      </c>
      <c r="J1050" s="1">
        <v>1000</v>
      </c>
      <c r="K1050" s="1">
        <v>1.65</v>
      </c>
      <c r="L1050" s="1">
        <v>6.5</v>
      </c>
      <c r="M1050" s="1">
        <v>2.5</v>
      </c>
      <c r="N1050" s="6">
        <v>9.9999999999999995E-7</v>
      </c>
      <c r="O1050" s="1">
        <f t="shared" si="176"/>
        <v>10.235585469869676</v>
      </c>
      <c r="P1050" s="1">
        <f t="shared" si="177"/>
        <v>14.038699271405504</v>
      </c>
      <c r="Q1050" s="1">
        <f t="shared" si="178"/>
        <v>12.141257748692123</v>
      </c>
      <c r="R1050" s="1">
        <v>126.07909999999994</v>
      </c>
      <c r="S1050" s="1" t="e">
        <f t="shared" si="179"/>
        <v>#N/A</v>
      </c>
      <c r="T1050" s="1" t="e">
        <v>#N/A</v>
      </c>
    </row>
    <row r="1051" spans="1:57" x14ac:dyDescent="0.35">
      <c r="A1051" s="1">
        <v>500479.59179999999</v>
      </c>
      <c r="B1051" s="1">
        <v>5999997.7630000003</v>
      </c>
      <c r="C1051" s="1">
        <v>148.55007364474301</v>
      </c>
      <c r="D1051" s="1">
        <f t="shared" si="180"/>
        <v>480.45814699949881</v>
      </c>
      <c r="E1051" s="1">
        <v>0.01</v>
      </c>
      <c r="F1051" s="1">
        <v>0.05</v>
      </c>
      <c r="G1051" s="1">
        <v>0.1</v>
      </c>
      <c r="H1051" s="1">
        <v>9.81</v>
      </c>
      <c r="I1051" s="1">
        <v>2650</v>
      </c>
      <c r="J1051" s="1">
        <v>1000</v>
      </c>
      <c r="K1051" s="1">
        <v>1.65</v>
      </c>
      <c r="L1051" s="1">
        <v>6.5</v>
      </c>
      <c r="M1051" s="1">
        <v>2.5</v>
      </c>
      <c r="N1051" s="6">
        <v>9.9999999999999995E-7</v>
      </c>
      <c r="O1051" s="1">
        <f t="shared" si="176"/>
        <v>10.217030880251457</v>
      </c>
      <c r="P1051" s="1">
        <f t="shared" si="177"/>
        <v>10.496604105828091</v>
      </c>
      <c r="Q1051" s="1">
        <f t="shared" si="178"/>
        <v>12.267651688616798</v>
      </c>
      <c r="R1051" s="1">
        <v>126.07909999999994</v>
      </c>
      <c r="S1051" s="1" t="e">
        <f t="shared" si="179"/>
        <v>#N/A</v>
      </c>
      <c r="T1051" s="1" t="e">
        <v>#N/A</v>
      </c>
    </row>
    <row r="1052" spans="1:57" x14ac:dyDescent="0.35">
      <c r="A1052" s="1">
        <v>500489.79590000003</v>
      </c>
      <c r="B1052" s="1">
        <v>5999997.9929999998</v>
      </c>
      <c r="C1052" s="1">
        <v>146.10014692256101</v>
      </c>
      <c r="D1052" s="1">
        <f t="shared" si="180"/>
        <v>490.66483876570913</v>
      </c>
      <c r="E1052" s="1">
        <v>0.01</v>
      </c>
      <c r="F1052" s="1">
        <v>0.05</v>
      </c>
      <c r="G1052" s="1">
        <v>0.1</v>
      </c>
      <c r="H1052" s="1">
        <v>9.81</v>
      </c>
      <c r="I1052" s="1">
        <v>2650</v>
      </c>
      <c r="J1052" s="1">
        <v>1000</v>
      </c>
      <c r="K1052" s="1">
        <v>1.65</v>
      </c>
      <c r="L1052" s="1">
        <v>6.5</v>
      </c>
      <c r="M1052" s="1">
        <v>2.5</v>
      </c>
      <c r="N1052" s="6">
        <v>9.9999999999999995E-7</v>
      </c>
      <c r="O1052" s="1">
        <f t="shared" si="176"/>
        <v>10.209902888805345</v>
      </c>
      <c r="P1052" s="1">
        <f t="shared" si="177"/>
        <v>10.652346301971106</v>
      </c>
      <c r="Q1052" s="1">
        <f t="shared" si="178"/>
        <v>10.574475203899599</v>
      </c>
      <c r="R1052" s="1">
        <v>126.07909999999994</v>
      </c>
      <c r="S1052" s="1" t="e">
        <f t="shared" si="179"/>
        <v>#N/A</v>
      </c>
      <c r="T1052" s="1" t="e">
        <v>#N/A</v>
      </c>
    </row>
    <row r="1053" spans="1:57" x14ac:dyDescent="0.35">
      <c r="A1053" s="1">
        <v>500500</v>
      </c>
      <c r="B1053" s="1">
        <v>5999998.4220000003</v>
      </c>
      <c r="C1053" s="1">
        <v>149.127486336511</v>
      </c>
      <c r="D1053" s="1">
        <f t="shared" si="180"/>
        <v>500.8779527771095</v>
      </c>
      <c r="E1053" s="1">
        <v>0.01</v>
      </c>
      <c r="F1053" s="1">
        <v>0.05</v>
      </c>
      <c r="G1053" s="1">
        <v>0.1</v>
      </c>
      <c r="H1053" s="1">
        <v>9.81</v>
      </c>
      <c r="I1053" s="1">
        <v>2650</v>
      </c>
      <c r="J1053" s="1">
        <v>1000</v>
      </c>
      <c r="K1053" s="1">
        <v>1.65</v>
      </c>
      <c r="L1053" s="1">
        <v>6.5</v>
      </c>
      <c r="M1053" s="1">
        <v>2.5</v>
      </c>
      <c r="N1053" s="6">
        <v>9.9999999999999995E-7</v>
      </c>
      <c r="O1053" s="1">
        <f xml:space="preserve"> (D1053 - D1052) / 2</f>
        <v>5.1065570057001821</v>
      </c>
    </row>
    <row r="1056" spans="1:57" x14ac:dyDescent="0.35">
      <c r="A1056" s="1" t="s">
        <v>0</v>
      </c>
      <c r="B1056" s="1" t="s">
        <v>1</v>
      </c>
      <c r="C1056" s="1" t="s">
        <v>2</v>
      </c>
      <c r="D1056" s="1" t="s">
        <v>18</v>
      </c>
      <c r="E1056" s="1" t="s">
        <v>67</v>
      </c>
      <c r="F1056" s="1" t="s">
        <v>66</v>
      </c>
      <c r="G1056" s="1" t="s">
        <v>65</v>
      </c>
      <c r="H1056" s="1" t="s">
        <v>64</v>
      </c>
      <c r="I1056" s="1" t="s">
        <v>63</v>
      </c>
      <c r="J1056" s="1" t="s">
        <v>62</v>
      </c>
      <c r="K1056" s="1" t="s">
        <v>61</v>
      </c>
      <c r="L1056" s="1" t="s">
        <v>60</v>
      </c>
      <c r="M1056" s="1" t="s">
        <v>59</v>
      </c>
      <c r="N1056" s="1" t="s">
        <v>58</v>
      </c>
      <c r="O1056" s="1" t="s">
        <v>57</v>
      </c>
      <c r="P1056" s="1" t="s">
        <v>56</v>
      </c>
      <c r="Q1056" s="1" t="s">
        <v>55</v>
      </c>
      <c r="R1056" s="1" t="s">
        <v>54</v>
      </c>
      <c r="S1056" s="1" t="s">
        <v>16</v>
      </c>
      <c r="T1056" s="1" t="s">
        <v>53</v>
      </c>
      <c r="U1056" s="10" t="s">
        <v>52</v>
      </c>
      <c r="V1056" s="10" t="s">
        <v>51</v>
      </c>
      <c r="W1056" s="10" t="s">
        <v>50</v>
      </c>
      <c r="X1056" s="10" t="s">
        <v>49</v>
      </c>
      <c r="Y1056" s="1" t="s">
        <v>48</v>
      </c>
      <c r="Z1056" s="1" t="s">
        <v>47</v>
      </c>
      <c r="AA1056" s="1" t="s">
        <v>46</v>
      </c>
      <c r="AB1056" s="1" t="s">
        <v>45</v>
      </c>
      <c r="AC1056" s="1" t="s">
        <v>44</v>
      </c>
      <c r="AD1056" s="1" t="s">
        <v>43</v>
      </c>
      <c r="AE1056" s="1" t="s">
        <v>42</v>
      </c>
      <c r="AF1056" s="1" t="s">
        <v>41</v>
      </c>
      <c r="AG1056" s="1" t="s">
        <v>40</v>
      </c>
      <c r="AH1056" s="1" t="s">
        <v>39</v>
      </c>
      <c r="AI1056" s="1" t="s">
        <v>38</v>
      </c>
      <c r="AJ1056" s="1" t="s">
        <v>37</v>
      </c>
      <c r="AK1056" s="1" t="s">
        <v>36</v>
      </c>
      <c r="AL1056" s="1" t="s">
        <v>35</v>
      </c>
      <c r="AM1056" s="1" t="s">
        <v>34</v>
      </c>
      <c r="AN1056" s="1" t="s">
        <v>34</v>
      </c>
      <c r="AO1056" s="7" t="s">
        <v>33</v>
      </c>
      <c r="AP1056" s="7" t="s">
        <v>32</v>
      </c>
      <c r="AQ1056" s="7" t="s">
        <v>31</v>
      </c>
      <c r="AR1056" s="7" t="s">
        <v>30</v>
      </c>
      <c r="AS1056" s="7" t="s">
        <v>29</v>
      </c>
      <c r="AT1056" s="7" t="s">
        <v>28</v>
      </c>
      <c r="AU1056" s="7" t="s">
        <v>27</v>
      </c>
      <c r="AV1056" s="7" t="s">
        <v>27</v>
      </c>
      <c r="AW1056" s="1" t="s">
        <v>26</v>
      </c>
      <c r="AX1056" s="1" t="s">
        <v>25</v>
      </c>
      <c r="AY1056" s="1" t="s">
        <v>24</v>
      </c>
      <c r="AZ1056" s="1" t="s">
        <v>23</v>
      </c>
      <c r="BA1056" s="1" t="s">
        <v>22</v>
      </c>
      <c r="BB1056" s="1" t="s">
        <v>21</v>
      </c>
      <c r="BC1056" s="1" t="s">
        <v>20</v>
      </c>
      <c r="BD1056" s="1" t="s">
        <v>20</v>
      </c>
      <c r="BE1056" s="1" t="s">
        <v>19</v>
      </c>
    </row>
    <row r="1057" spans="1:57" x14ac:dyDescent="0.35">
      <c r="A1057" s="1">
        <v>500000</v>
      </c>
      <c r="B1057" s="1">
        <v>5999999.0959999999</v>
      </c>
      <c r="C1057" s="1">
        <v>146.95665459614199</v>
      </c>
      <c r="D1057" s="1">
        <v>0</v>
      </c>
      <c r="E1057" s="1">
        <v>0.01</v>
      </c>
      <c r="F1057" s="1">
        <v>0.05</v>
      </c>
      <c r="G1057" s="1">
        <v>0.1</v>
      </c>
      <c r="H1057" s="1">
        <v>9.81</v>
      </c>
      <c r="I1057" s="1">
        <v>2650</v>
      </c>
      <c r="J1057" s="1">
        <v>1000</v>
      </c>
      <c r="K1057" s="1">
        <v>1.65</v>
      </c>
      <c r="L1057" s="1">
        <v>6.5</v>
      </c>
      <c r="M1057" s="1">
        <v>2.5</v>
      </c>
      <c r="N1057" s="6">
        <v>9.9999999999999995E-7</v>
      </c>
      <c r="O1057" s="1">
        <f xml:space="preserve"> (D1058 - D1057) / 2</f>
        <v>5.1061868798967165</v>
      </c>
      <c r="P1057" s="1">
        <f t="shared" ref="P1057:P1088" si="181">SQRT((D1058 - D1057)^2 + (C1058 - C1057)^2)</f>
        <v>12.612081347143071</v>
      </c>
      <c r="Q1057" s="1">
        <f t="shared" ref="Q1057:Q1088" si="182">IF(ROW()=1057, P1057/2, (P1057 + P1056)/2)</f>
        <v>6.3060406735715357</v>
      </c>
      <c r="R1057" s="1">
        <v>126.12909999999994</v>
      </c>
      <c r="S1057" s="1" t="e">
        <f t="shared" ref="S1057:S1088" si="183">IF(R1057 - C1057 &lt; 0, NA(), R1057 - C1057)</f>
        <v>#N/A</v>
      </c>
      <c r="T1057" s="1" t="e">
        <v>#N/A</v>
      </c>
      <c r="U1057" s="10" cm="1">
        <f t="array" ref="U1057">SUMPRODUCT(IF(ISNA(T1057:T1106), 0, T1057:T1106), IF(ISNA(O1057:O1106), 0, O1057:O1106))</f>
        <v>14.656450454151525</v>
      </c>
      <c r="V1057" s="10">
        <f>SUMIF(S1057:S1106, "&gt;0", O1057:O1106)</f>
        <v>20.447722812498938</v>
      </c>
      <c r="W1057" s="10">
        <f>SUMIF(S1057:S1106, "&gt;0", Q1057:Q1106)</f>
        <v>22.699230388756035</v>
      </c>
      <c r="X1057" s="10">
        <f>U1057/W1057</f>
        <v>0.64568050119494502</v>
      </c>
      <c r="Y1057" s="1">
        <f xml:space="preserve"> (6.5 * 2.5 * (X1057 / G1057)) / SQRT(6.5^2 + 2.5^2 * (X1057 / G1057)^(5/3))</f>
        <v>7.7735824968923861</v>
      </c>
      <c r="Z1057" s="1">
        <f>Y1057*SQRT(X1057*H1057*E1057)</f>
        <v>1.9564310701754783</v>
      </c>
      <c r="AA1057" s="1">
        <f>J1057*H1057*X1057*E1057</f>
        <v>63.341257167224107</v>
      </c>
      <c r="AB1057" s="1">
        <f>(AA1057 / (9.81 * 1000 *1.65 * F1057))</f>
        <v>7.826430317514485E-2</v>
      </c>
      <c r="AC1057" s="9">
        <f xml:space="preserve"> F1057 * (K1057 * H1057 / (N1057)^2)^(1/3)</f>
        <v>1264.7974700106745</v>
      </c>
      <c r="AD1057" s="1">
        <f xml:space="preserve"> 0.3 / (1 + 1.2 * AC1057) + 0.055 * (1 - EXP(-0.02 * AC1057))</f>
        <v>5.5197529957883754E-2</v>
      </c>
      <c r="AE1057" s="1">
        <f>IF(AC1057 &lt;= 4, 0.24 * AC1057^-1, IF(AC1057 &gt; 4, IF(AC1057 &lt;= 10, 0.14 * AC1057^-0.64, IF(AC1057 &lt;= 20, 0.04 * AC1057^-0.1, IF(AC1057 &lt;= 150, 0.013 * AC1057^0.29, 0.056)))))</f>
        <v>5.6000000000000001E-2</v>
      </c>
      <c r="AF1057" s="1">
        <f>AB1057/AD1057-1</f>
        <v>0.41789502600680262</v>
      </c>
      <c r="AG1057" s="1">
        <f xml:space="preserve"> 2.45 * SQRT(AD1057) / (K1057 + 1)^0.4</f>
        <v>0.38978718496890047</v>
      </c>
      <c r="AH1057" s="1">
        <f>SQRT(2/3 + 36 / AC1057^3) - SQRT(36 / AC1057^3)</f>
        <v>0.81636320289979147</v>
      </c>
      <c r="AI1057" s="1">
        <f>AA1057* Z1057 / (J1057 * (H1057* K1057 * F1057)^(3/2))</f>
        <v>0.17020283753800391</v>
      </c>
      <c r="AJ1057" s="1">
        <f>AD1057* K1057 * F1057 / E1057</f>
        <v>0.45537962215254096</v>
      </c>
      <c r="AK1057" s="1">
        <f>Y1057 * AD1057^(3/2)</f>
        <v>0.1008093182331236</v>
      </c>
      <c r="AL1057" s="1">
        <f>(0.92 - 0.25 * SQRT(AK1057 / AI1057))^9</f>
        <v>5.7151776597984531E-2</v>
      </c>
      <c r="AM1057" s="1">
        <v>5.2759527000000001E-2</v>
      </c>
      <c r="AN1057" s="1">
        <v>4.7434165E-2</v>
      </c>
      <c r="AO1057" s="7">
        <f>IF(AB1057 &gt; 0.047, 8 * (AB1057 - 0.047)^(3/2), 0)</f>
        <v>4.4224518912158298E-2</v>
      </c>
      <c r="AP1057" s="7">
        <f>IF(AB1057&gt; 0.047, 4 * (AB1057 - 0.047)^(3/2), 0)</f>
        <v>2.2112259456079149E-2</v>
      </c>
      <c r="AQ1057" s="7">
        <f xml:space="preserve"> (0.053 / AC1057^(0.3)) * ((AB1057 / AE1057) - 1)^2.1</f>
        <v>8.9630091863312654E-4</v>
      </c>
      <c r="AR1057" s="7">
        <f xml:space="preserve"> IF(AB1057 &gt; AD1057, 0.635 * AF1057 * SQRT(AB1057) * (1 - (1 / (AG1057*AF1057)) * LOG(1 + AF1057*AG1057)), 0)</f>
        <v>4.4368058291151861E-2</v>
      </c>
      <c r="AS1057" s="8">
        <f>IF(AB1057&gt;= 0.19, 40 * AH1057 * AB1057^3, (AH1057 * EXP(-0.391 / AB1057)) / 0.465)</f>
        <v>1.1877968636234344E-2</v>
      </c>
      <c r="AT1057" s="7">
        <f>AL1057* AI1057</f>
        <v>9.7273945473150547E-3</v>
      </c>
      <c r="AU1057" s="7">
        <f>14 * AB1057^2.5 / (1 + (AM1057/AB1057)^4)</f>
        <v>1.9884062380505812E-2</v>
      </c>
      <c r="AV1057" s="7">
        <f>14*AB1057^2.5/(1+(AN1057/AB1057)^4)</f>
        <v>2.113820343549434E-2</v>
      </c>
      <c r="AW1057" s="1">
        <f>AO1057*SQRT(1.65*9.81*F1057^3)</f>
        <v>1.9892739684934761E-3</v>
      </c>
      <c r="AX1057" s="1">
        <f>AP1057*SQRT(1.65*9.81*F1057^3)</f>
        <v>9.9463698424673806E-4</v>
      </c>
      <c r="AY1057" s="1">
        <f>AQ1057*SQRT(1.65*9.81*F1057^3)</f>
        <v>4.0316732193631278E-5</v>
      </c>
      <c r="AZ1057" s="1">
        <f>AR1057*SQRT(1.65*9.81*F1057^3)</f>
        <v>1.9957305486238957E-3</v>
      </c>
      <c r="BA1057" s="1">
        <f>AS1057*SQRT(1.65*9.81*F1057^3)</f>
        <v>5.3428583030095842E-4</v>
      </c>
      <c r="BB1057" s="1">
        <f>AT1057*SQRT(1.65*9.81*F1057^3)</f>
        <v>4.3755032796793979E-4</v>
      </c>
      <c r="BC1057" s="1">
        <f>AU1057*SQRT(1.65*9.81*G1057^3)</f>
        <v>2.5297732309900356E-3</v>
      </c>
      <c r="BD1057" s="1">
        <f>AV1057*SQRT(1.65*9.81*G1057^3)</f>
        <v>2.6893328022729169E-3</v>
      </c>
      <c r="BE1057" s="1">
        <f>U1057*Z1057</f>
        <v>28.674335046989544</v>
      </c>
    </row>
    <row r="1058" spans="1:57" x14ac:dyDescent="0.35">
      <c r="A1058" s="1">
        <v>500010.20409999997</v>
      </c>
      <c r="B1058" s="1">
        <v>5999998.6849999996</v>
      </c>
      <c r="C1058" s="1">
        <v>154.35746658519</v>
      </c>
      <c r="D1058" s="1">
        <f t="shared" ref="D1058:D1089" si="184">D1057 + SQRT((A1058 - A1057)^2 + (B1058 - B1057)^2)</f>
        <v>10.212373759793433</v>
      </c>
      <c r="E1058" s="1">
        <v>0.01</v>
      </c>
      <c r="F1058" s="1">
        <v>0.05</v>
      </c>
      <c r="G1058" s="1">
        <v>0.1</v>
      </c>
      <c r="H1058" s="1">
        <v>9.81</v>
      </c>
      <c r="I1058" s="1">
        <v>2650</v>
      </c>
      <c r="J1058" s="1">
        <v>1000</v>
      </c>
      <c r="K1058" s="1">
        <v>1.65</v>
      </c>
      <c r="L1058" s="1">
        <v>6.5</v>
      </c>
      <c r="M1058" s="1">
        <v>2.5</v>
      </c>
      <c r="N1058" s="6">
        <v>9.9999999999999995E-7</v>
      </c>
      <c r="O1058" s="1">
        <f t="shared" ref="O1058:O1105" si="185" xml:space="preserve"> (D1059 - D1058 + D1058 - D1057) / 2</f>
        <v>10.212934886473896</v>
      </c>
      <c r="P1058" s="1">
        <f t="shared" si="181"/>
        <v>10.748393624242958</v>
      </c>
      <c r="Q1058" s="1">
        <f t="shared" si="182"/>
        <v>11.680237485693015</v>
      </c>
      <c r="R1058" s="1">
        <v>126.12909999999994</v>
      </c>
      <c r="S1058" s="1" t="e">
        <f t="shared" si="183"/>
        <v>#N/A</v>
      </c>
      <c r="T1058" s="1" t="e">
        <v>#N/A</v>
      </c>
      <c r="AO1058" s="7"/>
      <c r="AP1058" s="7"/>
      <c r="AQ1058" s="7"/>
      <c r="AR1058" s="7"/>
      <c r="AS1058" s="7"/>
      <c r="AT1058" s="7"/>
      <c r="AU1058" s="7"/>
      <c r="AV1058" s="7"/>
    </row>
    <row r="1059" spans="1:57" x14ac:dyDescent="0.35">
      <c r="A1059" s="1">
        <v>500020.40820000001</v>
      </c>
      <c r="B1059" s="1">
        <v>5999999.1229999997</v>
      </c>
      <c r="C1059" s="1">
        <v>151.008964727501</v>
      </c>
      <c r="D1059" s="1">
        <f t="shared" si="184"/>
        <v>20.425869772947792</v>
      </c>
      <c r="E1059" s="1">
        <v>0.01</v>
      </c>
      <c r="F1059" s="1">
        <v>0.05</v>
      </c>
      <c r="G1059" s="1">
        <v>0.1</v>
      </c>
      <c r="H1059" s="1">
        <v>9.81</v>
      </c>
      <c r="I1059" s="1">
        <v>2650</v>
      </c>
      <c r="J1059" s="1">
        <v>1000</v>
      </c>
      <c r="K1059" s="1">
        <v>1.65</v>
      </c>
      <c r="L1059" s="1">
        <v>6.5</v>
      </c>
      <c r="M1059" s="1">
        <v>2.5</v>
      </c>
      <c r="N1059" s="6">
        <v>9.9999999999999995E-7</v>
      </c>
      <c r="O1059" s="1">
        <f t="shared" si="185"/>
        <v>10.21125621009096</v>
      </c>
      <c r="P1059" s="1">
        <f t="shared" si="181"/>
        <v>13.985433799960637</v>
      </c>
      <c r="Q1059" s="1">
        <f t="shared" si="182"/>
        <v>12.366913712101798</v>
      </c>
      <c r="R1059" s="1">
        <v>126.12909999999994</v>
      </c>
      <c r="S1059" s="1" t="e">
        <f t="shared" si="183"/>
        <v>#N/A</v>
      </c>
      <c r="T1059" s="1" t="e">
        <v>#N/A</v>
      </c>
    </row>
    <row r="1060" spans="1:57" x14ac:dyDescent="0.35">
      <c r="A1060" s="1">
        <v>500030.61219999997</v>
      </c>
      <c r="B1060" s="1">
        <v>5999998.8030000003</v>
      </c>
      <c r="C1060" s="1">
        <v>160.567643641144</v>
      </c>
      <c r="D1060" s="1">
        <f t="shared" si="184"/>
        <v>30.634886179975354</v>
      </c>
      <c r="E1060" s="1">
        <v>0.01</v>
      </c>
      <c r="F1060" s="1">
        <v>0.05</v>
      </c>
      <c r="G1060" s="1">
        <v>0.1</v>
      </c>
      <c r="H1060" s="1">
        <v>9.81</v>
      </c>
      <c r="I1060" s="1">
        <v>2650</v>
      </c>
      <c r="J1060" s="1">
        <v>1000</v>
      </c>
      <c r="K1060" s="1">
        <v>1.65</v>
      </c>
      <c r="L1060" s="1">
        <v>6.5</v>
      </c>
      <c r="M1060" s="1">
        <v>2.5</v>
      </c>
      <c r="N1060" s="6">
        <v>9.9999999999999995E-7</v>
      </c>
      <c r="O1060" s="1">
        <f t="shared" si="185"/>
        <v>10.214935822867286</v>
      </c>
      <c r="P1060" s="1">
        <f t="shared" si="181"/>
        <v>10.224042445454263</v>
      </c>
      <c r="Q1060" s="1">
        <f t="shared" si="182"/>
        <v>12.104738122707449</v>
      </c>
      <c r="R1060" s="1">
        <v>126.12909999999994</v>
      </c>
      <c r="S1060" s="1" t="e">
        <f t="shared" si="183"/>
        <v>#N/A</v>
      </c>
      <c r="T1060" s="1" t="e">
        <v>#N/A</v>
      </c>
    </row>
    <row r="1061" spans="1:57" x14ac:dyDescent="0.35">
      <c r="A1061" s="1">
        <v>500040.81630000001</v>
      </c>
      <c r="B1061" s="1">
        <v>5999998.2180000003</v>
      </c>
      <c r="C1061" s="1">
        <v>160.82291235416201</v>
      </c>
      <c r="D1061" s="1">
        <f t="shared" si="184"/>
        <v>40.855741418682364</v>
      </c>
      <c r="E1061" s="1">
        <v>0.01</v>
      </c>
      <c r="F1061" s="1">
        <v>0.05</v>
      </c>
      <c r="G1061" s="1">
        <v>0.1</v>
      </c>
      <c r="H1061" s="1">
        <v>9.81</v>
      </c>
      <c r="I1061" s="1">
        <v>2650</v>
      </c>
      <c r="J1061" s="1">
        <v>1000</v>
      </c>
      <c r="K1061" s="1">
        <v>1.65</v>
      </c>
      <c r="L1061" s="1">
        <v>6.5</v>
      </c>
      <c r="M1061" s="1">
        <v>2.5</v>
      </c>
      <c r="N1061" s="6">
        <v>9.9999999999999995E-7</v>
      </c>
      <c r="O1061" s="1">
        <f t="shared" si="185"/>
        <v>10.231243785008825</v>
      </c>
      <c r="P1061" s="1">
        <f t="shared" si="181"/>
        <v>10.333484931908488</v>
      </c>
      <c r="Q1061" s="1">
        <f t="shared" si="182"/>
        <v>10.278763688681376</v>
      </c>
      <c r="R1061" s="1">
        <v>126.12909999999994</v>
      </c>
      <c r="S1061" s="1" t="e">
        <f t="shared" si="183"/>
        <v>#N/A</v>
      </c>
      <c r="T1061" s="1" t="e">
        <v>#N/A</v>
      </c>
    </row>
    <row r="1062" spans="1:57" x14ac:dyDescent="0.35">
      <c r="A1062" s="1">
        <v>500051.02039999998</v>
      </c>
      <c r="B1062" s="1">
        <v>5999997.3420000002</v>
      </c>
      <c r="C1062" s="1">
        <v>159.448184007094</v>
      </c>
      <c r="D1062" s="1">
        <f t="shared" si="184"/>
        <v>51.097373749993004</v>
      </c>
      <c r="E1062" s="1">
        <v>0.01</v>
      </c>
      <c r="F1062" s="1">
        <v>0.05</v>
      </c>
      <c r="G1062" s="1">
        <v>0.1</v>
      </c>
      <c r="H1062" s="1">
        <v>9.81</v>
      </c>
      <c r="I1062" s="1">
        <v>2650</v>
      </c>
      <c r="J1062" s="1">
        <v>1000</v>
      </c>
      <c r="K1062" s="1">
        <v>1.65</v>
      </c>
      <c r="L1062" s="1">
        <v>6.5</v>
      </c>
      <c r="M1062" s="1">
        <v>2.5</v>
      </c>
      <c r="N1062" s="6">
        <v>9.9999999999999995E-7</v>
      </c>
      <c r="O1062" s="1">
        <f t="shared" si="185"/>
        <v>10.22297614478725</v>
      </c>
      <c r="P1062" s="1">
        <f t="shared" si="181"/>
        <v>11.164078602095582</v>
      </c>
      <c r="Q1062" s="1">
        <f t="shared" si="182"/>
        <v>10.748781767002036</v>
      </c>
      <c r="R1062" s="1">
        <v>126.12909999999994</v>
      </c>
      <c r="S1062" s="1" t="e">
        <f t="shared" si="183"/>
        <v>#N/A</v>
      </c>
      <c r="T1062" s="1" t="e">
        <v>#N/A</v>
      </c>
    </row>
    <row r="1063" spans="1:57" x14ac:dyDescent="0.35">
      <c r="A1063" s="1">
        <v>500061.22450000001</v>
      </c>
      <c r="B1063" s="1">
        <v>5999997.2750000004</v>
      </c>
      <c r="C1063" s="1">
        <v>163.976815723534</v>
      </c>
      <c r="D1063" s="1">
        <f t="shared" si="184"/>
        <v>61.301693708256863</v>
      </c>
      <c r="E1063" s="1">
        <v>0.01</v>
      </c>
      <c r="F1063" s="1">
        <v>0.05</v>
      </c>
      <c r="G1063" s="1">
        <v>0.1</v>
      </c>
      <c r="H1063" s="1">
        <v>9.81</v>
      </c>
      <c r="I1063" s="1">
        <v>2650</v>
      </c>
      <c r="J1063" s="1">
        <v>1000</v>
      </c>
      <c r="K1063" s="1">
        <v>1.65</v>
      </c>
      <c r="L1063" s="1">
        <v>6.5</v>
      </c>
      <c r="M1063" s="1">
        <v>2.5</v>
      </c>
      <c r="N1063" s="6">
        <v>9.9999999999999995E-7</v>
      </c>
      <c r="O1063" s="1">
        <f t="shared" si="185"/>
        <v>10.209391538632293</v>
      </c>
      <c r="P1063" s="1">
        <f t="shared" si="181"/>
        <v>11.034750060361873</v>
      </c>
      <c r="Q1063" s="1">
        <f t="shared" si="182"/>
        <v>11.099414331228727</v>
      </c>
      <c r="R1063" s="1">
        <v>126.12909999999994</v>
      </c>
      <c r="S1063" s="1" t="e">
        <f t="shared" si="183"/>
        <v>#N/A</v>
      </c>
      <c r="T1063" s="1" t="e">
        <v>#N/A</v>
      </c>
    </row>
    <row r="1064" spans="1:57" x14ac:dyDescent="0.35">
      <c r="A1064" s="1">
        <v>500071.42859999998</v>
      </c>
      <c r="B1064" s="1">
        <v>5999996.8150000004</v>
      </c>
      <c r="C1064" s="1">
        <v>168.15179501512699</v>
      </c>
      <c r="D1064" s="1">
        <f t="shared" si="184"/>
        <v>71.516156827257589</v>
      </c>
      <c r="E1064" s="1">
        <v>0.01</v>
      </c>
      <c r="F1064" s="1">
        <v>0.05</v>
      </c>
      <c r="G1064" s="1">
        <v>0.1</v>
      </c>
      <c r="H1064" s="1">
        <v>9.81</v>
      </c>
      <c r="I1064" s="1">
        <v>2650</v>
      </c>
      <c r="J1064" s="1">
        <v>1000</v>
      </c>
      <c r="K1064" s="1">
        <v>1.65</v>
      </c>
      <c r="L1064" s="1">
        <v>6.5</v>
      </c>
      <c r="M1064" s="1">
        <v>2.5</v>
      </c>
      <c r="N1064" s="6">
        <v>9.9999999999999995E-7</v>
      </c>
      <c r="O1064" s="1">
        <f t="shared" si="185"/>
        <v>10.229976351370027</v>
      </c>
      <c r="P1064" s="1">
        <f t="shared" si="181"/>
        <v>11.687505241745082</v>
      </c>
      <c r="Q1064" s="1">
        <f t="shared" si="182"/>
        <v>11.361127651053478</v>
      </c>
      <c r="R1064" s="1">
        <v>126.12909999999994</v>
      </c>
      <c r="S1064" s="1" t="e">
        <f t="shared" si="183"/>
        <v>#N/A</v>
      </c>
      <c r="T1064" s="1" t="e">
        <v>#N/A</v>
      </c>
    </row>
    <row r="1065" spans="1:57" x14ac:dyDescent="0.35">
      <c r="A1065" s="1">
        <v>500081.63270000002</v>
      </c>
      <c r="B1065" s="1">
        <v>5999997.7350000003</v>
      </c>
      <c r="C1065" s="1">
        <v>162.52794206849799</v>
      </c>
      <c r="D1065" s="1">
        <f t="shared" si="184"/>
        <v>81.761646410996917</v>
      </c>
      <c r="E1065" s="1">
        <v>0.01</v>
      </c>
      <c r="F1065" s="1">
        <v>0.05</v>
      </c>
      <c r="G1065" s="1">
        <v>0.1</v>
      </c>
      <c r="H1065" s="1">
        <v>9.81</v>
      </c>
      <c r="I1065" s="1">
        <v>2650</v>
      </c>
      <c r="J1065" s="1">
        <v>1000</v>
      </c>
      <c r="K1065" s="1">
        <v>1.65</v>
      </c>
      <c r="L1065" s="1">
        <v>6.5</v>
      </c>
      <c r="M1065" s="1">
        <v>2.5</v>
      </c>
      <c r="N1065" s="6">
        <v>9.9999999999999995E-7</v>
      </c>
      <c r="O1065" s="1">
        <f t="shared" si="185"/>
        <v>10.224765396477437</v>
      </c>
      <c r="P1065" s="1">
        <f t="shared" si="181"/>
        <v>11.652977208096294</v>
      </c>
      <c r="Q1065" s="1">
        <f t="shared" si="182"/>
        <v>11.670241224920687</v>
      </c>
      <c r="R1065" s="1">
        <v>126.12909999999994</v>
      </c>
      <c r="S1065" s="1" t="e">
        <f t="shared" si="183"/>
        <v>#N/A</v>
      </c>
      <c r="T1065" s="1" t="e">
        <v>#N/A</v>
      </c>
    </row>
    <row r="1066" spans="1:57" x14ac:dyDescent="0.35">
      <c r="A1066" s="1">
        <v>500091.83669999999</v>
      </c>
      <c r="B1066" s="1">
        <v>5999997.7640000004</v>
      </c>
      <c r="C1066" s="1">
        <v>168.15550111421601</v>
      </c>
      <c r="D1066" s="1">
        <f t="shared" si="184"/>
        <v>91.965687620212464</v>
      </c>
      <c r="E1066" s="1">
        <v>0.01</v>
      </c>
      <c r="F1066" s="1">
        <v>0.05</v>
      </c>
      <c r="G1066" s="1">
        <v>0.1</v>
      </c>
      <c r="H1066" s="1">
        <v>9.81</v>
      </c>
      <c r="I1066" s="1">
        <v>2650</v>
      </c>
      <c r="J1066" s="1">
        <v>1000</v>
      </c>
      <c r="K1066" s="1">
        <v>1.65</v>
      </c>
      <c r="L1066" s="1">
        <v>6.5</v>
      </c>
      <c r="M1066" s="1">
        <v>2.5</v>
      </c>
      <c r="N1066" s="6">
        <v>9.9999999999999995E-7</v>
      </c>
      <c r="O1066" s="1">
        <f t="shared" si="185"/>
        <v>10.204607223431253</v>
      </c>
      <c r="P1066" s="1">
        <f t="shared" si="181"/>
        <v>10.499401533865951</v>
      </c>
      <c r="Q1066" s="1">
        <f t="shared" si="182"/>
        <v>11.076189370981123</v>
      </c>
      <c r="R1066" s="1">
        <v>126.12909999999994</v>
      </c>
      <c r="S1066" s="1" t="e">
        <f t="shared" si="183"/>
        <v>#N/A</v>
      </c>
      <c r="T1066" s="1" t="e">
        <v>#N/A</v>
      </c>
    </row>
    <row r="1067" spans="1:57" x14ac:dyDescent="0.35">
      <c r="A1067" s="1">
        <v>500102.04080000002</v>
      </c>
      <c r="B1067" s="1">
        <v>5999997.9119999995</v>
      </c>
      <c r="C1067" s="1">
        <v>170.62367285843499</v>
      </c>
      <c r="D1067" s="1">
        <f t="shared" si="184"/>
        <v>102.17086085785942</v>
      </c>
      <c r="E1067" s="1">
        <v>0.01</v>
      </c>
      <c r="F1067" s="1">
        <v>0.05</v>
      </c>
      <c r="G1067" s="1">
        <v>0.1</v>
      </c>
      <c r="H1067" s="1">
        <v>9.81</v>
      </c>
      <c r="I1067" s="1">
        <v>2650</v>
      </c>
      <c r="J1067" s="1">
        <v>1000</v>
      </c>
      <c r="K1067" s="1">
        <v>1.65</v>
      </c>
      <c r="L1067" s="1">
        <v>6.5</v>
      </c>
      <c r="M1067" s="1">
        <v>2.5</v>
      </c>
      <c r="N1067" s="6">
        <v>9.9999999999999995E-7</v>
      </c>
      <c r="O1067" s="1">
        <f t="shared" si="185"/>
        <v>10.21006882166494</v>
      </c>
      <c r="P1067" s="1">
        <f t="shared" si="181"/>
        <v>10.948230205101877</v>
      </c>
      <c r="Q1067" s="1">
        <f t="shared" si="182"/>
        <v>10.723815869483914</v>
      </c>
      <c r="R1067" s="1">
        <v>126.12909999999994</v>
      </c>
      <c r="S1067" s="1" t="e">
        <f t="shared" si="183"/>
        <v>#N/A</v>
      </c>
      <c r="T1067" s="1" t="e">
        <v>#N/A</v>
      </c>
    </row>
    <row r="1068" spans="1:57" x14ac:dyDescent="0.35">
      <c r="A1068" s="1">
        <v>500112.24489999999</v>
      </c>
      <c r="B1068" s="1">
        <v>5999997.4409999996</v>
      </c>
      <c r="C1068" s="1">
        <v>174.56299346160199</v>
      </c>
      <c r="D1068" s="1">
        <f t="shared" si="184"/>
        <v>112.38582526354234</v>
      </c>
      <c r="E1068" s="1">
        <v>0.01</v>
      </c>
      <c r="F1068" s="1">
        <v>0.05</v>
      </c>
      <c r="G1068" s="1">
        <v>0.1</v>
      </c>
      <c r="H1068" s="1">
        <v>9.81</v>
      </c>
      <c r="I1068" s="1">
        <v>2650</v>
      </c>
      <c r="J1068" s="1">
        <v>1000</v>
      </c>
      <c r="K1068" s="1">
        <v>1.65</v>
      </c>
      <c r="L1068" s="1">
        <v>6.5</v>
      </c>
      <c r="M1068" s="1">
        <v>2.5</v>
      </c>
      <c r="N1068" s="6">
        <v>9.9999999999999995E-7</v>
      </c>
      <c r="O1068" s="1">
        <f t="shared" si="185"/>
        <v>10.211692861963954</v>
      </c>
      <c r="P1068" s="1">
        <f t="shared" si="181"/>
        <v>13.530011313683339</v>
      </c>
      <c r="Q1068" s="1">
        <f t="shared" si="182"/>
        <v>12.239120759392609</v>
      </c>
      <c r="R1068" s="1">
        <v>126.12909999999994</v>
      </c>
      <c r="S1068" s="1" t="e">
        <f t="shared" si="183"/>
        <v>#N/A</v>
      </c>
      <c r="T1068" s="1" t="e">
        <v>#N/A</v>
      </c>
    </row>
    <row r="1069" spans="1:57" x14ac:dyDescent="0.35">
      <c r="A1069" s="1">
        <v>500122.44900000002</v>
      </c>
      <c r="B1069" s="1">
        <v>5999997.7379999999</v>
      </c>
      <c r="C1069" s="1">
        <v>165.68327835707299</v>
      </c>
      <c r="D1069" s="1">
        <f t="shared" si="184"/>
        <v>122.59424658178733</v>
      </c>
      <c r="E1069" s="1">
        <v>0.01</v>
      </c>
      <c r="F1069" s="1">
        <v>0.05</v>
      </c>
      <c r="G1069" s="1">
        <v>0.1</v>
      </c>
      <c r="H1069" s="1">
        <v>9.81</v>
      </c>
      <c r="I1069" s="1">
        <v>2650</v>
      </c>
      <c r="J1069" s="1">
        <v>1000</v>
      </c>
      <c r="K1069" s="1">
        <v>1.65</v>
      </c>
      <c r="L1069" s="1">
        <v>6.5</v>
      </c>
      <c r="M1069" s="1">
        <v>2.5</v>
      </c>
      <c r="N1069" s="6">
        <v>9.9999999999999995E-7</v>
      </c>
      <c r="O1069" s="1">
        <f t="shared" si="185"/>
        <v>10.212455607463802</v>
      </c>
      <c r="P1069" s="1">
        <f t="shared" si="181"/>
        <v>12.917030195420445</v>
      </c>
      <c r="Q1069" s="1">
        <f t="shared" si="182"/>
        <v>13.223520754551892</v>
      </c>
      <c r="R1069" s="1">
        <v>126.12909999999994</v>
      </c>
      <c r="S1069" s="1" t="e">
        <f t="shared" si="183"/>
        <v>#N/A</v>
      </c>
      <c r="T1069" s="1" t="e">
        <v>#N/A</v>
      </c>
    </row>
    <row r="1070" spans="1:57" x14ac:dyDescent="0.35">
      <c r="A1070" s="1">
        <v>500132.6531</v>
      </c>
      <c r="B1070" s="1">
        <v>5999997.2350000003</v>
      </c>
      <c r="C1070" s="1">
        <v>173.58726489934301</v>
      </c>
      <c r="D1070" s="1">
        <f t="shared" si="184"/>
        <v>132.81073647846995</v>
      </c>
      <c r="E1070" s="1">
        <v>0.01</v>
      </c>
      <c r="F1070" s="1">
        <v>0.05</v>
      </c>
      <c r="G1070" s="1">
        <v>0.1</v>
      </c>
      <c r="H1070" s="1">
        <v>9.81</v>
      </c>
      <c r="I1070" s="1">
        <v>2650</v>
      </c>
      <c r="J1070" s="1">
        <v>1000</v>
      </c>
      <c r="K1070" s="1">
        <v>1.65</v>
      </c>
      <c r="L1070" s="1">
        <v>6.5</v>
      </c>
      <c r="M1070" s="1">
        <v>2.5</v>
      </c>
      <c r="N1070" s="6">
        <v>9.9999999999999995E-7</v>
      </c>
      <c r="O1070" s="1">
        <f t="shared" si="185"/>
        <v>10.225512676353247</v>
      </c>
      <c r="P1070" s="1">
        <f t="shared" si="181"/>
        <v>13.492945518552009</v>
      </c>
      <c r="Q1070" s="1">
        <f t="shared" si="182"/>
        <v>13.204987856986227</v>
      </c>
      <c r="R1070" s="1">
        <v>126.12909999999994</v>
      </c>
      <c r="S1070" s="1" t="e">
        <f t="shared" si="183"/>
        <v>#N/A</v>
      </c>
      <c r="T1070" s="1" t="e">
        <v>#N/A</v>
      </c>
    </row>
    <row r="1071" spans="1:57" x14ac:dyDescent="0.35">
      <c r="A1071" s="1">
        <v>500142.85710000002</v>
      </c>
      <c r="B1071" s="1">
        <v>5999996.4450000003</v>
      </c>
      <c r="C1071" s="1">
        <v>164.79443470844299</v>
      </c>
      <c r="D1071" s="1">
        <f t="shared" si="184"/>
        <v>143.04527193449383</v>
      </c>
      <c r="E1071" s="1">
        <v>0.01</v>
      </c>
      <c r="F1071" s="1">
        <v>0.05</v>
      </c>
      <c r="G1071" s="1">
        <v>0.1</v>
      </c>
      <c r="H1071" s="1">
        <v>9.81</v>
      </c>
      <c r="I1071" s="1">
        <v>2650</v>
      </c>
      <c r="J1071" s="1">
        <v>1000</v>
      </c>
      <c r="K1071" s="1">
        <v>1.65</v>
      </c>
      <c r="L1071" s="1">
        <v>6.5</v>
      </c>
      <c r="M1071" s="1">
        <v>2.5</v>
      </c>
      <c r="N1071" s="6">
        <v>9.9999999999999995E-7</v>
      </c>
      <c r="O1071" s="1">
        <f t="shared" si="185"/>
        <v>10.219577641411078</v>
      </c>
      <c r="P1071" s="1">
        <f t="shared" si="181"/>
        <v>10.57052865269438</v>
      </c>
      <c r="Q1071" s="1">
        <f t="shared" si="182"/>
        <v>12.031737085623195</v>
      </c>
      <c r="R1071" s="1">
        <v>126.12909999999994</v>
      </c>
      <c r="S1071" s="1" t="e">
        <f t="shared" si="183"/>
        <v>#N/A</v>
      </c>
      <c r="T1071" s="1" t="e">
        <v>#N/A</v>
      </c>
    </row>
    <row r="1072" spans="1:57" x14ac:dyDescent="0.35">
      <c r="A1072" s="1">
        <v>500153.0612</v>
      </c>
      <c r="B1072" s="1">
        <v>5999996.5480000004</v>
      </c>
      <c r="C1072" s="1">
        <v>167.55157275140499</v>
      </c>
      <c r="D1072" s="1">
        <f t="shared" si="184"/>
        <v>153.2498917612921</v>
      </c>
      <c r="E1072" s="1">
        <v>0.01</v>
      </c>
      <c r="F1072" s="1">
        <v>0.05</v>
      </c>
      <c r="G1072" s="1">
        <v>0.1</v>
      </c>
      <c r="H1072" s="1">
        <v>9.81</v>
      </c>
      <c r="I1072" s="1">
        <v>2650</v>
      </c>
      <c r="J1072" s="1">
        <v>1000</v>
      </c>
      <c r="K1072" s="1">
        <v>1.65</v>
      </c>
      <c r="L1072" s="1">
        <v>6.5</v>
      </c>
      <c r="M1072" s="1">
        <v>2.5</v>
      </c>
      <c r="N1072" s="6">
        <v>9.9999999999999995E-7</v>
      </c>
      <c r="O1072" s="1">
        <f t="shared" si="185"/>
        <v>10.204940921281036</v>
      </c>
      <c r="P1072" s="1">
        <f t="shared" si="181"/>
        <v>10.682627590463349</v>
      </c>
      <c r="Q1072" s="1">
        <f t="shared" si="182"/>
        <v>10.626578121578865</v>
      </c>
      <c r="R1072" s="1">
        <v>126.12909999999994</v>
      </c>
      <c r="S1072" s="1" t="e">
        <f t="shared" si="183"/>
        <v>#N/A</v>
      </c>
      <c r="T1072" s="1" t="e">
        <v>#N/A</v>
      </c>
    </row>
    <row r="1073" spans="1:20" x14ac:dyDescent="0.35">
      <c r="A1073" s="1">
        <v>500163.26530000003</v>
      </c>
      <c r="B1073" s="1">
        <v>5999996.7019999996</v>
      </c>
      <c r="C1073" s="1">
        <v>164.39385847900201</v>
      </c>
      <c r="D1073" s="1">
        <f t="shared" si="184"/>
        <v>163.4551537770559</v>
      </c>
      <c r="E1073" s="1">
        <v>0.01</v>
      </c>
      <c r="F1073" s="1">
        <v>0.05</v>
      </c>
      <c r="G1073" s="1">
        <v>0.1</v>
      </c>
      <c r="H1073" s="1">
        <v>9.81</v>
      </c>
      <c r="I1073" s="1">
        <v>2650</v>
      </c>
      <c r="J1073" s="1">
        <v>1000</v>
      </c>
      <c r="K1073" s="1">
        <v>1.65</v>
      </c>
      <c r="L1073" s="1">
        <v>6.5</v>
      </c>
      <c r="M1073" s="1">
        <v>2.5</v>
      </c>
      <c r="N1073" s="6">
        <v>9.9999999999999995E-7</v>
      </c>
      <c r="O1073" s="1">
        <f t="shared" si="185"/>
        <v>10.213849082106762</v>
      </c>
      <c r="P1073" s="1">
        <f t="shared" si="181"/>
        <v>11.026540308620518</v>
      </c>
      <c r="Q1073" s="1">
        <f t="shared" si="182"/>
        <v>10.854583949541933</v>
      </c>
      <c r="R1073" s="1">
        <v>126.12909999999994</v>
      </c>
      <c r="S1073" s="1" t="e">
        <f t="shared" si="183"/>
        <v>#N/A</v>
      </c>
      <c r="T1073" s="1" t="e">
        <v>#N/A</v>
      </c>
    </row>
    <row r="1074" spans="1:20" x14ac:dyDescent="0.35">
      <c r="A1074" s="1">
        <v>500173.4694</v>
      </c>
      <c r="B1074" s="1">
        <v>5999996.0899999999</v>
      </c>
      <c r="C1074" s="1">
        <v>168.52742719967199</v>
      </c>
      <c r="D1074" s="1">
        <f t="shared" si="184"/>
        <v>173.67758992550563</v>
      </c>
      <c r="E1074" s="1">
        <v>0.01</v>
      </c>
      <c r="F1074" s="1">
        <v>0.05</v>
      </c>
      <c r="G1074" s="1">
        <v>0.1</v>
      </c>
      <c r="H1074" s="1">
        <v>9.81</v>
      </c>
      <c r="I1074" s="1">
        <v>2650</v>
      </c>
      <c r="J1074" s="1">
        <v>1000</v>
      </c>
      <c r="K1074" s="1">
        <v>1.65</v>
      </c>
      <c r="L1074" s="1">
        <v>6.5</v>
      </c>
      <c r="M1074" s="1">
        <v>2.5</v>
      </c>
      <c r="N1074" s="6">
        <v>9.9999999999999995E-7</v>
      </c>
      <c r="O1074" s="1">
        <f t="shared" si="185"/>
        <v>10.214988293625822</v>
      </c>
      <c r="P1074" s="1">
        <f t="shared" si="181"/>
        <v>10.632479456336906</v>
      </c>
      <c r="Q1074" s="1">
        <f t="shared" si="182"/>
        <v>10.829509882478712</v>
      </c>
      <c r="R1074" s="1">
        <v>126.12909999999994</v>
      </c>
      <c r="S1074" s="1" t="e">
        <f t="shared" si="183"/>
        <v>#N/A</v>
      </c>
      <c r="T1074" s="1" t="e">
        <v>#N/A</v>
      </c>
    </row>
    <row r="1075" spans="1:20" x14ac:dyDescent="0.35">
      <c r="A1075" s="1">
        <v>500183.67349999998</v>
      </c>
      <c r="B1075" s="1">
        <v>5999996.3550000004</v>
      </c>
      <c r="C1075" s="1">
        <v>165.55156806663999</v>
      </c>
      <c r="D1075" s="1">
        <f t="shared" si="184"/>
        <v>183.88513036430754</v>
      </c>
      <c r="E1075" s="1">
        <v>0.01</v>
      </c>
      <c r="F1075" s="1">
        <v>0.05</v>
      </c>
      <c r="G1075" s="1">
        <v>0.1</v>
      </c>
      <c r="H1075" s="1">
        <v>9.81</v>
      </c>
      <c r="I1075" s="1">
        <v>2650</v>
      </c>
      <c r="J1075" s="1">
        <v>1000</v>
      </c>
      <c r="K1075" s="1">
        <v>1.65</v>
      </c>
      <c r="L1075" s="1">
        <v>6.5</v>
      </c>
      <c r="M1075" s="1">
        <v>2.5</v>
      </c>
      <c r="N1075" s="6">
        <v>9.9999999999999995E-7</v>
      </c>
      <c r="O1075" s="1">
        <f t="shared" si="185"/>
        <v>10.210285318026777</v>
      </c>
      <c r="P1075" s="1">
        <f t="shared" si="181"/>
        <v>10.217153370786205</v>
      </c>
      <c r="Q1075" s="1">
        <f t="shared" si="182"/>
        <v>10.424816413561555</v>
      </c>
      <c r="R1075" s="1">
        <v>126.12909999999994</v>
      </c>
      <c r="S1075" s="1" t="e">
        <f t="shared" si="183"/>
        <v>#N/A</v>
      </c>
      <c r="T1075" s="1" t="e">
        <v>#N/A</v>
      </c>
    </row>
    <row r="1076" spans="1:20" x14ac:dyDescent="0.35">
      <c r="A1076" s="1">
        <v>500193.87760000001</v>
      </c>
      <c r="B1076" s="1">
        <v>5999996.7819999997</v>
      </c>
      <c r="C1076" s="1">
        <v>165.84180450851801</v>
      </c>
      <c r="D1076" s="1">
        <f t="shared" si="184"/>
        <v>194.09816056155918</v>
      </c>
      <c r="E1076" s="1">
        <v>0.01</v>
      </c>
      <c r="F1076" s="1">
        <v>0.05</v>
      </c>
      <c r="G1076" s="1">
        <v>0.1</v>
      </c>
      <c r="H1076" s="1">
        <v>9.81</v>
      </c>
      <c r="I1076" s="1">
        <v>2650</v>
      </c>
      <c r="J1076" s="1">
        <v>1000</v>
      </c>
      <c r="K1076" s="1">
        <v>1.65</v>
      </c>
      <c r="L1076" s="1">
        <v>6.5</v>
      </c>
      <c r="M1076" s="1">
        <v>2.5</v>
      </c>
      <c r="N1076" s="6">
        <v>9.9999999999999995E-7</v>
      </c>
      <c r="O1076" s="1">
        <f t="shared" si="185"/>
        <v>10.225732250662787</v>
      </c>
      <c r="P1076" s="1">
        <f t="shared" si="181"/>
        <v>11.805317568883225</v>
      </c>
      <c r="Q1076" s="1">
        <f t="shared" si="182"/>
        <v>11.011235469834716</v>
      </c>
      <c r="R1076" s="1">
        <v>126.12909999999994</v>
      </c>
      <c r="S1076" s="1" t="e">
        <f t="shared" si="183"/>
        <v>#N/A</v>
      </c>
      <c r="T1076" s="1" t="e">
        <v>#N/A</v>
      </c>
    </row>
    <row r="1077" spans="1:20" x14ac:dyDescent="0.35">
      <c r="A1077" s="1">
        <v>500204.08159999998</v>
      </c>
      <c r="B1077" s="1">
        <v>5999995.943</v>
      </c>
      <c r="C1077" s="1">
        <v>159.96473160584401</v>
      </c>
      <c r="D1077" s="1">
        <f t="shared" si="184"/>
        <v>204.33659486563312</v>
      </c>
      <c r="E1077" s="1">
        <v>0.01</v>
      </c>
      <c r="F1077" s="1">
        <v>0.05</v>
      </c>
      <c r="G1077" s="1">
        <v>0.1</v>
      </c>
      <c r="H1077" s="1">
        <v>9.81</v>
      </c>
      <c r="I1077" s="1">
        <v>2650</v>
      </c>
      <c r="J1077" s="1">
        <v>1000</v>
      </c>
      <c r="K1077" s="1">
        <v>1.65</v>
      </c>
      <c r="L1077" s="1">
        <v>6.5</v>
      </c>
      <c r="M1077" s="1">
        <v>2.5</v>
      </c>
      <c r="N1077" s="6">
        <v>9.9999999999999995E-7</v>
      </c>
      <c r="O1077" s="1">
        <f t="shared" si="185"/>
        <v>10.222474465035148</v>
      </c>
      <c r="P1077" s="1">
        <f t="shared" si="181"/>
        <v>10.510110351296964</v>
      </c>
      <c r="Q1077" s="1">
        <f t="shared" si="182"/>
        <v>11.157713960090096</v>
      </c>
      <c r="R1077" s="1">
        <v>126.12909999999994</v>
      </c>
      <c r="S1077" s="1" t="e">
        <f t="shared" si="183"/>
        <v>#N/A</v>
      </c>
      <c r="T1077" s="1" t="e">
        <v>#N/A</v>
      </c>
    </row>
    <row r="1078" spans="1:20" x14ac:dyDescent="0.35">
      <c r="A1078" s="1">
        <v>500214.28570000001</v>
      </c>
      <c r="B1078" s="1">
        <v>5999995.7209999999</v>
      </c>
      <c r="C1078" s="1">
        <v>162.47261493362501</v>
      </c>
      <c r="D1078" s="1">
        <f t="shared" si="184"/>
        <v>214.54310949162948</v>
      </c>
      <c r="E1078" s="1">
        <v>0.01</v>
      </c>
      <c r="F1078" s="1">
        <v>0.05</v>
      </c>
      <c r="G1078" s="1">
        <v>0.1</v>
      </c>
      <c r="H1078" s="1">
        <v>9.81</v>
      </c>
      <c r="I1078" s="1">
        <v>2650</v>
      </c>
      <c r="J1078" s="1">
        <v>1000</v>
      </c>
      <c r="K1078" s="1">
        <v>1.65</v>
      </c>
      <c r="L1078" s="1">
        <v>6.5</v>
      </c>
      <c r="M1078" s="1">
        <v>2.5</v>
      </c>
      <c r="N1078" s="6">
        <v>9.9999999999999995E-7</v>
      </c>
      <c r="O1078" s="1">
        <f t="shared" si="185"/>
        <v>10.209668499185454</v>
      </c>
      <c r="P1078" s="1">
        <f t="shared" si="181"/>
        <v>13.932835838967597</v>
      </c>
      <c r="Q1078" s="1">
        <f t="shared" si="182"/>
        <v>12.22147309513228</v>
      </c>
      <c r="R1078" s="1">
        <v>126.12909999999994</v>
      </c>
      <c r="S1078" s="1" t="e">
        <f t="shared" si="183"/>
        <v>#N/A</v>
      </c>
      <c r="T1078" s="1" t="e">
        <v>#N/A</v>
      </c>
    </row>
    <row r="1079" spans="1:20" x14ac:dyDescent="0.35">
      <c r="A1079" s="1">
        <v>500224.48979999998</v>
      </c>
      <c r="B1079" s="1">
        <v>5999996.1430000002</v>
      </c>
      <c r="C1079" s="1">
        <v>152.99515885586101</v>
      </c>
      <c r="D1079" s="1">
        <f t="shared" si="184"/>
        <v>224.75593186400403</v>
      </c>
      <c r="E1079" s="1">
        <v>0.01</v>
      </c>
      <c r="F1079" s="1">
        <v>0.05</v>
      </c>
      <c r="G1079" s="1">
        <v>0.1</v>
      </c>
      <c r="H1079" s="1">
        <v>9.81</v>
      </c>
      <c r="I1079" s="1">
        <v>2650</v>
      </c>
      <c r="J1079" s="1">
        <v>1000</v>
      </c>
      <c r="K1079" s="1">
        <v>1.65</v>
      </c>
      <c r="L1079" s="1">
        <v>6.5</v>
      </c>
      <c r="M1079" s="1">
        <v>2.5</v>
      </c>
      <c r="N1079" s="6">
        <v>9.9999999999999995E-7</v>
      </c>
      <c r="O1079" s="1">
        <f t="shared" si="185"/>
        <v>10.211706300347956</v>
      </c>
      <c r="P1079" s="1">
        <f t="shared" si="181"/>
        <v>10.301820481574744</v>
      </c>
      <c r="Q1079" s="1">
        <f t="shared" si="182"/>
        <v>12.117328160271171</v>
      </c>
      <c r="R1079" s="1">
        <v>126.12909999999994</v>
      </c>
      <c r="S1079" s="1" t="e">
        <f t="shared" si="183"/>
        <v>#N/A</v>
      </c>
      <c r="T1079" s="1" t="e">
        <v>#N/A</v>
      </c>
    </row>
    <row r="1080" spans="1:20" x14ac:dyDescent="0.35">
      <c r="A1080" s="1">
        <v>500234.69390000001</v>
      </c>
      <c r="B1080" s="1">
        <v>5999996.5070000002</v>
      </c>
      <c r="C1080" s="1">
        <v>151.627185016966</v>
      </c>
      <c r="D1080" s="1">
        <f t="shared" si="184"/>
        <v>234.96652209232539</v>
      </c>
      <c r="E1080" s="1">
        <v>0.01</v>
      </c>
      <c r="F1080" s="1">
        <v>0.05</v>
      </c>
      <c r="G1080" s="1">
        <v>0.1</v>
      </c>
      <c r="H1080" s="1">
        <v>9.81</v>
      </c>
      <c r="I1080" s="1">
        <v>2650</v>
      </c>
      <c r="J1080" s="1">
        <v>1000</v>
      </c>
      <c r="K1080" s="1">
        <v>1.65</v>
      </c>
      <c r="L1080" s="1">
        <v>6.5</v>
      </c>
      <c r="M1080" s="1">
        <v>2.5</v>
      </c>
      <c r="N1080" s="6">
        <v>9.9999999999999995E-7</v>
      </c>
      <c r="O1080" s="1">
        <f t="shared" si="185"/>
        <v>10.212172653557417</v>
      </c>
      <c r="P1080" s="1">
        <f t="shared" si="181"/>
        <v>11.089044194999135</v>
      </c>
      <c r="Q1080" s="1">
        <f t="shared" si="182"/>
        <v>10.695432338286938</v>
      </c>
      <c r="R1080" s="1">
        <v>126.12909999999994</v>
      </c>
      <c r="S1080" s="1" t="e">
        <f t="shared" si="183"/>
        <v>#N/A</v>
      </c>
      <c r="T1080" s="1" t="e">
        <v>#N/A</v>
      </c>
    </row>
    <row r="1081" spans="1:20" x14ac:dyDescent="0.35">
      <c r="A1081" s="1">
        <v>500244.89799999999</v>
      </c>
      <c r="B1081" s="1">
        <v>5999996.9510000004</v>
      </c>
      <c r="C1081" s="1">
        <v>155.94529899752101</v>
      </c>
      <c r="D1081" s="1">
        <f t="shared" si="184"/>
        <v>245.18027717111886</v>
      </c>
      <c r="E1081" s="1">
        <v>0.01</v>
      </c>
      <c r="F1081" s="1">
        <v>0.05</v>
      </c>
      <c r="G1081" s="1">
        <v>0.1</v>
      </c>
      <c r="H1081" s="1">
        <v>9.81</v>
      </c>
      <c r="I1081" s="1">
        <v>2650</v>
      </c>
      <c r="J1081" s="1">
        <v>1000</v>
      </c>
      <c r="K1081" s="1">
        <v>1.65</v>
      </c>
      <c r="L1081" s="1">
        <v>6.5</v>
      </c>
      <c r="M1081" s="1">
        <v>2.5</v>
      </c>
      <c r="N1081" s="6">
        <v>9.9999999999999995E-7</v>
      </c>
      <c r="O1081" s="1">
        <f t="shared" si="185"/>
        <v>10.228334363400478</v>
      </c>
      <c r="P1081" s="1">
        <f t="shared" si="181"/>
        <v>11.738479864242503</v>
      </c>
      <c r="Q1081" s="1">
        <f t="shared" si="182"/>
        <v>11.41376202962082</v>
      </c>
      <c r="R1081" s="1">
        <v>126.12909999999994</v>
      </c>
      <c r="S1081" s="1" t="e">
        <f t="shared" si="183"/>
        <v>#N/A</v>
      </c>
      <c r="T1081" s="1" t="e">
        <v>#N/A</v>
      </c>
    </row>
    <row r="1082" spans="1:20" x14ac:dyDescent="0.35">
      <c r="A1082" s="1">
        <v>500255.10200000001</v>
      </c>
      <c r="B1082" s="1">
        <v>5999997.8430000003</v>
      </c>
      <c r="C1082" s="1">
        <v>150.21165883417899</v>
      </c>
      <c r="D1082" s="1">
        <f t="shared" si="184"/>
        <v>255.42319081912635</v>
      </c>
      <c r="E1082" s="1">
        <v>0.01</v>
      </c>
      <c r="F1082" s="1">
        <v>0.05</v>
      </c>
      <c r="G1082" s="1">
        <v>0.1</v>
      </c>
      <c r="H1082" s="1">
        <v>9.81</v>
      </c>
      <c r="I1082" s="1">
        <v>2650</v>
      </c>
      <c r="J1082" s="1">
        <v>1000</v>
      </c>
      <c r="K1082" s="1">
        <v>1.65</v>
      </c>
      <c r="L1082" s="1">
        <v>6.5</v>
      </c>
      <c r="M1082" s="1">
        <v>2.5</v>
      </c>
      <c r="N1082" s="6">
        <v>9.9999999999999995E-7</v>
      </c>
      <c r="O1082" s="1">
        <f t="shared" si="185"/>
        <v>10.228247812702051</v>
      </c>
      <c r="P1082" s="1">
        <f t="shared" si="181"/>
        <v>10.415569048554094</v>
      </c>
      <c r="Q1082" s="1">
        <f t="shared" si="182"/>
        <v>11.077024456398298</v>
      </c>
      <c r="R1082" s="1">
        <v>126.12909999999994</v>
      </c>
      <c r="S1082" s="1" t="e">
        <f t="shared" si="183"/>
        <v>#N/A</v>
      </c>
      <c r="T1082" s="1" t="e">
        <v>#N/A</v>
      </c>
    </row>
    <row r="1083" spans="1:20" x14ac:dyDescent="0.35">
      <c r="A1083" s="1">
        <v>500265.30609999999</v>
      </c>
      <c r="B1083" s="1">
        <v>5999998.2829999998</v>
      </c>
      <c r="C1083" s="1">
        <v>148.17037938339399</v>
      </c>
      <c r="D1083" s="1">
        <f t="shared" si="184"/>
        <v>265.63677279652296</v>
      </c>
      <c r="E1083" s="1">
        <v>0.01</v>
      </c>
      <c r="F1083" s="1">
        <v>0.05</v>
      </c>
      <c r="G1083" s="1">
        <v>0.1</v>
      </c>
      <c r="H1083" s="1">
        <v>9.81</v>
      </c>
      <c r="I1083" s="1">
        <v>2650</v>
      </c>
      <c r="J1083" s="1">
        <v>1000</v>
      </c>
      <c r="K1083" s="1">
        <v>1.65</v>
      </c>
      <c r="L1083" s="1">
        <v>6.5</v>
      </c>
      <c r="M1083" s="1">
        <v>2.5</v>
      </c>
      <c r="N1083" s="6">
        <v>9.9999999999999995E-7</v>
      </c>
      <c r="O1083" s="1">
        <f t="shared" si="185"/>
        <v>10.23198332194535</v>
      </c>
      <c r="P1083" s="1">
        <f t="shared" si="181"/>
        <v>10.753746192038282</v>
      </c>
      <c r="Q1083" s="1">
        <f t="shared" si="182"/>
        <v>10.584657620296188</v>
      </c>
      <c r="R1083" s="1">
        <v>126.12909999999994</v>
      </c>
      <c r="S1083" s="1" t="e">
        <f t="shared" si="183"/>
        <v>#N/A</v>
      </c>
      <c r="T1083" s="1" t="e">
        <v>#N/A</v>
      </c>
    </row>
    <row r="1084" spans="1:20" x14ac:dyDescent="0.35">
      <c r="A1084" s="1">
        <v>500275.51020000002</v>
      </c>
      <c r="B1084" s="1">
        <v>5999997.3099999996</v>
      </c>
      <c r="C1084" s="1">
        <v>144.91881493659599</v>
      </c>
      <c r="D1084" s="1">
        <f t="shared" si="184"/>
        <v>275.88715746301705</v>
      </c>
      <c r="E1084" s="1">
        <v>0.01</v>
      </c>
      <c r="F1084" s="1">
        <v>0.05</v>
      </c>
      <c r="G1084" s="1">
        <v>0.1</v>
      </c>
      <c r="H1084" s="1">
        <v>9.81</v>
      </c>
      <c r="I1084" s="1">
        <v>2650</v>
      </c>
      <c r="J1084" s="1">
        <v>1000</v>
      </c>
      <c r="K1084" s="1">
        <v>1.65</v>
      </c>
      <c r="L1084" s="1">
        <v>6.5</v>
      </c>
      <c r="M1084" s="1">
        <v>2.5</v>
      </c>
      <c r="N1084" s="6">
        <v>9.9999999999999995E-7</v>
      </c>
      <c r="O1084" s="1">
        <f t="shared" si="185"/>
        <v>10.247668609691146</v>
      </c>
      <c r="P1084" s="1">
        <f t="shared" si="181"/>
        <v>10.247801935839309</v>
      </c>
      <c r="Q1084" s="1">
        <f t="shared" si="182"/>
        <v>10.500774063938795</v>
      </c>
      <c r="R1084" s="1">
        <v>126.12909999999994</v>
      </c>
      <c r="S1084" s="1" t="e">
        <f t="shared" si="183"/>
        <v>#N/A</v>
      </c>
      <c r="T1084" s="1" t="e">
        <v>#N/A</v>
      </c>
    </row>
    <row r="1085" spans="1:20" x14ac:dyDescent="0.35">
      <c r="A1085" s="1">
        <v>500285.71429999999</v>
      </c>
      <c r="B1085" s="1">
        <v>5999998.2240000004</v>
      </c>
      <c r="C1085" s="1">
        <v>144.67717117967001</v>
      </c>
      <c r="D1085" s="1">
        <f t="shared" si="184"/>
        <v>286.13211001590525</v>
      </c>
      <c r="E1085" s="1">
        <v>0.01</v>
      </c>
      <c r="F1085" s="1">
        <v>0.05</v>
      </c>
      <c r="G1085" s="1">
        <v>0.1</v>
      </c>
      <c r="H1085" s="1">
        <v>9.81</v>
      </c>
      <c r="I1085" s="1">
        <v>2650</v>
      </c>
      <c r="J1085" s="1">
        <v>1000</v>
      </c>
      <c r="K1085" s="1">
        <v>1.65</v>
      </c>
      <c r="L1085" s="1">
        <v>6.5</v>
      </c>
      <c r="M1085" s="1">
        <v>2.5</v>
      </c>
      <c r="N1085" s="6">
        <v>9.9999999999999995E-7</v>
      </c>
      <c r="O1085" s="1">
        <f t="shared" si="185"/>
        <v>10.245310960713113</v>
      </c>
      <c r="P1085" s="1">
        <f t="shared" si="181"/>
        <v>10.773986209295044</v>
      </c>
      <c r="Q1085" s="1">
        <f t="shared" si="182"/>
        <v>10.510894072567176</v>
      </c>
      <c r="R1085" s="1">
        <v>126.12909999999994</v>
      </c>
      <c r="S1085" s="1" t="e">
        <f t="shared" si="183"/>
        <v>#N/A</v>
      </c>
      <c r="T1085" s="1" t="e">
        <v>#N/A</v>
      </c>
    </row>
    <row r="1086" spans="1:20" x14ac:dyDescent="0.35">
      <c r="A1086" s="1">
        <v>500295.91840000002</v>
      </c>
      <c r="B1086" s="1">
        <v>5999999.1459999997</v>
      </c>
      <c r="C1086" s="1">
        <v>141.344748933213</v>
      </c>
      <c r="D1086" s="1">
        <f t="shared" si="184"/>
        <v>296.37777938444327</v>
      </c>
      <c r="E1086" s="1">
        <v>0.01</v>
      </c>
      <c r="F1086" s="1">
        <v>0.05</v>
      </c>
      <c r="G1086" s="1">
        <v>0.1</v>
      </c>
      <c r="H1086" s="1">
        <v>9.81</v>
      </c>
      <c r="I1086" s="1">
        <v>2650</v>
      </c>
      <c r="J1086" s="1">
        <v>1000</v>
      </c>
      <c r="K1086" s="1">
        <v>1.65</v>
      </c>
      <c r="L1086" s="1">
        <v>6.5</v>
      </c>
      <c r="M1086" s="1">
        <v>2.5</v>
      </c>
      <c r="N1086" s="6">
        <v>9.9999999999999995E-7</v>
      </c>
      <c r="O1086" s="1">
        <f t="shared" si="185"/>
        <v>10.233098302678485</v>
      </c>
      <c r="P1086" s="1">
        <f t="shared" si="181"/>
        <v>10.320041754295742</v>
      </c>
      <c r="Q1086" s="1">
        <f t="shared" si="182"/>
        <v>10.547013981795393</v>
      </c>
      <c r="R1086" s="1">
        <v>126.12909999999994</v>
      </c>
      <c r="S1086" s="1" t="e">
        <f t="shared" si="183"/>
        <v>#N/A</v>
      </c>
      <c r="T1086" s="1" t="e">
        <v>#N/A</v>
      </c>
    </row>
    <row r="1087" spans="1:20" x14ac:dyDescent="0.35">
      <c r="A1087" s="1">
        <v>500306.12239999999</v>
      </c>
      <c r="B1087" s="1">
        <v>5999998.5650000004</v>
      </c>
      <c r="C1087" s="1">
        <v>139.91503399244701</v>
      </c>
      <c r="D1087" s="1">
        <f t="shared" si="184"/>
        <v>306.59830662126222</v>
      </c>
      <c r="E1087" s="1">
        <v>0.01</v>
      </c>
      <c r="F1087" s="1">
        <v>0.05</v>
      </c>
      <c r="G1087" s="1">
        <v>0.1</v>
      </c>
      <c r="H1087" s="1">
        <v>9.81</v>
      </c>
      <c r="I1087" s="1">
        <v>2650</v>
      </c>
      <c r="J1087" s="1">
        <v>1000</v>
      </c>
      <c r="K1087" s="1">
        <v>1.65</v>
      </c>
      <c r="L1087" s="1">
        <v>6.5</v>
      </c>
      <c r="M1087" s="1">
        <v>2.5</v>
      </c>
      <c r="N1087" s="6">
        <v>9.9999999999999995E-7</v>
      </c>
      <c r="O1087" s="1">
        <f t="shared" si="185"/>
        <v>10.221874954638196</v>
      </c>
      <c r="P1087" s="1">
        <f t="shared" si="181"/>
        <v>13.893706980070347</v>
      </c>
      <c r="Q1087" s="1">
        <f t="shared" si="182"/>
        <v>12.106874367183044</v>
      </c>
      <c r="R1087" s="1">
        <v>126.12909999999994</v>
      </c>
      <c r="S1087" s="1" t="e">
        <f t="shared" si="183"/>
        <v>#N/A</v>
      </c>
      <c r="T1087" s="1" t="e">
        <v>#N/A</v>
      </c>
    </row>
    <row r="1088" spans="1:20" x14ac:dyDescent="0.35">
      <c r="A1088" s="1">
        <v>500316.32650000002</v>
      </c>
      <c r="B1088" s="1">
        <v>5999999.1900000004</v>
      </c>
      <c r="C1088" s="1">
        <v>130.506484059678</v>
      </c>
      <c r="D1088" s="1">
        <f t="shared" si="184"/>
        <v>316.82152929371966</v>
      </c>
      <c r="E1088" s="1">
        <v>0.01</v>
      </c>
      <c r="F1088" s="1">
        <v>0.05</v>
      </c>
      <c r="G1088" s="1">
        <v>0.1</v>
      </c>
      <c r="H1088" s="1">
        <v>9.81</v>
      </c>
      <c r="I1088" s="1">
        <v>2650</v>
      </c>
      <c r="J1088" s="1">
        <v>1000</v>
      </c>
      <c r="K1088" s="1">
        <v>1.65</v>
      </c>
      <c r="L1088" s="1">
        <v>6.5</v>
      </c>
      <c r="M1088" s="1">
        <v>2.5</v>
      </c>
      <c r="N1088" s="6">
        <v>9.9999999999999995E-7</v>
      </c>
      <c r="O1088" s="1">
        <f t="shared" si="185"/>
        <v>10.235493697492075</v>
      </c>
      <c r="P1088" s="1">
        <f t="shared" si="181"/>
        <v>10.418299398725649</v>
      </c>
      <c r="Q1088" s="1">
        <f t="shared" si="182"/>
        <v>12.156003189397998</v>
      </c>
      <c r="R1088" s="1">
        <v>126.12909999999994</v>
      </c>
      <c r="S1088" s="1" t="e">
        <f t="shared" si="183"/>
        <v>#N/A</v>
      </c>
      <c r="T1088" s="1" t="e">
        <v>#N/A</v>
      </c>
    </row>
    <row r="1089" spans="1:20" x14ac:dyDescent="0.35">
      <c r="A1089" s="1">
        <v>500326.5306</v>
      </c>
      <c r="B1089" s="1">
        <v>6000000.1349999998</v>
      </c>
      <c r="C1089" s="1">
        <v>128.62917733108401</v>
      </c>
      <c r="D1089" s="1">
        <f t="shared" si="184"/>
        <v>327.06929401624637</v>
      </c>
      <c r="E1089" s="1">
        <v>0.01</v>
      </c>
      <c r="F1089" s="1">
        <v>0.05</v>
      </c>
      <c r="G1089" s="1">
        <v>0.1</v>
      </c>
      <c r="H1089" s="1">
        <v>9.81</v>
      </c>
      <c r="I1089" s="1">
        <v>2650</v>
      </c>
      <c r="J1089" s="1">
        <v>1000</v>
      </c>
      <c r="K1089" s="1">
        <v>1.65</v>
      </c>
      <c r="L1089" s="1">
        <v>6.5</v>
      </c>
      <c r="M1089" s="1">
        <v>2.5</v>
      </c>
      <c r="N1089" s="6">
        <v>9.9999999999999995E-7</v>
      </c>
      <c r="O1089" s="1">
        <f t="shared" si="185"/>
        <v>10.241238558797846</v>
      </c>
      <c r="P1089" s="1">
        <f t="shared" ref="P1089:P1105" si="186">SQRT((D1090 - D1089)^2 + (C1090 - C1089)^2)</f>
        <v>10.787841757464356</v>
      </c>
      <c r="Q1089" s="1">
        <f t="shared" ref="Q1089:Q1105" si="187">IF(ROW()=1057, P1089/2, (P1089 + P1088)/2)</f>
        <v>10.603070578095004</v>
      </c>
      <c r="R1089" s="1">
        <v>126.12909999999994</v>
      </c>
      <c r="S1089" s="1" t="e">
        <f t="shared" ref="S1089:S1105" si="188">IF(R1089 - C1089 &lt; 0, NA(), R1089 - C1089)</f>
        <v>#N/A</v>
      </c>
      <c r="T1089" s="1" t="e">
        <v>#N/A</v>
      </c>
    </row>
    <row r="1090" spans="1:20" x14ac:dyDescent="0.35">
      <c r="A1090" s="1">
        <v>500336.73469999997</v>
      </c>
      <c r="B1090" s="1">
        <v>5999999.3439999996</v>
      </c>
      <c r="C1090" s="1">
        <v>132.03919081702699</v>
      </c>
      <c r="D1090" s="1">
        <f t="shared" ref="D1090:D1106" si="189">D1089 + SQRT((A1090 - A1089)^2 + (B1090 - B1089)^2)</f>
        <v>337.30400641131536</v>
      </c>
      <c r="E1090" s="1">
        <v>0.01</v>
      </c>
      <c r="F1090" s="1">
        <v>0.05</v>
      </c>
      <c r="G1090" s="1">
        <v>0.1</v>
      </c>
      <c r="H1090" s="1">
        <v>9.81</v>
      </c>
      <c r="I1090" s="1">
        <v>2650</v>
      </c>
      <c r="J1090" s="1">
        <v>1000</v>
      </c>
      <c r="K1090" s="1">
        <v>1.65</v>
      </c>
      <c r="L1090" s="1">
        <v>6.5</v>
      </c>
      <c r="M1090" s="1">
        <v>2.5</v>
      </c>
      <c r="N1090" s="6">
        <v>9.9999999999999995E-7</v>
      </c>
      <c r="O1090" s="1">
        <f t="shared" si="185"/>
        <v>10.233949248828765</v>
      </c>
      <c r="P1090" s="1">
        <f t="shared" si="186"/>
        <v>11.755266476054745</v>
      </c>
      <c r="Q1090" s="1">
        <f t="shared" si="187"/>
        <v>11.27155411675955</v>
      </c>
      <c r="R1090" s="1">
        <v>126.12909999999994</v>
      </c>
      <c r="S1090" s="1" t="e">
        <f t="shared" si="188"/>
        <v>#N/A</v>
      </c>
      <c r="T1090" s="1" t="e">
        <v>#N/A</v>
      </c>
    </row>
    <row r="1091" spans="1:20" x14ac:dyDescent="0.35">
      <c r="A1091" s="1">
        <v>500346.9388</v>
      </c>
      <c r="B1091" s="1">
        <v>5999998.5729999999</v>
      </c>
      <c r="C1091" s="1">
        <v>126.254020801129</v>
      </c>
      <c r="D1091" s="1">
        <f t="shared" si="189"/>
        <v>347.5371925139039</v>
      </c>
      <c r="E1091" s="1">
        <v>0.01</v>
      </c>
      <c r="F1091" s="1">
        <v>0.05</v>
      </c>
      <c r="G1091" s="1">
        <v>0.1</v>
      </c>
      <c r="H1091" s="1">
        <v>9.81</v>
      </c>
      <c r="I1091" s="1">
        <v>2650</v>
      </c>
      <c r="J1091" s="1">
        <v>1000</v>
      </c>
      <c r="K1091" s="1">
        <v>1.65</v>
      </c>
      <c r="L1091" s="1">
        <v>6.5</v>
      </c>
      <c r="M1091" s="1">
        <v>2.5</v>
      </c>
      <c r="N1091" s="6">
        <v>9.9999999999999995E-7</v>
      </c>
      <c r="O1091" s="1">
        <f t="shared" si="185"/>
        <v>10.232552707337419</v>
      </c>
      <c r="P1091" s="1">
        <f t="shared" si="186"/>
        <v>11.350607222214496</v>
      </c>
      <c r="Q1091" s="1">
        <f t="shared" si="187"/>
        <v>11.552936849134621</v>
      </c>
      <c r="R1091" s="1">
        <v>126.12909999999994</v>
      </c>
      <c r="S1091" s="1" t="e">
        <f t="shared" si="188"/>
        <v>#N/A</v>
      </c>
      <c r="T1091" s="1" t="e">
        <v>#N/A</v>
      </c>
    </row>
    <row r="1092" spans="1:20" x14ac:dyDescent="0.35">
      <c r="A1092" s="1">
        <v>500357.14289999998</v>
      </c>
      <c r="B1092" s="1">
        <v>5999999.3269999996</v>
      </c>
      <c r="C1092" s="1">
        <v>131.167686591956</v>
      </c>
      <c r="D1092" s="1">
        <f t="shared" si="189"/>
        <v>357.76911182599019</v>
      </c>
      <c r="E1092" s="1">
        <v>0.01</v>
      </c>
      <c r="F1092" s="1">
        <v>0.05</v>
      </c>
      <c r="G1092" s="1">
        <v>0.1</v>
      </c>
      <c r="H1092" s="1">
        <v>9.81</v>
      </c>
      <c r="I1092" s="1">
        <v>2650</v>
      </c>
      <c r="J1092" s="1">
        <v>1000</v>
      </c>
      <c r="K1092" s="1">
        <v>1.65</v>
      </c>
      <c r="L1092" s="1">
        <v>6.5</v>
      </c>
      <c r="M1092" s="1">
        <v>2.5</v>
      </c>
      <c r="N1092" s="6">
        <v>9.9999999999999995E-7</v>
      </c>
      <c r="O1092" s="1">
        <f t="shared" si="185"/>
        <v>10.223838765829584</v>
      </c>
      <c r="P1092" s="1">
        <f t="shared" si="186"/>
        <v>10.479732415606993</v>
      </c>
      <c r="Q1092" s="1">
        <f t="shared" si="187"/>
        <v>10.915169818910744</v>
      </c>
      <c r="R1092" s="1">
        <v>126.12909999999994</v>
      </c>
      <c r="S1092" s="1" t="e">
        <f t="shared" si="188"/>
        <v>#N/A</v>
      </c>
      <c r="T1092" s="1" t="e">
        <v>#N/A</v>
      </c>
    </row>
    <row r="1093" spans="1:20" x14ac:dyDescent="0.35">
      <c r="A1093" s="1">
        <v>500367.3469</v>
      </c>
      <c r="B1093" s="1">
        <v>5999999.8169999998</v>
      </c>
      <c r="C1093" s="1">
        <v>128.83036429882799</v>
      </c>
      <c r="D1093" s="1">
        <f t="shared" si="189"/>
        <v>367.98487004556307</v>
      </c>
      <c r="E1093" s="1">
        <v>0.01</v>
      </c>
      <c r="F1093" s="1">
        <v>0.05</v>
      </c>
      <c r="G1093" s="1">
        <v>0.1</v>
      </c>
      <c r="H1093" s="1">
        <v>9.81</v>
      </c>
      <c r="I1093" s="1">
        <v>2650</v>
      </c>
      <c r="J1093" s="1">
        <v>1000</v>
      </c>
      <c r="K1093" s="1">
        <v>1.65</v>
      </c>
      <c r="L1093" s="1">
        <v>6.5</v>
      </c>
      <c r="M1093" s="1">
        <v>2.5</v>
      </c>
      <c r="N1093" s="6">
        <v>9.9999999999999995E-7</v>
      </c>
      <c r="O1093" s="1">
        <f t="shared" si="185"/>
        <v>10.224509856901079</v>
      </c>
      <c r="P1093" s="1">
        <f t="shared" si="186"/>
        <v>10.91645406051112</v>
      </c>
      <c r="Q1093" s="1">
        <f t="shared" si="187"/>
        <v>10.698093238059055</v>
      </c>
      <c r="R1093" s="1">
        <v>126.12909999999994</v>
      </c>
      <c r="S1093" s="1" t="e">
        <f t="shared" si="188"/>
        <v>#N/A</v>
      </c>
      <c r="T1093" s="1" t="e">
        <v>#N/A</v>
      </c>
    </row>
    <row r="1094" spans="1:20" x14ac:dyDescent="0.35">
      <c r="A1094" s="1">
        <v>500377.55099999998</v>
      </c>
      <c r="B1094" s="1">
        <v>5999999.0449999999</v>
      </c>
      <c r="C1094" s="1">
        <v>125.029137069896</v>
      </c>
      <c r="D1094" s="1">
        <f t="shared" si="189"/>
        <v>378.21813153979235</v>
      </c>
      <c r="E1094" s="1">
        <v>0.01</v>
      </c>
      <c r="F1094" s="1">
        <v>0.05</v>
      </c>
      <c r="G1094" s="1">
        <v>0.1</v>
      </c>
      <c r="H1094" s="1">
        <v>9.81</v>
      </c>
      <c r="I1094" s="1">
        <v>2650</v>
      </c>
      <c r="J1094" s="1">
        <v>1000</v>
      </c>
      <c r="K1094" s="1">
        <v>1.65</v>
      </c>
      <c r="L1094" s="1">
        <v>6.5</v>
      </c>
      <c r="M1094" s="1">
        <v>2.5</v>
      </c>
      <c r="N1094" s="6">
        <v>9.9999999999999995E-7</v>
      </c>
      <c r="O1094" s="1">
        <f t="shared" si="185"/>
        <v>10.221049857319429</v>
      </c>
      <c r="P1094" s="1">
        <f t="shared" si="186"/>
        <v>10.237547645163266</v>
      </c>
      <c r="Q1094" s="1">
        <f t="shared" si="187"/>
        <v>10.577000852837193</v>
      </c>
      <c r="R1094" s="1">
        <v>126.12909999999994</v>
      </c>
      <c r="S1094" s="1">
        <f t="shared" si="188"/>
        <v>1.099962930103942</v>
      </c>
      <c r="T1094" s="1">
        <v>1.099962930103942</v>
      </c>
    </row>
    <row r="1095" spans="1:20" x14ac:dyDescent="0.35">
      <c r="A1095" s="1">
        <v>500387.75510000001</v>
      </c>
      <c r="B1095" s="1">
        <v>5999999.3559999997</v>
      </c>
      <c r="C1095" s="1">
        <v>125.795298917349</v>
      </c>
      <c r="D1095" s="1">
        <f t="shared" si="189"/>
        <v>388.42696976020193</v>
      </c>
      <c r="E1095" s="1">
        <v>0.01</v>
      </c>
      <c r="F1095" s="1">
        <v>0.05</v>
      </c>
      <c r="G1095" s="1">
        <v>0.1</v>
      </c>
      <c r="H1095" s="1">
        <v>9.81</v>
      </c>
      <c r="I1095" s="1">
        <v>2650</v>
      </c>
      <c r="J1095" s="1">
        <v>1000</v>
      </c>
      <c r="K1095" s="1">
        <v>1.65</v>
      </c>
      <c r="L1095" s="1">
        <v>6.5</v>
      </c>
      <c r="M1095" s="1">
        <v>2.5</v>
      </c>
      <c r="N1095" s="6">
        <v>9.9999999999999995E-7</v>
      </c>
      <c r="O1095" s="1">
        <f t="shared" si="185"/>
        <v>10.226672955179509</v>
      </c>
      <c r="P1095" s="1">
        <f t="shared" si="186"/>
        <v>14.006911426674414</v>
      </c>
      <c r="Q1095" s="1">
        <f t="shared" si="187"/>
        <v>12.122229535918841</v>
      </c>
      <c r="R1095" s="1">
        <v>126.12909999999994</v>
      </c>
      <c r="S1095" s="1">
        <f t="shared" si="188"/>
        <v>0.33380108265093611</v>
      </c>
      <c r="T1095" s="1">
        <v>0.33380108265093611</v>
      </c>
    </row>
    <row r="1096" spans="1:20" x14ac:dyDescent="0.35">
      <c r="A1096" s="1">
        <v>500397.95919999998</v>
      </c>
      <c r="B1096" s="1">
        <v>5999998.4469999997</v>
      </c>
      <c r="C1096" s="1">
        <v>135.347452072804</v>
      </c>
      <c r="D1096" s="1">
        <f t="shared" si="189"/>
        <v>398.67147745015137</v>
      </c>
      <c r="E1096" s="1">
        <v>0.01</v>
      </c>
      <c r="F1096" s="1">
        <v>0.05</v>
      </c>
      <c r="G1096" s="1">
        <v>0.1</v>
      </c>
      <c r="H1096" s="1">
        <v>9.81</v>
      </c>
      <c r="I1096" s="1">
        <v>2650</v>
      </c>
      <c r="J1096" s="1">
        <v>1000</v>
      </c>
      <c r="K1096" s="1">
        <v>1.65</v>
      </c>
      <c r="L1096" s="1">
        <v>6.5</v>
      </c>
      <c r="M1096" s="1">
        <v>2.5</v>
      </c>
      <c r="N1096" s="6">
        <v>9.9999999999999995E-7</v>
      </c>
      <c r="O1096" s="1">
        <f t="shared" si="185"/>
        <v>10.22650836474881</v>
      </c>
      <c r="P1096" s="1">
        <f t="shared" si="186"/>
        <v>12.538849639326756</v>
      </c>
      <c r="Q1096" s="1">
        <f t="shared" si="187"/>
        <v>13.272880533000585</v>
      </c>
      <c r="R1096" s="1">
        <v>126.12909999999994</v>
      </c>
      <c r="S1096" s="1" t="e">
        <f t="shared" si="188"/>
        <v>#N/A</v>
      </c>
      <c r="T1096" s="1" t="e">
        <v>#N/A</v>
      </c>
    </row>
    <row r="1097" spans="1:20" x14ac:dyDescent="0.35">
      <c r="A1097" s="1">
        <v>500408.16330000001</v>
      </c>
      <c r="B1097" s="1">
        <v>5999998.1469999999</v>
      </c>
      <c r="C1097" s="1">
        <v>128.06671766842501</v>
      </c>
      <c r="D1097" s="1">
        <f t="shared" si="189"/>
        <v>408.87998648969955</v>
      </c>
      <c r="E1097" s="1">
        <v>0.01</v>
      </c>
      <c r="F1097" s="1">
        <v>0.05</v>
      </c>
      <c r="G1097" s="1">
        <v>0.1</v>
      </c>
      <c r="H1097" s="1">
        <v>9.81</v>
      </c>
      <c r="I1097" s="1">
        <v>2650</v>
      </c>
      <c r="J1097" s="1">
        <v>1000</v>
      </c>
      <c r="K1097" s="1">
        <v>1.65</v>
      </c>
      <c r="L1097" s="1">
        <v>6.5</v>
      </c>
      <c r="M1097" s="1">
        <v>2.5</v>
      </c>
      <c r="N1097" s="6">
        <v>9.9999999999999995E-7</v>
      </c>
      <c r="O1097" s="1">
        <f t="shared" si="185"/>
        <v>10.217670819070179</v>
      </c>
      <c r="P1097" s="1">
        <f t="shared" si="186"/>
        <v>11.126667604014996</v>
      </c>
      <c r="Q1097" s="1">
        <f t="shared" si="187"/>
        <v>11.832758621670877</v>
      </c>
      <c r="R1097" s="1">
        <v>126.12909999999994</v>
      </c>
      <c r="S1097" s="1" t="e">
        <f t="shared" si="188"/>
        <v>#N/A</v>
      </c>
      <c r="T1097" s="1" t="e">
        <v>#N/A</v>
      </c>
    </row>
    <row r="1098" spans="1:20" x14ac:dyDescent="0.35">
      <c r="A1098" s="1">
        <v>500418.36729999998</v>
      </c>
      <c r="B1098" s="1">
        <v>5999997.4639999997</v>
      </c>
      <c r="C1098" s="1">
        <v>132.450166877736</v>
      </c>
      <c r="D1098" s="1">
        <f t="shared" si="189"/>
        <v>419.10681908829173</v>
      </c>
      <c r="E1098" s="1">
        <v>0.01</v>
      </c>
      <c r="F1098" s="1">
        <v>0.05</v>
      </c>
      <c r="G1098" s="1">
        <v>0.1</v>
      </c>
      <c r="H1098" s="1">
        <v>9.81</v>
      </c>
      <c r="I1098" s="1">
        <v>2650</v>
      </c>
      <c r="J1098" s="1">
        <v>1000</v>
      </c>
      <c r="K1098" s="1">
        <v>1.65</v>
      </c>
      <c r="L1098" s="1">
        <v>6.5</v>
      </c>
      <c r="M1098" s="1">
        <v>2.5</v>
      </c>
      <c r="N1098" s="6">
        <v>9.9999999999999995E-7</v>
      </c>
      <c r="O1098" s="1">
        <f t="shared" si="185"/>
        <v>10.219153288461655</v>
      </c>
      <c r="P1098" s="1">
        <f t="shared" si="186"/>
        <v>12.259823035582844</v>
      </c>
      <c r="Q1098" s="1">
        <f t="shared" si="187"/>
        <v>11.693245319798919</v>
      </c>
      <c r="R1098" s="1">
        <v>126.12909999999994</v>
      </c>
      <c r="S1098" s="1" t="e">
        <f t="shared" si="188"/>
        <v>#N/A</v>
      </c>
      <c r="T1098" s="1" t="e">
        <v>#N/A</v>
      </c>
    </row>
    <row r="1099" spans="1:20" x14ac:dyDescent="0.35">
      <c r="A1099" s="1">
        <v>500428.57140000002</v>
      </c>
      <c r="B1099" s="1">
        <v>5999997.0760000004</v>
      </c>
      <c r="C1099" s="1">
        <v>139.234638858198</v>
      </c>
      <c r="D1099" s="1">
        <f t="shared" si="189"/>
        <v>429.31829306662286</v>
      </c>
      <c r="E1099" s="1">
        <v>0.01</v>
      </c>
      <c r="F1099" s="1">
        <v>0.05</v>
      </c>
      <c r="G1099" s="1">
        <v>0.1</v>
      </c>
      <c r="H1099" s="1">
        <v>9.81</v>
      </c>
      <c r="I1099" s="1">
        <v>2650</v>
      </c>
      <c r="J1099" s="1">
        <v>1000</v>
      </c>
      <c r="K1099" s="1">
        <v>1.65</v>
      </c>
      <c r="L1099" s="1">
        <v>6.5</v>
      </c>
      <c r="M1099" s="1">
        <v>2.5</v>
      </c>
      <c r="N1099" s="6">
        <v>9.9999999999999995E-7</v>
      </c>
      <c r="O1099" s="1">
        <f t="shared" si="185"/>
        <v>10.213570502749036</v>
      </c>
      <c r="P1099" s="1">
        <f t="shared" si="186"/>
        <v>10.221862151517284</v>
      </c>
      <c r="Q1099" s="1">
        <f t="shared" si="187"/>
        <v>11.240842593550063</v>
      </c>
      <c r="R1099" s="1">
        <v>126.12909999999994</v>
      </c>
      <c r="S1099" s="1" t="e">
        <f t="shared" si="188"/>
        <v>#N/A</v>
      </c>
      <c r="T1099" s="1" t="e">
        <v>#N/A</v>
      </c>
    </row>
    <row r="1100" spans="1:20" x14ac:dyDescent="0.35">
      <c r="A1100" s="1">
        <v>500438.77549999999</v>
      </c>
      <c r="B1100" s="1">
        <v>5999996.5899999999</v>
      </c>
      <c r="C1100" s="1">
        <v>139.590466112179</v>
      </c>
      <c r="D1100" s="1">
        <f t="shared" si="189"/>
        <v>439.5339600937898</v>
      </c>
      <c r="E1100" s="1">
        <v>0.01</v>
      </c>
      <c r="F1100" s="1">
        <v>0.05</v>
      </c>
      <c r="G1100" s="1">
        <v>0.1</v>
      </c>
      <c r="H1100" s="1">
        <v>9.81</v>
      </c>
      <c r="I1100" s="1">
        <v>2650</v>
      </c>
      <c r="J1100" s="1">
        <v>1000</v>
      </c>
      <c r="K1100" s="1">
        <v>1.65</v>
      </c>
      <c r="L1100" s="1">
        <v>6.5</v>
      </c>
      <c r="M1100" s="1">
        <v>2.5</v>
      </c>
      <c r="N1100" s="6">
        <v>9.9999999999999995E-7</v>
      </c>
      <c r="O1100" s="1">
        <f t="shared" si="185"/>
        <v>10.227678867958247</v>
      </c>
      <c r="P1100" s="1">
        <f t="shared" si="186"/>
        <v>10.247073843648518</v>
      </c>
      <c r="Q1100" s="1">
        <f t="shared" si="187"/>
        <v>10.2344679975829</v>
      </c>
      <c r="R1100" s="1">
        <v>126.12909999999994</v>
      </c>
      <c r="S1100" s="1" t="e">
        <f t="shared" si="188"/>
        <v>#N/A</v>
      </c>
      <c r="T1100" s="1" t="e">
        <v>#N/A</v>
      </c>
    </row>
    <row r="1101" spans="1:20" x14ac:dyDescent="0.35">
      <c r="A1101" s="1">
        <v>500448.97960000002</v>
      </c>
      <c r="B1101" s="1">
        <v>5999995.7369999997</v>
      </c>
      <c r="C1101" s="1">
        <v>139.20154896633201</v>
      </c>
      <c r="D1101" s="1">
        <f t="shared" si="189"/>
        <v>449.77365080253935</v>
      </c>
      <c r="E1101" s="1">
        <v>0.01</v>
      </c>
      <c r="F1101" s="1">
        <v>0.05</v>
      </c>
      <c r="G1101" s="1">
        <v>0.1</v>
      </c>
      <c r="H1101" s="1">
        <v>9.81</v>
      </c>
      <c r="I1101" s="1">
        <v>2650</v>
      </c>
      <c r="J1101" s="1">
        <v>1000</v>
      </c>
      <c r="K1101" s="1">
        <v>1.65</v>
      </c>
      <c r="L1101" s="1">
        <v>6.5</v>
      </c>
      <c r="M1101" s="1">
        <v>2.5</v>
      </c>
      <c r="N1101" s="6">
        <v>9.9999999999999995E-7</v>
      </c>
      <c r="O1101" s="1">
        <f t="shared" si="185"/>
        <v>10.226507982984828</v>
      </c>
      <c r="P1101" s="1">
        <f t="shared" si="186"/>
        <v>10.216402783069102</v>
      </c>
      <c r="Q1101" s="1">
        <f t="shared" si="187"/>
        <v>10.231738313358811</v>
      </c>
      <c r="R1101" s="1">
        <v>126.12909999999994</v>
      </c>
      <c r="S1101" s="1" t="e">
        <f t="shared" si="188"/>
        <v>#N/A</v>
      </c>
      <c r="T1101" s="1" t="e">
        <v>#N/A</v>
      </c>
    </row>
    <row r="1102" spans="1:20" x14ac:dyDescent="0.35">
      <c r="A1102" s="1">
        <v>500459.18369999999</v>
      </c>
      <c r="B1102" s="1">
        <v>5999996.1710000001</v>
      </c>
      <c r="C1102" s="1">
        <v>138.95080404388699</v>
      </c>
      <c r="D1102" s="1">
        <f t="shared" si="189"/>
        <v>459.98697605975946</v>
      </c>
      <c r="E1102" s="1">
        <v>0.01</v>
      </c>
      <c r="F1102" s="1">
        <v>0.05</v>
      </c>
      <c r="G1102" s="1">
        <v>0.1</v>
      </c>
      <c r="H1102" s="1">
        <v>9.81</v>
      </c>
      <c r="I1102" s="1">
        <v>2650</v>
      </c>
      <c r="J1102" s="1">
        <v>1000</v>
      </c>
      <c r="K1102" s="1">
        <v>1.65</v>
      </c>
      <c r="L1102" s="1">
        <v>6.5</v>
      </c>
      <c r="M1102" s="1">
        <v>2.5</v>
      </c>
      <c r="N1102" s="6">
        <v>9.9999999999999995E-7</v>
      </c>
      <c r="O1102" s="1">
        <f t="shared" si="185"/>
        <v>10.228563101333435</v>
      </c>
      <c r="P1102" s="1">
        <f t="shared" si="186"/>
        <v>10.24381622597874</v>
      </c>
      <c r="Q1102" s="1">
        <f t="shared" si="187"/>
        <v>10.23010950452392</v>
      </c>
      <c r="R1102" s="1">
        <v>126.12909999999994</v>
      </c>
      <c r="S1102" s="1" t="e">
        <f t="shared" si="188"/>
        <v>#N/A</v>
      </c>
      <c r="T1102" s="1" t="e">
        <v>#N/A</v>
      </c>
    </row>
    <row r="1103" spans="1:20" x14ac:dyDescent="0.35">
      <c r="A1103" s="1">
        <v>500469.38780000003</v>
      </c>
      <c r="B1103" s="1">
        <v>5999997.0719999997</v>
      </c>
      <c r="C1103" s="1">
        <v>138.933110494517</v>
      </c>
      <c r="D1103" s="1">
        <f t="shared" si="189"/>
        <v>470.23077700520622</v>
      </c>
      <c r="E1103" s="1">
        <v>0.01</v>
      </c>
      <c r="F1103" s="1">
        <v>0.05</v>
      </c>
      <c r="G1103" s="1">
        <v>0.1</v>
      </c>
      <c r="H1103" s="1">
        <v>9.81</v>
      </c>
      <c r="I1103" s="1">
        <v>2650</v>
      </c>
      <c r="J1103" s="1">
        <v>1000</v>
      </c>
      <c r="K1103" s="1">
        <v>1.65</v>
      </c>
      <c r="L1103" s="1">
        <v>6.5</v>
      </c>
      <c r="M1103" s="1">
        <v>2.5</v>
      </c>
      <c r="N1103" s="6">
        <v>9.9999999999999995E-7</v>
      </c>
      <c r="O1103" s="1">
        <f t="shared" si="185"/>
        <v>10.235585469869676</v>
      </c>
      <c r="P1103" s="1">
        <f t="shared" si="186"/>
        <v>14.038699271405504</v>
      </c>
      <c r="Q1103" s="1">
        <f t="shared" si="187"/>
        <v>12.141257748692123</v>
      </c>
      <c r="R1103" s="1">
        <v>126.12909999999994</v>
      </c>
      <c r="S1103" s="1" t="e">
        <f t="shared" si="188"/>
        <v>#N/A</v>
      </c>
      <c r="T1103" s="1" t="e">
        <v>#N/A</v>
      </c>
    </row>
    <row r="1104" spans="1:20" x14ac:dyDescent="0.35">
      <c r="A1104" s="1">
        <v>500479.59179999999</v>
      </c>
      <c r="B1104" s="1">
        <v>5999997.7630000003</v>
      </c>
      <c r="C1104" s="1">
        <v>148.55007364474301</v>
      </c>
      <c r="D1104" s="1">
        <f t="shared" si="189"/>
        <v>480.45814699949881</v>
      </c>
      <c r="E1104" s="1">
        <v>0.01</v>
      </c>
      <c r="F1104" s="1">
        <v>0.05</v>
      </c>
      <c r="G1104" s="1">
        <v>0.1</v>
      </c>
      <c r="H1104" s="1">
        <v>9.81</v>
      </c>
      <c r="I1104" s="1">
        <v>2650</v>
      </c>
      <c r="J1104" s="1">
        <v>1000</v>
      </c>
      <c r="K1104" s="1">
        <v>1.65</v>
      </c>
      <c r="L1104" s="1">
        <v>6.5</v>
      </c>
      <c r="M1104" s="1">
        <v>2.5</v>
      </c>
      <c r="N1104" s="6">
        <v>9.9999999999999995E-7</v>
      </c>
      <c r="O1104" s="1">
        <f t="shared" si="185"/>
        <v>10.217030880251457</v>
      </c>
      <c r="P1104" s="1">
        <f t="shared" si="186"/>
        <v>10.496604105828091</v>
      </c>
      <c r="Q1104" s="1">
        <f t="shared" si="187"/>
        <v>12.267651688616798</v>
      </c>
      <c r="R1104" s="1">
        <v>126.12909999999994</v>
      </c>
      <c r="S1104" s="1" t="e">
        <f t="shared" si="188"/>
        <v>#N/A</v>
      </c>
      <c r="T1104" s="1" t="e">
        <v>#N/A</v>
      </c>
    </row>
    <row r="1105" spans="1:57" x14ac:dyDescent="0.35">
      <c r="A1105" s="1">
        <v>500489.79590000003</v>
      </c>
      <c r="B1105" s="1">
        <v>5999997.9929999998</v>
      </c>
      <c r="C1105" s="1">
        <v>146.10014692256101</v>
      </c>
      <c r="D1105" s="1">
        <f t="shared" si="189"/>
        <v>490.66483876570913</v>
      </c>
      <c r="E1105" s="1">
        <v>0.01</v>
      </c>
      <c r="F1105" s="1">
        <v>0.05</v>
      </c>
      <c r="G1105" s="1">
        <v>0.1</v>
      </c>
      <c r="H1105" s="1">
        <v>9.81</v>
      </c>
      <c r="I1105" s="1">
        <v>2650</v>
      </c>
      <c r="J1105" s="1">
        <v>1000</v>
      </c>
      <c r="K1105" s="1">
        <v>1.65</v>
      </c>
      <c r="L1105" s="1">
        <v>6.5</v>
      </c>
      <c r="M1105" s="1">
        <v>2.5</v>
      </c>
      <c r="N1105" s="6">
        <v>9.9999999999999995E-7</v>
      </c>
      <c r="O1105" s="1">
        <f t="shared" si="185"/>
        <v>10.209902888805345</v>
      </c>
      <c r="P1105" s="1">
        <f t="shared" si="186"/>
        <v>10.652346301971106</v>
      </c>
      <c r="Q1105" s="1">
        <f t="shared" si="187"/>
        <v>10.574475203899599</v>
      </c>
      <c r="R1105" s="1">
        <v>126.12909999999994</v>
      </c>
      <c r="S1105" s="1" t="e">
        <f t="shared" si="188"/>
        <v>#N/A</v>
      </c>
      <c r="T1105" s="1" t="e">
        <v>#N/A</v>
      </c>
    </row>
    <row r="1106" spans="1:57" x14ac:dyDescent="0.35">
      <c r="A1106" s="1">
        <v>500500</v>
      </c>
      <c r="B1106" s="1">
        <v>5999998.4220000003</v>
      </c>
      <c r="C1106" s="1">
        <v>149.127486336511</v>
      </c>
      <c r="D1106" s="1">
        <f t="shared" si="189"/>
        <v>500.8779527771095</v>
      </c>
      <c r="E1106" s="1">
        <v>0.01</v>
      </c>
      <c r="F1106" s="1">
        <v>0.05</v>
      </c>
      <c r="G1106" s="1">
        <v>0.1</v>
      </c>
      <c r="H1106" s="1">
        <v>9.81</v>
      </c>
      <c r="I1106" s="1">
        <v>2650</v>
      </c>
      <c r="J1106" s="1">
        <v>1000</v>
      </c>
      <c r="K1106" s="1">
        <v>1.65</v>
      </c>
      <c r="L1106" s="1">
        <v>6.5</v>
      </c>
      <c r="M1106" s="1">
        <v>2.5</v>
      </c>
      <c r="N1106" s="6">
        <v>9.9999999999999995E-7</v>
      </c>
      <c r="O1106" s="1">
        <f xml:space="preserve"> (D1106 - D1105) / 2</f>
        <v>5.1065570057001821</v>
      </c>
    </row>
    <row r="1110" spans="1:57" x14ac:dyDescent="0.35">
      <c r="A1110" s="1" t="s">
        <v>0</v>
      </c>
      <c r="B1110" s="1" t="s">
        <v>1</v>
      </c>
      <c r="C1110" s="1" t="s">
        <v>2</v>
      </c>
      <c r="D1110" s="1" t="s">
        <v>18</v>
      </c>
      <c r="E1110" s="1" t="s">
        <v>67</v>
      </c>
      <c r="F1110" s="1" t="s">
        <v>66</v>
      </c>
      <c r="G1110" s="1" t="s">
        <v>65</v>
      </c>
      <c r="H1110" s="1" t="s">
        <v>64</v>
      </c>
      <c r="I1110" s="1" t="s">
        <v>63</v>
      </c>
      <c r="J1110" s="1" t="s">
        <v>62</v>
      </c>
      <c r="K1110" s="1" t="s">
        <v>61</v>
      </c>
      <c r="L1110" s="1" t="s">
        <v>60</v>
      </c>
      <c r="M1110" s="1" t="s">
        <v>59</v>
      </c>
      <c r="N1110" s="1" t="s">
        <v>58</v>
      </c>
      <c r="O1110" s="1" t="s">
        <v>57</v>
      </c>
      <c r="P1110" s="1" t="s">
        <v>56</v>
      </c>
      <c r="Q1110" s="1" t="s">
        <v>55</v>
      </c>
      <c r="R1110" s="1" t="s">
        <v>54</v>
      </c>
      <c r="S1110" s="1" t="s">
        <v>16</v>
      </c>
      <c r="T1110" s="1" t="s">
        <v>53</v>
      </c>
      <c r="U1110" s="10" t="s">
        <v>52</v>
      </c>
      <c r="V1110" s="10" t="s">
        <v>51</v>
      </c>
      <c r="W1110" s="10" t="s">
        <v>50</v>
      </c>
      <c r="X1110" s="10" t="s">
        <v>49</v>
      </c>
      <c r="Y1110" s="1" t="s">
        <v>48</v>
      </c>
      <c r="Z1110" s="1" t="s">
        <v>47</v>
      </c>
      <c r="AA1110" s="1" t="s">
        <v>46</v>
      </c>
      <c r="AB1110" s="1" t="s">
        <v>45</v>
      </c>
      <c r="AC1110" s="1" t="s">
        <v>44</v>
      </c>
      <c r="AD1110" s="1" t="s">
        <v>43</v>
      </c>
      <c r="AE1110" s="1" t="s">
        <v>42</v>
      </c>
      <c r="AF1110" s="1" t="s">
        <v>41</v>
      </c>
      <c r="AG1110" s="1" t="s">
        <v>40</v>
      </c>
      <c r="AH1110" s="1" t="s">
        <v>39</v>
      </c>
      <c r="AI1110" s="1" t="s">
        <v>38</v>
      </c>
      <c r="AJ1110" s="1" t="s">
        <v>37</v>
      </c>
      <c r="AK1110" s="1" t="s">
        <v>36</v>
      </c>
      <c r="AL1110" s="1" t="s">
        <v>35</v>
      </c>
      <c r="AM1110" s="1" t="s">
        <v>34</v>
      </c>
      <c r="AN1110" s="1" t="s">
        <v>34</v>
      </c>
      <c r="AO1110" s="7" t="s">
        <v>33</v>
      </c>
      <c r="AP1110" s="7" t="s">
        <v>32</v>
      </c>
      <c r="AQ1110" s="7" t="s">
        <v>31</v>
      </c>
      <c r="AR1110" s="7" t="s">
        <v>30</v>
      </c>
      <c r="AS1110" s="7" t="s">
        <v>29</v>
      </c>
      <c r="AT1110" s="7" t="s">
        <v>28</v>
      </c>
      <c r="AU1110" s="7" t="s">
        <v>27</v>
      </c>
      <c r="AV1110" s="7" t="s">
        <v>27</v>
      </c>
      <c r="AW1110" s="1" t="s">
        <v>26</v>
      </c>
      <c r="AX1110" s="1" t="s">
        <v>25</v>
      </c>
      <c r="AY1110" s="1" t="s">
        <v>24</v>
      </c>
      <c r="AZ1110" s="1" t="s">
        <v>23</v>
      </c>
      <c r="BA1110" s="1" t="s">
        <v>22</v>
      </c>
      <c r="BB1110" s="1" t="s">
        <v>21</v>
      </c>
      <c r="BC1110" s="1" t="s">
        <v>20</v>
      </c>
      <c r="BD1110" s="1" t="s">
        <v>20</v>
      </c>
      <c r="BE1110" s="1" t="s">
        <v>19</v>
      </c>
    </row>
    <row r="1111" spans="1:57" x14ac:dyDescent="0.35">
      <c r="A1111" s="1">
        <v>500000</v>
      </c>
      <c r="B1111" s="1">
        <v>5999999.0959999999</v>
      </c>
      <c r="C1111" s="1">
        <v>146.95665459614199</v>
      </c>
      <c r="D1111" s="1">
        <v>0</v>
      </c>
      <c r="E1111" s="1">
        <v>0.01</v>
      </c>
      <c r="F1111" s="1">
        <v>0.05</v>
      </c>
      <c r="G1111" s="1">
        <v>0.1</v>
      </c>
      <c r="H1111" s="1">
        <v>9.81</v>
      </c>
      <c r="I1111" s="1">
        <v>2650</v>
      </c>
      <c r="J1111" s="1">
        <v>1000</v>
      </c>
      <c r="K1111" s="1">
        <v>1.65</v>
      </c>
      <c r="L1111" s="1">
        <v>6.5</v>
      </c>
      <c r="M1111" s="1">
        <v>2.5</v>
      </c>
      <c r="N1111" s="6">
        <v>9.9999999999999995E-7</v>
      </c>
      <c r="O1111" s="1">
        <f xml:space="preserve"> (D1112 - D1111) / 2</f>
        <v>5.1061868798967165</v>
      </c>
      <c r="P1111" s="1">
        <f t="shared" ref="P1111:P1142" si="190">SQRT((D1112 - D1111)^2 + (C1112 - C1111)^2)</f>
        <v>12.612081347143071</v>
      </c>
      <c r="Q1111" s="1">
        <f t="shared" ref="Q1111:Q1142" si="191">IF(ROW()=1111, P1111/2, (P1111 + P1110)/2)</f>
        <v>6.3060406735715357</v>
      </c>
      <c r="R1111" s="1">
        <v>126.17909999999993</v>
      </c>
      <c r="S1111" s="1" t="e">
        <f t="shared" ref="S1111:S1142" si="192">IF(R1111 - C1111 &lt; 0, NA(), R1111 - C1111)</f>
        <v>#N/A</v>
      </c>
      <c r="T1111" s="1" t="e">
        <v>#N/A</v>
      </c>
      <c r="U1111" s="10" cm="1">
        <f t="array" ref="U1111">SUMPRODUCT(IF(ISNA(T1111:T1160), 0, T1111:T1160), IF(ISNA(O1111:O1160), 0, O1111:O1160))</f>
        <v>15.678836594776413</v>
      </c>
      <c r="V1111" s="10">
        <f>SUMIF(S1111:S1160, "&gt;0", O1111:O1160)</f>
        <v>20.447722812498938</v>
      </c>
      <c r="W1111" s="10">
        <f>SUMIF(S1111:S1160, "&gt;0", Q1111:Q1160)</f>
        <v>22.699230388756035</v>
      </c>
      <c r="X1111" s="10">
        <f>U1111/W1111</f>
        <v>0.69072106526320187</v>
      </c>
      <c r="Y1111" s="1">
        <f xml:space="preserve"> (6.5 * 2.5 * (X1111 / G1111)) / SQRT(6.5^2 + 2.5^2 * (X1111 / G1111)^(5/3))</f>
        <v>7.9601704889950442</v>
      </c>
      <c r="Z1111" s="1">
        <f>Y1111*SQRT(X1111*H1111*E1111)</f>
        <v>2.072088133932021</v>
      </c>
      <c r="AA1111" s="1">
        <f>J1111*H1111*X1111*E1111</f>
        <v>67.759736502320109</v>
      </c>
      <c r="AB1111" s="1">
        <f>(AA1111 / (9.81 * 1000 *1.65 * F1111))</f>
        <v>8.372376548644872E-2</v>
      </c>
      <c r="AC1111" s="9">
        <f xml:space="preserve"> F1111 * (K1111 * H1111 / (N1111)^2)^(1/3)</f>
        <v>1264.7974700106745</v>
      </c>
      <c r="AD1111" s="1">
        <f xml:space="preserve"> 0.3 / (1 + 1.2 * AC1111) + 0.055 * (1 - EXP(-0.02 * AC1111))</f>
        <v>5.5197529957883754E-2</v>
      </c>
      <c r="AE1111" s="1">
        <f>IF(AC1111 &lt;= 4, 0.24 * AC1111^-1, IF(AC1111 &gt; 4, IF(AC1111 &lt;= 10, 0.14 * AC1111^-0.64, IF(AC1111 &lt;= 20, 0.04 * AC1111^-0.1, IF(AC1111 &lt;= 150, 0.013 * AC1111^0.29, 0.056)))))</f>
        <v>5.6000000000000001E-2</v>
      </c>
      <c r="AF1111" s="1">
        <f>AB1111/AD1111-1</f>
        <v>0.51680275458577141</v>
      </c>
      <c r="AG1111" s="1">
        <f xml:space="preserve"> 2.45 * SQRT(AD1111) / (K1111 + 1)^0.4</f>
        <v>0.38978718496890047</v>
      </c>
      <c r="AH1111" s="1">
        <f>SQRT(2/3 + 36 / AC1111^3) - SQRT(36 / AC1111^3)</f>
        <v>0.81636320289979147</v>
      </c>
      <c r="AI1111" s="1">
        <f>AA1111* Z1111 / (J1111 * (H1111* K1111 * F1111)^(3/2))</f>
        <v>0.19283927865991599</v>
      </c>
      <c r="AJ1111" s="1">
        <f>AD1111* K1111 * F1111 / E1111</f>
        <v>0.45537962215254096</v>
      </c>
      <c r="AK1111" s="1">
        <f>Y1111 * AD1111^(3/2)</f>
        <v>0.1032290273288817</v>
      </c>
      <c r="AL1111" s="1">
        <f>(0.92 - 0.25 * SQRT(AK1111 / AI1111))^9</f>
        <v>6.4220233683162681E-2</v>
      </c>
      <c r="AM1111" s="1">
        <v>5.2759527000000001E-2</v>
      </c>
      <c r="AN1111" s="1">
        <v>4.7434165E-2</v>
      </c>
      <c r="AO1111" s="7">
        <f>IF(AB1111 &gt; 0.047, 8 * (AB1111 - 0.047)^(3/2), 0)</f>
        <v>5.6300311152731292E-2</v>
      </c>
      <c r="AP1111" s="7">
        <f>IF(AB1111&gt; 0.047, 4 * (AB1111 - 0.047)^(3/2), 0)</f>
        <v>2.8150155576365646E-2</v>
      </c>
      <c r="AQ1111" s="7">
        <f xml:space="preserve"> (0.053 / AC1111^(0.3)) * ((AB1111 / AE1111) - 1)^2.1</f>
        <v>1.4205756661517857E-3</v>
      </c>
      <c r="AR1111" s="7">
        <f xml:space="preserve"> IF(AB1111 &gt; AD1111, 0.635 * AF1111 * SQRT(AB1111) * (1 - (1 / (AG1111*AF1111)) * LOG(1 + AF1111*AG1111)), 0)</f>
        <v>5.7385667520314959E-2</v>
      </c>
      <c r="AS1111" s="8">
        <f>IF(AB1111&gt;= 0.19, 40 * AH1111 * AB1111^3, (AH1111 * EXP(-0.391 / AB1111)) / 0.465)</f>
        <v>1.6452173715375513E-2</v>
      </c>
      <c r="AT1111" s="7">
        <f>AL1111* AI1111</f>
        <v>1.2384183538832331E-2</v>
      </c>
      <c r="AU1111" s="7">
        <f>14 * AB1111^2.5 / (1 + (AM1111/AB1111)^4)</f>
        <v>2.4527711791729769E-2</v>
      </c>
      <c r="AV1111" s="7">
        <f>14*AB1111^2.5/(1+(AN1111/AB1111)^4)</f>
        <v>2.5743168619377976E-2</v>
      </c>
      <c r="AW1111" s="1">
        <f>AO1111*SQRT(1.65*9.81*F1111^3)</f>
        <v>2.5324581510240219E-3</v>
      </c>
      <c r="AX1111" s="1">
        <f>AP1111*SQRT(1.65*9.81*F1111^3)</f>
        <v>1.2662290755120109E-3</v>
      </c>
      <c r="AY1111" s="1">
        <f>AQ1111*SQRT(1.65*9.81*F1111^3)</f>
        <v>6.3899263631652972E-5</v>
      </c>
      <c r="AZ1111" s="1">
        <f>AR1111*SQRT(1.65*9.81*F1111^3)</f>
        <v>2.5812788328919535E-3</v>
      </c>
      <c r="BA1111" s="1">
        <f>AS1111*SQRT(1.65*9.81*F1111^3)</f>
        <v>7.4003927464163968E-4</v>
      </c>
      <c r="BB1111" s="1">
        <f>AT1111*SQRT(1.65*9.81*F1111^3)</f>
        <v>5.5705600741021784E-4</v>
      </c>
      <c r="BC1111" s="1">
        <f>AU1111*SQRT(1.65*9.81*G1111^3)</f>
        <v>3.1205669908272631E-3</v>
      </c>
      <c r="BD1111" s="1">
        <f>AV1111*SQRT(1.65*9.81*G1111^3)</f>
        <v>3.2752049157727735E-3</v>
      </c>
      <c r="BE1111" s="1">
        <f>U1111*Z1111</f>
        <v>32.487931261895341</v>
      </c>
    </row>
    <row r="1112" spans="1:57" x14ac:dyDescent="0.35">
      <c r="A1112" s="1">
        <v>500010.20409999997</v>
      </c>
      <c r="B1112" s="1">
        <v>5999998.6849999996</v>
      </c>
      <c r="C1112" s="1">
        <v>154.35746658519</v>
      </c>
      <c r="D1112" s="1">
        <f t="shared" ref="D1112:D1143" si="193">D1111 + SQRT((A1112 - A1111)^2 + (B1112 - B1111)^2)</f>
        <v>10.212373759793433</v>
      </c>
      <c r="E1112" s="1">
        <v>0.01</v>
      </c>
      <c r="F1112" s="1">
        <v>0.05</v>
      </c>
      <c r="G1112" s="1">
        <v>0.1</v>
      </c>
      <c r="H1112" s="1">
        <v>9.81</v>
      </c>
      <c r="I1112" s="1">
        <v>2650</v>
      </c>
      <c r="J1112" s="1">
        <v>1000</v>
      </c>
      <c r="K1112" s="1">
        <v>1.65</v>
      </c>
      <c r="L1112" s="1">
        <v>6.5</v>
      </c>
      <c r="M1112" s="1">
        <v>2.5</v>
      </c>
      <c r="N1112" s="6">
        <v>9.9999999999999995E-7</v>
      </c>
      <c r="O1112" s="1">
        <f t="shared" ref="O1112:O1159" si="194" xml:space="preserve"> (D1113 - D1112 + D1112 - D1111) / 2</f>
        <v>10.212934886473896</v>
      </c>
      <c r="P1112" s="1">
        <f t="shared" si="190"/>
        <v>10.748393624242958</v>
      </c>
      <c r="Q1112" s="1">
        <f t="shared" si="191"/>
        <v>11.680237485693015</v>
      </c>
      <c r="R1112" s="1">
        <v>126.17909999999993</v>
      </c>
      <c r="S1112" s="1" t="e">
        <f t="shared" si="192"/>
        <v>#N/A</v>
      </c>
      <c r="T1112" s="1" t="e">
        <v>#N/A</v>
      </c>
      <c r="AO1112" s="7"/>
      <c r="AP1112" s="7"/>
      <c r="AQ1112" s="7"/>
      <c r="AR1112" s="7"/>
      <c r="AS1112" s="7"/>
      <c r="AT1112" s="7"/>
      <c r="AU1112" s="7"/>
      <c r="AV1112" s="7"/>
    </row>
    <row r="1113" spans="1:57" x14ac:dyDescent="0.35">
      <c r="A1113" s="1">
        <v>500020.40820000001</v>
      </c>
      <c r="B1113" s="1">
        <v>5999999.1229999997</v>
      </c>
      <c r="C1113" s="1">
        <v>151.008964727501</v>
      </c>
      <c r="D1113" s="1">
        <f t="shared" si="193"/>
        <v>20.425869772947792</v>
      </c>
      <c r="E1113" s="1">
        <v>0.01</v>
      </c>
      <c r="F1113" s="1">
        <v>0.05</v>
      </c>
      <c r="G1113" s="1">
        <v>0.1</v>
      </c>
      <c r="H1113" s="1">
        <v>9.81</v>
      </c>
      <c r="I1113" s="1">
        <v>2650</v>
      </c>
      <c r="J1113" s="1">
        <v>1000</v>
      </c>
      <c r="K1113" s="1">
        <v>1.65</v>
      </c>
      <c r="L1113" s="1">
        <v>6.5</v>
      </c>
      <c r="M1113" s="1">
        <v>2.5</v>
      </c>
      <c r="N1113" s="6">
        <v>9.9999999999999995E-7</v>
      </c>
      <c r="O1113" s="1">
        <f t="shared" si="194"/>
        <v>10.21125621009096</v>
      </c>
      <c r="P1113" s="1">
        <f t="shared" si="190"/>
        <v>13.985433799960637</v>
      </c>
      <c r="Q1113" s="1">
        <f t="shared" si="191"/>
        <v>12.366913712101798</v>
      </c>
      <c r="R1113" s="1">
        <v>126.17909999999993</v>
      </c>
      <c r="S1113" s="1" t="e">
        <f t="shared" si="192"/>
        <v>#N/A</v>
      </c>
      <c r="T1113" s="1" t="e">
        <v>#N/A</v>
      </c>
    </row>
    <row r="1114" spans="1:57" x14ac:dyDescent="0.35">
      <c r="A1114" s="1">
        <v>500030.61219999997</v>
      </c>
      <c r="B1114" s="1">
        <v>5999998.8030000003</v>
      </c>
      <c r="C1114" s="1">
        <v>160.567643641144</v>
      </c>
      <c r="D1114" s="1">
        <f t="shared" si="193"/>
        <v>30.634886179975354</v>
      </c>
      <c r="E1114" s="1">
        <v>0.01</v>
      </c>
      <c r="F1114" s="1">
        <v>0.05</v>
      </c>
      <c r="G1114" s="1">
        <v>0.1</v>
      </c>
      <c r="H1114" s="1">
        <v>9.81</v>
      </c>
      <c r="I1114" s="1">
        <v>2650</v>
      </c>
      <c r="J1114" s="1">
        <v>1000</v>
      </c>
      <c r="K1114" s="1">
        <v>1.65</v>
      </c>
      <c r="L1114" s="1">
        <v>6.5</v>
      </c>
      <c r="M1114" s="1">
        <v>2.5</v>
      </c>
      <c r="N1114" s="6">
        <v>9.9999999999999995E-7</v>
      </c>
      <c r="O1114" s="1">
        <f t="shared" si="194"/>
        <v>10.214935822867286</v>
      </c>
      <c r="P1114" s="1">
        <f t="shared" si="190"/>
        <v>10.224042445454263</v>
      </c>
      <c r="Q1114" s="1">
        <f t="shared" si="191"/>
        <v>12.104738122707449</v>
      </c>
      <c r="R1114" s="1">
        <v>126.17909999999993</v>
      </c>
      <c r="S1114" s="1" t="e">
        <f t="shared" si="192"/>
        <v>#N/A</v>
      </c>
      <c r="T1114" s="1" t="e">
        <v>#N/A</v>
      </c>
    </row>
    <row r="1115" spans="1:57" x14ac:dyDescent="0.35">
      <c r="A1115" s="1">
        <v>500040.81630000001</v>
      </c>
      <c r="B1115" s="1">
        <v>5999998.2180000003</v>
      </c>
      <c r="C1115" s="1">
        <v>160.82291235416201</v>
      </c>
      <c r="D1115" s="1">
        <f t="shared" si="193"/>
        <v>40.855741418682364</v>
      </c>
      <c r="E1115" s="1">
        <v>0.01</v>
      </c>
      <c r="F1115" s="1">
        <v>0.05</v>
      </c>
      <c r="G1115" s="1">
        <v>0.1</v>
      </c>
      <c r="H1115" s="1">
        <v>9.81</v>
      </c>
      <c r="I1115" s="1">
        <v>2650</v>
      </c>
      <c r="J1115" s="1">
        <v>1000</v>
      </c>
      <c r="K1115" s="1">
        <v>1.65</v>
      </c>
      <c r="L1115" s="1">
        <v>6.5</v>
      </c>
      <c r="M1115" s="1">
        <v>2.5</v>
      </c>
      <c r="N1115" s="6">
        <v>9.9999999999999995E-7</v>
      </c>
      <c r="O1115" s="1">
        <f t="shared" si="194"/>
        <v>10.231243785008825</v>
      </c>
      <c r="P1115" s="1">
        <f t="shared" si="190"/>
        <v>10.333484931908488</v>
      </c>
      <c r="Q1115" s="1">
        <f t="shared" si="191"/>
        <v>10.278763688681376</v>
      </c>
      <c r="R1115" s="1">
        <v>126.17909999999993</v>
      </c>
      <c r="S1115" s="1" t="e">
        <f t="shared" si="192"/>
        <v>#N/A</v>
      </c>
      <c r="T1115" s="1" t="e">
        <v>#N/A</v>
      </c>
    </row>
    <row r="1116" spans="1:57" x14ac:dyDescent="0.35">
      <c r="A1116" s="1">
        <v>500051.02039999998</v>
      </c>
      <c r="B1116" s="1">
        <v>5999997.3420000002</v>
      </c>
      <c r="C1116" s="1">
        <v>159.448184007094</v>
      </c>
      <c r="D1116" s="1">
        <f t="shared" si="193"/>
        <v>51.097373749993004</v>
      </c>
      <c r="E1116" s="1">
        <v>0.01</v>
      </c>
      <c r="F1116" s="1">
        <v>0.05</v>
      </c>
      <c r="G1116" s="1">
        <v>0.1</v>
      </c>
      <c r="H1116" s="1">
        <v>9.81</v>
      </c>
      <c r="I1116" s="1">
        <v>2650</v>
      </c>
      <c r="J1116" s="1">
        <v>1000</v>
      </c>
      <c r="K1116" s="1">
        <v>1.65</v>
      </c>
      <c r="L1116" s="1">
        <v>6.5</v>
      </c>
      <c r="M1116" s="1">
        <v>2.5</v>
      </c>
      <c r="N1116" s="6">
        <v>9.9999999999999995E-7</v>
      </c>
      <c r="O1116" s="1">
        <f t="shared" si="194"/>
        <v>10.22297614478725</v>
      </c>
      <c r="P1116" s="1">
        <f t="shared" si="190"/>
        <v>11.164078602095582</v>
      </c>
      <c r="Q1116" s="1">
        <f t="shared" si="191"/>
        <v>10.748781767002036</v>
      </c>
      <c r="R1116" s="1">
        <v>126.17909999999993</v>
      </c>
      <c r="S1116" s="1" t="e">
        <f t="shared" si="192"/>
        <v>#N/A</v>
      </c>
      <c r="T1116" s="1" t="e">
        <v>#N/A</v>
      </c>
    </row>
    <row r="1117" spans="1:57" x14ac:dyDescent="0.35">
      <c r="A1117" s="1">
        <v>500061.22450000001</v>
      </c>
      <c r="B1117" s="1">
        <v>5999997.2750000004</v>
      </c>
      <c r="C1117" s="1">
        <v>163.976815723534</v>
      </c>
      <c r="D1117" s="1">
        <f t="shared" si="193"/>
        <v>61.301693708256863</v>
      </c>
      <c r="E1117" s="1">
        <v>0.01</v>
      </c>
      <c r="F1117" s="1">
        <v>0.05</v>
      </c>
      <c r="G1117" s="1">
        <v>0.1</v>
      </c>
      <c r="H1117" s="1">
        <v>9.81</v>
      </c>
      <c r="I1117" s="1">
        <v>2650</v>
      </c>
      <c r="J1117" s="1">
        <v>1000</v>
      </c>
      <c r="K1117" s="1">
        <v>1.65</v>
      </c>
      <c r="L1117" s="1">
        <v>6.5</v>
      </c>
      <c r="M1117" s="1">
        <v>2.5</v>
      </c>
      <c r="N1117" s="6">
        <v>9.9999999999999995E-7</v>
      </c>
      <c r="O1117" s="1">
        <f t="shared" si="194"/>
        <v>10.209391538632293</v>
      </c>
      <c r="P1117" s="1">
        <f t="shared" si="190"/>
        <v>11.034750060361873</v>
      </c>
      <c r="Q1117" s="1">
        <f t="shared" si="191"/>
        <v>11.099414331228727</v>
      </c>
      <c r="R1117" s="1">
        <v>126.17909999999993</v>
      </c>
      <c r="S1117" s="1" t="e">
        <f t="shared" si="192"/>
        <v>#N/A</v>
      </c>
      <c r="T1117" s="1" t="e">
        <v>#N/A</v>
      </c>
    </row>
    <row r="1118" spans="1:57" x14ac:dyDescent="0.35">
      <c r="A1118" s="1">
        <v>500071.42859999998</v>
      </c>
      <c r="B1118" s="1">
        <v>5999996.8150000004</v>
      </c>
      <c r="C1118" s="1">
        <v>168.15179501512699</v>
      </c>
      <c r="D1118" s="1">
        <f t="shared" si="193"/>
        <v>71.516156827257589</v>
      </c>
      <c r="E1118" s="1">
        <v>0.01</v>
      </c>
      <c r="F1118" s="1">
        <v>0.05</v>
      </c>
      <c r="G1118" s="1">
        <v>0.1</v>
      </c>
      <c r="H1118" s="1">
        <v>9.81</v>
      </c>
      <c r="I1118" s="1">
        <v>2650</v>
      </c>
      <c r="J1118" s="1">
        <v>1000</v>
      </c>
      <c r="K1118" s="1">
        <v>1.65</v>
      </c>
      <c r="L1118" s="1">
        <v>6.5</v>
      </c>
      <c r="M1118" s="1">
        <v>2.5</v>
      </c>
      <c r="N1118" s="6">
        <v>9.9999999999999995E-7</v>
      </c>
      <c r="O1118" s="1">
        <f t="shared" si="194"/>
        <v>10.229976351370027</v>
      </c>
      <c r="P1118" s="1">
        <f t="shared" si="190"/>
        <v>11.687505241745082</v>
      </c>
      <c r="Q1118" s="1">
        <f t="shared" si="191"/>
        <v>11.361127651053478</v>
      </c>
      <c r="R1118" s="1">
        <v>126.17909999999993</v>
      </c>
      <c r="S1118" s="1" t="e">
        <f t="shared" si="192"/>
        <v>#N/A</v>
      </c>
      <c r="T1118" s="1" t="e">
        <v>#N/A</v>
      </c>
    </row>
    <row r="1119" spans="1:57" x14ac:dyDescent="0.35">
      <c r="A1119" s="1">
        <v>500081.63270000002</v>
      </c>
      <c r="B1119" s="1">
        <v>5999997.7350000003</v>
      </c>
      <c r="C1119" s="1">
        <v>162.52794206849799</v>
      </c>
      <c r="D1119" s="1">
        <f t="shared" si="193"/>
        <v>81.761646410996917</v>
      </c>
      <c r="E1119" s="1">
        <v>0.01</v>
      </c>
      <c r="F1119" s="1">
        <v>0.05</v>
      </c>
      <c r="G1119" s="1">
        <v>0.1</v>
      </c>
      <c r="H1119" s="1">
        <v>9.81</v>
      </c>
      <c r="I1119" s="1">
        <v>2650</v>
      </c>
      <c r="J1119" s="1">
        <v>1000</v>
      </c>
      <c r="K1119" s="1">
        <v>1.65</v>
      </c>
      <c r="L1119" s="1">
        <v>6.5</v>
      </c>
      <c r="M1119" s="1">
        <v>2.5</v>
      </c>
      <c r="N1119" s="6">
        <v>9.9999999999999995E-7</v>
      </c>
      <c r="O1119" s="1">
        <f t="shared" si="194"/>
        <v>10.224765396477437</v>
      </c>
      <c r="P1119" s="1">
        <f t="shared" si="190"/>
        <v>11.652977208096294</v>
      </c>
      <c r="Q1119" s="1">
        <f t="shared" si="191"/>
        <v>11.670241224920687</v>
      </c>
      <c r="R1119" s="1">
        <v>126.17909999999993</v>
      </c>
      <c r="S1119" s="1" t="e">
        <f t="shared" si="192"/>
        <v>#N/A</v>
      </c>
      <c r="T1119" s="1" t="e">
        <v>#N/A</v>
      </c>
    </row>
    <row r="1120" spans="1:57" x14ac:dyDescent="0.35">
      <c r="A1120" s="1">
        <v>500091.83669999999</v>
      </c>
      <c r="B1120" s="1">
        <v>5999997.7640000004</v>
      </c>
      <c r="C1120" s="1">
        <v>168.15550111421601</v>
      </c>
      <c r="D1120" s="1">
        <f t="shared" si="193"/>
        <v>91.965687620212464</v>
      </c>
      <c r="E1120" s="1">
        <v>0.01</v>
      </c>
      <c r="F1120" s="1">
        <v>0.05</v>
      </c>
      <c r="G1120" s="1">
        <v>0.1</v>
      </c>
      <c r="H1120" s="1">
        <v>9.81</v>
      </c>
      <c r="I1120" s="1">
        <v>2650</v>
      </c>
      <c r="J1120" s="1">
        <v>1000</v>
      </c>
      <c r="K1120" s="1">
        <v>1.65</v>
      </c>
      <c r="L1120" s="1">
        <v>6.5</v>
      </c>
      <c r="M1120" s="1">
        <v>2.5</v>
      </c>
      <c r="N1120" s="6">
        <v>9.9999999999999995E-7</v>
      </c>
      <c r="O1120" s="1">
        <f t="shared" si="194"/>
        <v>10.204607223431253</v>
      </c>
      <c r="P1120" s="1">
        <f t="shared" si="190"/>
        <v>10.499401533865951</v>
      </c>
      <c r="Q1120" s="1">
        <f t="shared" si="191"/>
        <v>11.076189370981123</v>
      </c>
      <c r="R1120" s="1">
        <v>126.17909999999993</v>
      </c>
      <c r="S1120" s="1" t="e">
        <f t="shared" si="192"/>
        <v>#N/A</v>
      </c>
      <c r="T1120" s="1" t="e">
        <v>#N/A</v>
      </c>
    </row>
    <row r="1121" spans="1:20" x14ac:dyDescent="0.35">
      <c r="A1121" s="1">
        <v>500102.04080000002</v>
      </c>
      <c r="B1121" s="1">
        <v>5999997.9119999995</v>
      </c>
      <c r="C1121" s="1">
        <v>170.62367285843499</v>
      </c>
      <c r="D1121" s="1">
        <f t="shared" si="193"/>
        <v>102.17086085785942</v>
      </c>
      <c r="E1121" s="1">
        <v>0.01</v>
      </c>
      <c r="F1121" s="1">
        <v>0.05</v>
      </c>
      <c r="G1121" s="1">
        <v>0.1</v>
      </c>
      <c r="H1121" s="1">
        <v>9.81</v>
      </c>
      <c r="I1121" s="1">
        <v>2650</v>
      </c>
      <c r="J1121" s="1">
        <v>1000</v>
      </c>
      <c r="K1121" s="1">
        <v>1.65</v>
      </c>
      <c r="L1121" s="1">
        <v>6.5</v>
      </c>
      <c r="M1121" s="1">
        <v>2.5</v>
      </c>
      <c r="N1121" s="6">
        <v>9.9999999999999995E-7</v>
      </c>
      <c r="O1121" s="1">
        <f t="shared" si="194"/>
        <v>10.21006882166494</v>
      </c>
      <c r="P1121" s="1">
        <f t="shared" si="190"/>
        <v>10.948230205101877</v>
      </c>
      <c r="Q1121" s="1">
        <f t="shared" si="191"/>
        <v>10.723815869483914</v>
      </c>
      <c r="R1121" s="1">
        <v>126.17909999999993</v>
      </c>
      <c r="S1121" s="1" t="e">
        <f t="shared" si="192"/>
        <v>#N/A</v>
      </c>
      <c r="T1121" s="1" t="e">
        <v>#N/A</v>
      </c>
    </row>
    <row r="1122" spans="1:20" x14ac:dyDescent="0.35">
      <c r="A1122" s="1">
        <v>500112.24489999999</v>
      </c>
      <c r="B1122" s="1">
        <v>5999997.4409999996</v>
      </c>
      <c r="C1122" s="1">
        <v>174.56299346160199</v>
      </c>
      <c r="D1122" s="1">
        <f t="shared" si="193"/>
        <v>112.38582526354234</v>
      </c>
      <c r="E1122" s="1">
        <v>0.01</v>
      </c>
      <c r="F1122" s="1">
        <v>0.05</v>
      </c>
      <c r="G1122" s="1">
        <v>0.1</v>
      </c>
      <c r="H1122" s="1">
        <v>9.81</v>
      </c>
      <c r="I1122" s="1">
        <v>2650</v>
      </c>
      <c r="J1122" s="1">
        <v>1000</v>
      </c>
      <c r="K1122" s="1">
        <v>1.65</v>
      </c>
      <c r="L1122" s="1">
        <v>6.5</v>
      </c>
      <c r="M1122" s="1">
        <v>2.5</v>
      </c>
      <c r="N1122" s="6">
        <v>9.9999999999999995E-7</v>
      </c>
      <c r="O1122" s="1">
        <f t="shared" si="194"/>
        <v>10.211692861963954</v>
      </c>
      <c r="P1122" s="1">
        <f t="shared" si="190"/>
        <v>13.530011313683339</v>
      </c>
      <c r="Q1122" s="1">
        <f t="shared" si="191"/>
        <v>12.239120759392609</v>
      </c>
      <c r="R1122" s="1">
        <v>126.17909999999993</v>
      </c>
      <c r="S1122" s="1" t="e">
        <f t="shared" si="192"/>
        <v>#N/A</v>
      </c>
      <c r="T1122" s="1" t="e">
        <v>#N/A</v>
      </c>
    </row>
    <row r="1123" spans="1:20" x14ac:dyDescent="0.35">
      <c r="A1123" s="1">
        <v>500122.44900000002</v>
      </c>
      <c r="B1123" s="1">
        <v>5999997.7379999999</v>
      </c>
      <c r="C1123" s="1">
        <v>165.68327835707299</v>
      </c>
      <c r="D1123" s="1">
        <f t="shared" si="193"/>
        <v>122.59424658178733</v>
      </c>
      <c r="E1123" s="1">
        <v>0.01</v>
      </c>
      <c r="F1123" s="1">
        <v>0.05</v>
      </c>
      <c r="G1123" s="1">
        <v>0.1</v>
      </c>
      <c r="H1123" s="1">
        <v>9.81</v>
      </c>
      <c r="I1123" s="1">
        <v>2650</v>
      </c>
      <c r="J1123" s="1">
        <v>1000</v>
      </c>
      <c r="K1123" s="1">
        <v>1.65</v>
      </c>
      <c r="L1123" s="1">
        <v>6.5</v>
      </c>
      <c r="M1123" s="1">
        <v>2.5</v>
      </c>
      <c r="N1123" s="6">
        <v>9.9999999999999995E-7</v>
      </c>
      <c r="O1123" s="1">
        <f t="shared" si="194"/>
        <v>10.212455607463802</v>
      </c>
      <c r="P1123" s="1">
        <f t="shared" si="190"/>
        <v>12.917030195420445</v>
      </c>
      <c r="Q1123" s="1">
        <f t="shared" si="191"/>
        <v>13.223520754551892</v>
      </c>
      <c r="R1123" s="1">
        <v>126.17909999999993</v>
      </c>
      <c r="S1123" s="1" t="e">
        <f t="shared" si="192"/>
        <v>#N/A</v>
      </c>
      <c r="T1123" s="1" t="e">
        <v>#N/A</v>
      </c>
    </row>
    <row r="1124" spans="1:20" x14ac:dyDescent="0.35">
      <c r="A1124" s="1">
        <v>500132.6531</v>
      </c>
      <c r="B1124" s="1">
        <v>5999997.2350000003</v>
      </c>
      <c r="C1124" s="1">
        <v>173.58726489934301</v>
      </c>
      <c r="D1124" s="1">
        <f t="shared" si="193"/>
        <v>132.81073647846995</v>
      </c>
      <c r="E1124" s="1">
        <v>0.01</v>
      </c>
      <c r="F1124" s="1">
        <v>0.05</v>
      </c>
      <c r="G1124" s="1">
        <v>0.1</v>
      </c>
      <c r="H1124" s="1">
        <v>9.81</v>
      </c>
      <c r="I1124" s="1">
        <v>2650</v>
      </c>
      <c r="J1124" s="1">
        <v>1000</v>
      </c>
      <c r="K1124" s="1">
        <v>1.65</v>
      </c>
      <c r="L1124" s="1">
        <v>6.5</v>
      </c>
      <c r="M1124" s="1">
        <v>2.5</v>
      </c>
      <c r="N1124" s="6">
        <v>9.9999999999999995E-7</v>
      </c>
      <c r="O1124" s="1">
        <f t="shared" si="194"/>
        <v>10.225512676353247</v>
      </c>
      <c r="P1124" s="1">
        <f t="shared" si="190"/>
        <v>13.492945518552009</v>
      </c>
      <c r="Q1124" s="1">
        <f t="shared" si="191"/>
        <v>13.204987856986227</v>
      </c>
      <c r="R1124" s="1">
        <v>126.17909999999993</v>
      </c>
      <c r="S1124" s="1" t="e">
        <f t="shared" si="192"/>
        <v>#N/A</v>
      </c>
      <c r="T1124" s="1" t="e">
        <v>#N/A</v>
      </c>
    </row>
    <row r="1125" spans="1:20" x14ac:dyDescent="0.35">
      <c r="A1125" s="1">
        <v>500142.85710000002</v>
      </c>
      <c r="B1125" s="1">
        <v>5999996.4450000003</v>
      </c>
      <c r="C1125" s="1">
        <v>164.79443470844299</v>
      </c>
      <c r="D1125" s="1">
        <f t="shared" si="193"/>
        <v>143.04527193449383</v>
      </c>
      <c r="E1125" s="1">
        <v>0.01</v>
      </c>
      <c r="F1125" s="1">
        <v>0.05</v>
      </c>
      <c r="G1125" s="1">
        <v>0.1</v>
      </c>
      <c r="H1125" s="1">
        <v>9.81</v>
      </c>
      <c r="I1125" s="1">
        <v>2650</v>
      </c>
      <c r="J1125" s="1">
        <v>1000</v>
      </c>
      <c r="K1125" s="1">
        <v>1.65</v>
      </c>
      <c r="L1125" s="1">
        <v>6.5</v>
      </c>
      <c r="M1125" s="1">
        <v>2.5</v>
      </c>
      <c r="N1125" s="6">
        <v>9.9999999999999995E-7</v>
      </c>
      <c r="O1125" s="1">
        <f t="shared" si="194"/>
        <v>10.219577641411078</v>
      </c>
      <c r="P1125" s="1">
        <f t="shared" si="190"/>
        <v>10.57052865269438</v>
      </c>
      <c r="Q1125" s="1">
        <f t="shared" si="191"/>
        <v>12.031737085623195</v>
      </c>
      <c r="R1125" s="1">
        <v>126.17909999999993</v>
      </c>
      <c r="S1125" s="1" t="e">
        <f t="shared" si="192"/>
        <v>#N/A</v>
      </c>
      <c r="T1125" s="1" t="e">
        <v>#N/A</v>
      </c>
    </row>
    <row r="1126" spans="1:20" x14ac:dyDescent="0.35">
      <c r="A1126" s="1">
        <v>500153.0612</v>
      </c>
      <c r="B1126" s="1">
        <v>5999996.5480000004</v>
      </c>
      <c r="C1126" s="1">
        <v>167.55157275140499</v>
      </c>
      <c r="D1126" s="1">
        <f t="shared" si="193"/>
        <v>153.2498917612921</v>
      </c>
      <c r="E1126" s="1">
        <v>0.01</v>
      </c>
      <c r="F1126" s="1">
        <v>0.05</v>
      </c>
      <c r="G1126" s="1">
        <v>0.1</v>
      </c>
      <c r="H1126" s="1">
        <v>9.81</v>
      </c>
      <c r="I1126" s="1">
        <v>2650</v>
      </c>
      <c r="J1126" s="1">
        <v>1000</v>
      </c>
      <c r="K1126" s="1">
        <v>1.65</v>
      </c>
      <c r="L1126" s="1">
        <v>6.5</v>
      </c>
      <c r="M1126" s="1">
        <v>2.5</v>
      </c>
      <c r="N1126" s="6">
        <v>9.9999999999999995E-7</v>
      </c>
      <c r="O1126" s="1">
        <f t="shared" si="194"/>
        <v>10.204940921281036</v>
      </c>
      <c r="P1126" s="1">
        <f t="shared" si="190"/>
        <v>10.682627590463349</v>
      </c>
      <c r="Q1126" s="1">
        <f t="shared" si="191"/>
        <v>10.626578121578865</v>
      </c>
      <c r="R1126" s="1">
        <v>126.17909999999993</v>
      </c>
      <c r="S1126" s="1" t="e">
        <f t="shared" si="192"/>
        <v>#N/A</v>
      </c>
      <c r="T1126" s="1" t="e">
        <v>#N/A</v>
      </c>
    </row>
    <row r="1127" spans="1:20" x14ac:dyDescent="0.35">
      <c r="A1127" s="1">
        <v>500163.26530000003</v>
      </c>
      <c r="B1127" s="1">
        <v>5999996.7019999996</v>
      </c>
      <c r="C1127" s="1">
        <v>164.39385847900201</v>
      </c>
      <c r="D1127" s="1">
        <f t="shared" si="193"/>
        <v>163.4551537770559</v>
      </c>
      <c r="E1127" s="1">
        <v>0.01</v>
      </c>
      <c r="F1127" s="1">
        <v>0.05</v>
      </c>
      <c r="G1127" s="1">
        <v>0.1</v>
      </c>
      <c r="H1127" s="1">
        <v>9.81</v>
      </c>
      <c r="I1127" s="1">
        <v>2650</v>
      </c>
      <c r="J1127" s="1">
        <v>1000</v>
      </c>
      <c r="K1127" s="1">
        <v>1.65</v>
      </c>
      <c r="L1127" s="1">
        <v>6.5</v>
      </c>
      <c r="M1127" s="1">
        <v>2.5</v>
      </c>
      <c r="N1127" s="6">
        <v>9.9999999999999995E-7</v>
      </c>
      <c r="O1127" s="1">
        <f t="shared" si="194"/>
        <v>10.213849082106762</v>
      </c>
      <c r="P1127" s="1">
        <f t="shared" si="190"/>
        <v>11.026540308620518</v>
      </c>
      <c r="Q1127" s="1">
        <f t="shared" si="191"/>
        <v>10.854583949541933</v>
      </c>
      <c r="R1127" s="1">
        <v>126.17909999999993</v>
      </c>
      <c r="S1127" s="1" t="e">
        <f t="shared" si="192"/>
        <v>#N/A</v>
      </c>
      <c r="T1127" s="1" t="e">
        <v>#N/A</v>
      </c>
    </row>
    <row r="1128" spans="1:20" x14ac:dyDescent="0.35">
      <c r="A1128" s="1">
        <v>500173.4694</v>
      </c>
      <c r="B1128" s="1">
        <v>5999996.0899999999</v>
      </c>
      <c r="C1128" s="1">
        <v>168.52742719967199</v>
      </c>
      <c r="D1128" s="1">
        <f t="shared" si="193"/>
        <v>173.67758992550563</v>
      </c>
      <c r="E1128" s="1">
        <v>0.01</v>
      </c>
      <c r="F1128" s="1">
        <v>0.05</v>
      </c>
      <c r="G1128" s="1">
        <v>0.1</v>
      </c>
      <c r="H1128" s="1">
        <v>9.81</v>
      </c>
      <c r="I1128" s="1">
        <v>2650</v>
      </c>
      <c r="J1128" s="1">
        <v>1000</v>
      </c>
      <c r="K1128" s="1">
        <v>1.65</v>
      </c>
      <c r="L1128" s="1">
        <v>6.5</v>
      </c>
      <c r="M1128" s="1">
        <v>2.5</v>
      </c>
      <c r="N1128" s="6">
        <v>9.9999999999999995E-7</v>
      </c>
      <c r="O1128" s="1">
        <f t="shared" si="194"/>
        <v>10.214988293625822</v>
      </c>
      <c r="P1128" s="1">
        <f t="shared" si="190"/>
        <v>10.632479456336906</v>
      </c>
      <c r="Q1128" s="1">
        <f t="shared" si="191"/>
        <v>10.829509882478712</v>
      </c>
      <c r="R1128" s="1">
        <v>126.17909999999993</v>
      </c>
      <c r="S1128" s="1" t="e">
        <f t="shared" si="192"/>
        <v>#N/A</v>
      </c>
      <c r="T1128" s="1" t="e">
        <v>#N/A</v>
      </c>
    </row>
    <row r="1129" spans="1:20" x14ac:dyDescent="0.35">
      <c r="A1129" s="1">
        <v>500183.67349999998</v>
      </c>
      <c r="B1129" s="1">
        <v>5999996.3550000004</v>
      </c>
      <c r="C1129" s="1">
        <v>165.55156806663999</v>
      </c>
      <c r="D1129" s="1">
        <f t="shared" si="193"/>
        <v>183.88513036430754</v>
      </c>
      <c r="E1129" s="1">
        <v>0.01</v>
      </c>
      <c r="F1129" s="1">
        <v>0.05</v>
      </c>
      <c r="G1129" s="1">
        <v>0.1</v>
      </c>
      <c r="H1129" s="1">
        <v>9.81</v>
      </c>
      <c r="I1129" s="1">
        <v>2650</v>
      </c>
      <c r="J1129" s="1">
        <v>1000</v>
      </c>
      <c r="K1129" s="1">
        <v>1.65</v>
      </c>
      <c r="L1129" s="1">
        <v>6.5</v>
      </c>
      <c r="M1129" s="1">
        <v>2.5</v>
      </c>
      <c r="N1129" s="6">
        <v>9.9999999999999995E-7</v>
      </c>
      <c r="O1129" s="1">
        <f t="shared" si="194"/>
        <v>10.210285318026777</v>
      </c>
      <c r="P1129" s="1">
        <f t="shared" si="190"/>
        <v>10.217153370786205</v>
      </c>
      <c r="Q1129" s="1">
        <f t="shared" si="191"/>
        <v>10.424816413561555</v>
      </c>
      <c r="R1129" s="1">
        <v>126.17909999999993</v>
      </c>
      <c r="S1129" s="1" t="e">
        <f t="shared" si="192"/>
        <v>#N/A</v>
      </c>
      <c r="T1129" s="1" t="e">
        <v>#N/A</v>
      </c>
    </row>
    <row r="1130" spans="1:20" x14ac:dyDescent="0.35">
      <c r="A1130" s="1">
        <v>500193.87760000001</v>
      </c>
      <c r="B1130" s="1">
        <v>5999996.7819999997</v>
      </c>
      <c r="C1130" s="1">
        <v>165.84180450851801</v>
      </c>
      <c r="D1130" s="1">
        <f t="shared" si="193"/>
        <v>194.09816056155918</v>
      </c>
      <c r="E1130" s="1">
        <v>0.01</v>
      </c>
      <c r="F1130" s="1">
        <v>0.05</v>
      </c>
      <c r="G1130" s="1">
        <v>0.1</v>
      </c>
      <c r="H1130" s="1">
        <v>9.81</v>
      </c>
      <c r="I1130" s="1">
        <v>2650</v>
      </c>
      <c r="J1130" s="1">
        <v>1000</v>
      </c>
      <c r="K1130" s="1">
        <v>1.65</v>
      </c>
      <c r="L1130" s="1">
        <v>6.5</v>
      </c>
      <c r="M1130" s="1">
        <v>2.5</v>
      </c>
      <c r="N1130" s="6">
        <v>9.9999999999999995E-7</v>
      </c>
      <c r="O1130" s="1">
        <f t="shared" si="194"/>
        <v>10.225732250662787</v>
      </c>
      <c r="P1130" s="1">
        <f t="shared" si="190"/>
        <v>11.805317568883225</v>
      </c>
      <c r="Q1130" s="1">
        <f t="shared" si="191"/>
        <v>11.011235469834716</v>
      </c>
      <c r="R1130" s="1">
        <v>126.17909999999993</v>
      </c>
      <c r="S1130" s="1" t="e">
        <f t="shared" si="192"/>
        <v>#N/A</v>
      </c>
      <c r="T1130" s="1" t="e">
        <v>#N/A</v>
      </c>
    </row>
    <row r="1131" spans="1:20" x14ac:dyDescent="0.35">
      <c r="A1131" s="1">
        <v>500204.08159999998</v>
      </c>
      <c r="B1131" s="1">
        <v>5999995.943</v>
      </c>
      <c r="C1131" s="1">
        <v>159.96473160584401</v>
      </c>
      <c r="D1131" s="1">
        <f t="shared" si="193"/>
        <v>204.33659486563312</v>
      </c>
      <c r="E1131" s="1">
        <v>0.01</v>
      </c>
      <c r="F1131" s="1">
        <v>0.05</v>
      </c>
      <c r="G1131" s="1">
        <v>0.1</v>
      </c>
      <c r="H1131" s="1">
        <v>9.81</v>
      </c>
      <c r="I1131" s="1">
        <v>2650</v>
      </c>
      <c r="J1131" s="1">
        <v>1000</v>
      </c>
      <c r="K1131" s="1">
        <v>1.65</v>
      </c>
      <c r="L1131" s="1">
        <v>6.5</v>
      </c>
      <c r="M1131" s="1">
        <v>2.5</v>
      </c>
      <c r="N1131" s="6">
        <v>9.9999999999999995E-7</v>
      </c>
      <c r="O1131" s="1">
        <f t="shared" si="194"/>
        <v>10.222474465035148</v>
      </c>
      <c r="P1131" s="1">
        <f t="shared" si="190"/>
        <v>10.510110351296964</v>
      </c>
      <c r="Q1131" s="1">
        <f t="shared" si="191"/>
        <v>11.157713960090096</v>
      </c>
      <c r="R1131" s="1">
        <v>126.17909999999993</v>
      </c>
      <c r="S1131" s="1" t="e">
        <f t="shared" si="192"/>
        <v>#N/A</v>
      </c>
      <c r="T1131" s="1" t="e">
        <v>#N/A</v>
      </c>
    </row>
    <row r="1132" spans="1:20" x14ac:dyDescent="0.35">
      <c r="A1132" s="1">
        <v>500214.28570000001</v>
      </c>
      <c r="B1132" s="1">
        <v>5999995.7209999999</v>
      </c>
      <c r="C1132" s="1">
        <v>162.47261493362501</v>
      </c>
      <c r="D1132" s="1">
        <f t="shared" si="193"/>
        <v>214.54310949162948</v>
      </c>
      <c r="E1132" s="1">
        <v>0.01</v>
      </c>
      <c r="F1132" s="1">
        <v>0.05</v>
      </c>
      <c r="G1132" s="1">
        <v>0.1</v>
      </c>
      <c r="H1132" s="1">
        <v>9.81</v>
      </c>
      <c r="I1132" s="1">
        <v>2650</v>
      </c>
      <c r="J1132" s="1">
        <v>1000</v>
      </c>
      <c r="K1132" s="1">
        <v>1.65</v>
      </c>
      <c r="L1132" s="1">
        <v>6.5</v>
      </c>
      <c r="M1132" s="1">
        <v>2.5</v>
      </c>
      <c r="N1132" s="6">
        <v>9.9999999999999995E-7</v>
      </c>
      <c r="O1132" s="1">
        <f t="shared" si="194"/>
        <v>10.209668499185454</v>
      </c>
      <c r="P1132" s="1">
        <f t="shared" si="190"/>
        <v>13.932835838967597</v>
      </c>
      <c r="Q1132" s="1">
        <f t="shared" si="191"/>
        <v>12.22147309513228</v>
      </c>
      <c r="R1132" s="1">
        <v>126.17909999999993</v>
      </c>
      <c r="S1132" s="1" t="e">
        <f t="shared" si="192"/>
        <v>#N/A</v>
      </c>
      <c r="T1132" s="1" t="e">
        <v>#N/A</v>
      </c>
    </row>
    <row r="1133" spans="1:20" x14ac:dyDescent="0.35">
      <c r="A1133" s="1">
        <v>500224.48979999998</v>
      </c>
      <c r="B1133" s="1">
        <v>5999996.1430000002</v>
      </c>
      <c r="C1133" s="1">
        <v>152.99515885586101</v>
      </c>
      <c r="D1133" s="1">
        <f t="shared" si="193"/>
        <v>224.75593186400403</v>
      </c>
      <c r="E1133" s="1">
        <v>0.01</v>
      </c>
      <c r="F1133" s="1">
        <v>0.05</v>
      </c>
      <c r="G1133" s="1">
        <v>0.1</v>
      </c>
      <c r="H1133" s="1">
        <v>9.81</v>
      </c>
      <c r="I1133" s="1">
        <v>2650</v>
      </c>
      <c r="J1133" s="1">
        <v>1000</v>
      </c>
      <c r="K1133" s="1">
        <v>1.65</v>
      </c>
      <c r="L1133" s="1">
        <v>6.5</v>
      </c>
      <c r="M1133" s="1">
        <v>2.5</v>
      </c>
      <c r="N1133" s="6">
        <v>9.9999999999999995E-7</v>
      </c>
      <c r="O1133" s="1">
        <f t="shared" si="194"/>
        <v>10.211706300347956</v>
      </c>
      <c r="P1133" s="1">
        <f t="shared" si="190"/>
        <v>10.301820481574744</v>
      </c>
      <c r="Q1133" s="1">
        <f t="shared" si="191"/>
        <v>12.117328160271171</v>
      </c>
      <c r="R1133" s="1">
        <v>126.17909999999993</v>
      </c>
      <c r="S1133" s="1" t="e">
        <f t="shared" si="192"/>
        <v>#N/A</v>
      </c>
      <c r="T1133" s="1" t="e">
        <v>#N/A</v>
      </c>
    </row>
    <row r="1134" spans="1:20" x14ac:dyDescent="0.35">
      <c r="A1134" s="1">
        <v>500234.69390000001</v>
      </c>
      <c r="B1134" s="1">
        <v>5999996.5070000002</v>
      </c>
      <c r="C1134" s="1">
        <v>151.627185016966</v>
      </c>
      <c r="D1134" s="1">
        <f t="shared" si="193"/>
        <v>234.96652209232539</v>
      </c>
      <c r="E1134" s="1">
        <v>0.01</v>
      </c>
      <c r="F1134" s="1">
        <v>0.05</v>
      </c>
      <c r="G1134" s="1">
        <v>0.1</v>
      </c>
      <c r="H1134" s="1">
        <v>9.81</v>
      </c>
      <c r="I1134" s="1">
        <v>2650</v>
      </c>
      <c r="J1134" s="1">
        <v>1000</v>
      </c>
      <c r="K1134" s="1">
        <v>1.65</v>
      </c>
      <c r="L1134" s="1">
        <v>6.5</v>
      </c>
      <c r="M1134" s="1">
        <v>2.5</v>
      </c>
      <c r="N1134" s="6">
        <v>9.9999999999999995E-7</v>
      </c>
      <c r="O1134" s="1">
        <f t="shared" si="194"/>
        <v>10.212172653557417</v>
      </c>
      <c r="P1134" s="1">
        <f t="shared" si="190"/>
        <v>11.089044194999135</v>
      </c>
      <c r="Q1134" s="1">
        <f t="shared" si="191"/>
        <v>10.695432338286938</v>
      </c>
      <c r="R1134" s="1">
        <v>126.17909999999993</v>
      </c>
      <c r="S1134" s="1" t="e">
        <f t="shared" si="192"/>
        <v>#N/A</v>
      </c>
      <c r="T1134" s="1" t="e">
        <v>#N/A</v>
      </c>
    </row>
    <row r="1135" spans="1:20" x14ac:dyDescent="0.35">
      <c r="A1135" s="1">
        <v>500244.89799999999</v>
      </c>
      <c r="B1135" s="1">
        <v>5999996.9510000004</v>
      </c>
      <c r="C1135" s="1">
        <v>155.94529899752101</v>
      </c>
      <c r="D1135" s="1">
        <f t="shared" si="193"/>
        <v>245.18027717111886</v>
      </c>
      <c r="E1135" s="1">
        <v>0.01</v>
      </c>
      <c r="F1135" s="1">
        <v>0.05</v>
      </c>
      <c r="G1135" s="1">
        <v>0.1</v>
      </c>
      <c r="H1135" s="1">
        <v>9.81</v>
      </c>
      <c r="I1135" s="1">
        <v>2650</v>
      </c>
      <c r="J1135" s="1">
        <v>1000</v>
      </c>
      <c r="K1135" s="1">
        <v>1.65</v>
      </c>
      <c r="L1135" s="1">
        <v>6.5</v>
      </c>
      <c r="M1135" s="1">
        <v>2.5</v>
      </c>
      <c r="N1135" s="6">
        <v>9.9999999999999995E-7</v>
      </c>
      <c r="O1135" s="1">
        <f t="shared" si="194"/>
        <v>10.228334363400478</v>
      </c>
      <c r="P1135" s="1">
        <f t="shared" si="190"/>
        <v>11.738479864242503</v>
      </c>
      <c r="Q1135" s="1">
        <f t="shared" si="191"/>
        <v>11.41376202962082</v>
      </c>
      <c r="R1135" s="1">
        <v>126.17909999999993</v>
      </c>
      <c r="S1135" s="1" t="e">
        <f t="shared" si="192"/>
        <v>#N/A</v>
      </c>
      <c r="T1135" s="1" t="e">
        <v>#N/A</v>
      </c>
    </row>
    <row r="1136" spans="1:20" x14ac:dyDescent="0.35">
      <c r="A1136" s="1">
        <v>500255.10200000001</v>
      </c>
      <c r="B1136" s="1">
        <v>5999997.8430000003</v>
      </c>
      <c r="C1136" s="1">
        <v>150.21165883417899</v>
      </c>
      <c r="D1136" s="1">
        <f t="shared" si="193"/>
        <v>255.42319081912635</v>
      </c>
      <c r="E1136" s="1">
        <v>0.01</v>
      </c>
      <c r="F1136" s="1">
        <v>0.05</v>
      </c>
      <c r="G1136" s="1">
        <v>0.1</v>
      </c>
      <c r="H1136" s="1">
        <v>9.81</v>
      </c>
      <c r="I1136" s="1">
        <v>2650</v>
      </c>
      <c r="J1136" s="1">
        <v>1000</v>
      </c>
      <c r="K1136" s="1">
        <v>1.65</v>
      </c>
      <c r="L1136" s="1">
        <v>6.5</v>
      </c>
      <c r="M1136" s="1">
        <v>2.5</v>
      </c>
      <c r="N1136" s="6">
        <v>9.9999999999999995E-7</v>
      </c>
      <c r="O1136" s="1">
        <f t="shared" si="194"/>
        <v>10.228247812702051</v>
      </c>
      <c r="P1136" s="1">
        <f t="shared" si="190"/>
        <v>10.415569048554094</v>
      </c>
      <c r="Q1136" s="1">
        <f t="shared" si="191"/>
        <v>11.077024456398298</v>
      </c>
      <c r="R1136" s="1">
        <v>126.17909999999993</v>
      </c>
      <c r="S1136" s="1" t="e">
        <f t="shared" si="192"/>
        <v>#N/A</v>
      </c>
      <c r="T1136" s="1" t="e">
        <v>#N/A</v>
      </c>
    </row>
    <row r="1137" spans="1:20" x14ac:dyDescent="0.35">
      <c r="A1137" s="1">
        <v>500265.30609999999</v>
      </c>
      <c r="B1137" s="1">
        <v>5999998.2829999998</v>
      </c>
      <c r="C1137" s="1">
        <v>148.17037938339399</v>
      </c>
      <c r="D1137" s="1">
        <f t="shared" si="193"/>
        <v>265.63677279652296</v>
      </c>
      <c r="E1137" s="1">
        <v>0.01</v>
      </c>
      <c r="F1137" s="1">
        <v>0.05</v>
      </c>
      <c r="G1137" s="1">
        <v>0.1</v>
      </c>
      <c r="H1137" s="1">
        <v>9.81</v>
      </c>
      <c r="I1137" s="1">
        <v>2650</v>
      </c>
      <c r="J1137" s="1">
        <v>1000</v>
      </c>
      <c r="K1137" s="1">
        <v>1.65</v>
      </c>
      <c r="L1137" s="1">
        <v>6.5</v>
      </c>
      <c r="M1137" s="1">
        <v>2.5</v>
      </c>
      <c r="N1137" s="6">
        <v>9.9999999999999995E-7</v>
      </c>
      <c r="O1137" s="1">
        <f t="shared" si="194"/>
        <v>10.23198332194535</v>
      </c>
      <c r="P1137" s="1">
        <f t="shared" si="190"/>
        <v>10.753746192038282</v>
      </c>
      <c r="Q1137" s="1">
        <f t="shared" si="191"/>
        <v>10.584657620296188</v>
      </c>
      <c r="R1137" s="1">
        <v>126.17909999999993</v>
      </c>
      <c r="S1137" s="1" t="e">
        <f t="shared" si="192"/>
        <v>#N/A</v>
      </c>
      <c r="T1137" s="1" t="e">
        <v>#N/A</v>
      </c>
    </row>
    <row r="1138" spans="1:20" x14ac:dyDescent="0.35">
      <c r="A1138" s="1">
        <v>500275.51020000002</v>
      </c>
      <c r="B1138" s="1">
        <v>5999997.3099999996</v>
      </c>
      <c r="C1138" s="1">
        <v>144.91881493659599</v>
      </c>
      <c r="D1138" s="1">
        <f t="shared" si="193"/>
        <v>275.88715746301705</v>
      </c>
      <c r="E1138" s="1">
        <v>0.01</v>
      </c>
      <c r="F1138" s="1">
        <v>0.05</v>
      </c>
      <c r="G1138" s="1">
        <v>0.1</v>
      </c>
      <c r="H1138" s="1">
        <v>9.81</v>
      </c>
      <c r="I1138" s="1">
        <v>2650</v>
      </c>
      <c r="J1138" s="1">
        <v>1000</v>
      </c>
      <c r="K1138" s="1">
        <v>1.65</v>
      </c>
      <c r="L1138" s="1">
        <v>6.5</v>
      </c>
      <c r="M1138" s="1">
        <v>2.5</v>
      </c>
      <c r="N1138" s="6">
        <v>9.9999999999999995E-7</v>
      </c>
      <c r="O1138" s="1">
        <f t="shared" si="194"/>
        <v>10.247668609691146</v>
      </c>
      <c r="P1138" s="1">
        <f t="shared" si="190"/>
        <v>10.247801935839309</v>
      </c>
      <c r="Q1138" s="1">
        <f t="shared" si="191"/>
        <v>10.500774063938795</v>
      </c>
      <c r="R1138" s="1">
        <v>126.17909999999993</v>
      </c>
      <c r="S1138" s="1" t="e">
        <f t="shared" si="192"/>
        <v>#N/A</v>
      </c>
      <c r="T1138" s="1" t="e">
        <v>#N/A</v>
      </c>
    </row>
    <row r="1139" spans="1:20" x14ac:dyDescent="0.35">
      <c r="A1139" s="1">
        <v>500285.71429999999</v>
      </c>
      <c r="B1139" s="1">
        <v>5999998.2240000004</v>
      </c>
      <c r="C1139" s="1">
        <v>144.67717117967001</v>
      </c>
      <c r="D1139" s="1">
        <f t="shared" si="193"/>
        <v>286.13211001590525</v>
      </c>
      <c r="E1139" s="1">
        <v>0.01</v>
      </c>
      <c r="F1139" s="1">
        <v>0.05</v>
      </c>
      <c r="G1139" s="1">
        <v>0.1</v>
      </c>
      <c r="H1139" s="1">
        <v>9.81</v>
      </c>
      <c r="I1139" s="1">
        <v>2650</v>
      </c>
      <c r="J1139" s="1">
        <v>1000</v>
      </c>
      <c r="K1139" s="1">
        <v>1.65</v>
      </c>
      <c r="L1139" s="1">
        <v>6.5</v>
      </c>
      <c r="M1139" s="1">
        <v>2.5</v>
      </c>
      <c r="N1139" s="6">
        <v>9.9999999999999995E-7</v>
      </c>
      <c r="O1139" s="1">
        <f t="shared" si="194"/>
        <v>10.245310960713113</v>
      </c>
      <c r="P1139" s="1">
        <f t="shared" si="190"/>
        <v>10.773986209295044</v>
      </c>
      <c r="Q1139" s="1">
        <f t="shared" si="191"/>
        <v>10.510894072567176</v>
      </c>
      <c r="R1139" s="1">
        <v>126.17909999999993</v>
      </c>
      <c r="S1139" s="1" t="e">
        <f t="shared" si="192"/>
        <v>#N/A</v>
      </c>
      <c r="T1139" s="1" t="e">
        <v>#N/A</v>
      </c>
    </row>
    <row r="1140" spans="1:20" x14ac:dyDescent="0.35">
      <c r="A1140" s="1">
        <v>500295.91840000002</v>
      </c>
      <c r="B1140" s="1">
        <v>5999999.1459999997</v>
      </c>
      <c r="C1140" s="1">
        <v>141.344748933213</v>
      </c>
      <c r="D1140" s="1">
        <f t="shared" si="193"/>
        <v>296.37777938444327</v>
      </c>
      <c r="E1140" s="1">
        <v>0.01</v>
      </c>
      <c r="F1140" s="1">
        <v>0.05</v>
      </c>
      <c r="G1140" s="1">
        <v>0.1</v>
      </c>
      <c r="H1140" s="1">
        <v>9.81</v>
      </c>
      <c r="I1140" s="1">
        <v>2650</v>
      </c>
      <c r="J1140" s="1">
        <v>1000</v>
      </c>
      <c r="K1140" s="1">
        <v>1.65</v>
      </c>
      <c r="L1140" s="1">
        <v>6.5</v>
      </c>
      <c r="M1140" s="1">
        <v>2.5</v>
      </c>
      <c r="N1140" s="6">
        <v>9.9999999999999995E-7</v>
      </c>
      <c r="O1140" s="1">
        <f t="shared" si="194"/>
        <v>10.233098302678485</v>
      </c>
      <c r="P1140" s="1">
        <f t="shared" si="190"/>
        <v>10.320041754295742</v>
      </c>
      <c r="Q1140" s="1">
        <f t="shared" si="191"/>
        <v>10.547013981795393</v>
      </c>
      <c r="R1140" s="1">
        <v>126.17909999999993</v>
      </c>
      <c r="S1140" s="1" t="e">
        <f t="shared" si="192"/>
        <v>#N/A</v>
      </c>
      <c r="T1140" s="1" t="e">
        <v>#N/A</v>
      </c>
    </row>
    <row r="1141" spans="1:20" x14ac:dyDescent="0.35">
      <c r="A1141" s="1">
        <v>500306.12239999999</v>
      </c>
      <c r="B1141" s="1">
        <v>5999998.5650000004</v>
      </c>
      <c r="C1141" s="1">
        <v>139.91503399244701</v>
      </c>
      <c r="D1141" s="1">
        <f t="shared" si="193"/>
        <v>306.59830662126222</v>
      </c>
      <c r="E1141" s="1">
        <v>0.01</v>
      </c>
      <c r="F1141" s="1">
        <v>0.05</v>
      </c>
      <c r="G1141" s="1">
        <v>0.1</v>
      </c>
      <c r="H1141" s="1">
        <v>9.81</v>
      </c>
      <c r="I1141" s="1">
        <v>2650</v>
      </c>
      <c r="J1141" s="1">
        <v>1000</v>
      </c>
      <c r="K1141" s="1">
        <v>1.65</v>
      </c>
      <c r="L1141" s="1">
        <v>6.5</v>
      </c>
      <c r="M1141" s="1">
        <v>2.5</v>
      </c>
      <c r="N1141" s="6">
        <v>9.9999999999999995E-7</v>
      </c>
      <c r="O1141" s="1">
        <f t="shared" si="194"/>
        <v>10.221874954638196</v>
      </c>
      <c r="P1141" s="1">
        <f t="shared" si="190"/>
        <v>13.893706980070347</v>
      </c>
      <c r="Q1141" s="1">
        <f t="shared" si="191"/>
        <v>12.106874367183044</v>
      </c>
      <c r="R1141" s="1">
        <v>126.17909999999993</v>
      </c>
      <c r="S1141" s="1" t="e">
        <f t="shared" si="192"/>
        <v>#N/A</v>
      </c>
      <c r="T1141" s="1" t="e">
        <v>#N/A</v>
      </c>
    </row>
    <row r="1142" spans="1:20" x14ac:dyDescent="0.35">
      <c r="A1142" s="1">
        <v>500316.32650000002</v>
      </c>
      <c r="B1142" s="1">
        <v>5999999.1900000004</v>
      </c>
      <c r="C1142" s="1">
        <v>130.506484059678</v>
      </c>
      <c r="D1142" s="1">
        <f t="shared" si="193"/>
        <v>316.82152929371966</v>
      </c>
      <c r="E1142" s="1">
        <v>0.01</v>
      </c>
      <c r="F1142" s="1">
        <v>0.05</v>
      </c>
      <c r="G1142" s="1">
        <v>0.1</v>
      </c>
      <c r="H1142" s="1">
        <v>9.81</v>
      </c>
      <c r="I1142" s="1">
        <v>2650</v>
      </c>
      <c r="J1142" s="1">
        <v>1000</v>
      </c>
      <c r="K1142" s="1">
        <v>1.65</v>
      </c>
      <c r="L1142" s="1">
        <v>6.5</v>
      </c>
      <c r="M1142" s="1">
        <v>2.5</v>
      </c>
      <c r="N1142" s="6">
        <v>9.9999999999999995E-7</v>
      </c>
      <c r="O1142" s="1">
        <f t="shared" si="194"/>
        <v>10.235493697492075</v>
      </c>
      <c r="P1142" s="1">
        <f t="shared" si="190"/>
        <v>10.418299398725649</v>
      </c>
      <c r="Q1142" s="1">
        <f t="shared" si="191"/>
        <v>12.156003189397998</v>
      </c>
      <c r="R1142" s="1">
        <v>126.17909999999993</v>
      </c>
      <c r="S1142" s="1" t="e">
        <f t="shared" si="192"/>
        <v>#N/A</v>
      </c>
      <c r="T1142" s="1" t="e">
        <v>#N/A</v>
      </c>
    </row>
    <row r="1143" spans="1:20" x14ac:dyDescent="0.35">
      <c r="A1143" s="1">
        <v>500326.5306</v>
      </c>
      <c r="B1143" s="1">
        <v>6000000.1349999998</v>
      </c>
      <c r="C1143" s="1">
        <v>128.62917733108401</v>
      </c>
      <c r="D1143" s="1">
        <f t="shared" si="193"/>
        <v>327.06929401624637</v>
      </c>
      <c r="E1143" s="1">
        <v>0.01</v>
      </c>
      <c r="F1143" s="1">
        <v>0.05</v>
      </c>
      <c r="G1143" s="1">
        <v>0.1</v>
      </c>
      <c r="H1143" s="1">
        <v>9.81</v>
      </c>
      <c r="I1143" s="1">
        <v>2650</v>
      </c>
      <c r="J1143" s="1">
        <v>1000</v>
      </c>
      <c r="K1143" s="1">
        <v>1.65</v>
      </c>
      <c r="L1143" s="1">
        <v>6.5</v>
      </c>
      <c r="M1143" s="1">
        <v>2.5</v>
      </c>
      <c r="N1143" s="6">
        <v>9.9999999999999995E-7</v>
      </c>
      <c r="O1143" s="1">
        <f t="shared" si="194"/>
        <v>10.241238558797846</v>
      </c>
      <c r="P1143" s="1">
        <f t="shared" ref="P1143:P1159" si="195">SQRT((D1144 - D1143)^2 + (C1144 - C1143)^2)</f>
        <v>10.787841757464356</v>
      </c>
      <c r="Q1143" s="1">
        <f t="shared" ref="Q1143:Q1159" si="196">IF(ROW()=1111, P1143/2, (P1143 + P1142)/2)</f>
        <v>10.603070578095004</v>
      </c>
      <c r="R1143" s="1">
        <v>126.17909999999993</v>
      </c>
      <c r="S1143" s="1" t="e">
        <f t="shared" ref="S1143:S1159" si="197">IF(R1143 - C1143 &lt; 0, NA(), R1143 - C1143)</f>
        <v>#N/A</v>
      </c>
      <c r="T1143" s="1" t="e">
        <v>#N/A</v>
      </c>
    </row>
    <row r="1144" spans="1:20" x14ac:dyDescent="0.35">
      <c r="A1144" s="1">
        <v>500336.73469999997</v>
      </c>
      <c r="B1144" s="1">
        <v>5999999.3439999996</v>
      </c>
      <c r="C1144" s="1">
        <v>132.03919081702699</v>
      </c>
      <c r="D1144" s="1">
        <f t="shared" ref="D1144:D1160" si="198">D1143 + SQRT((A1144 - A1143)^2 + (B1144 - B1143)^2)</f>
        <v>337.30400641131536</v>
      </c>
      <c r="E1144" s="1">
        <v>0.01</v>
      </c>
      <c r="F1144" s="1">
        <v>0.05</v>
      </c>
      <c r="G1144" s="1">
        <v>0.1</v>
      </c>
      <c r="H1144" s="1">
        <v>9.81</v>
      </c>
      <c r="I1144" s="1">
        <v>2650</v>
      </c>
      <c r="J1144" s="1">
        <v>1000</v>
      </c>
      <c r="K1144" s="1">
        <v>1.65</v>
      </c>
      <c r="L1144" s="1">
        <v>6.5</v>
      </c>
      <c r="M1144" s="1">
        <v>2.5</v>
      </c>
      <c r="N1144" s="6">
        <v>9.9999999999999995E-7</v>
      </c>
      <c r="O1144" s="1">
        <f t="shared" si="194"/>
        <v>10.233949248828765</v>
      </c>
      <c r="P1144" s="1">
        <f t="shared" si="195"/>
        <v>11.755266476054745</v>
      </c>
      <c r="Q1144" s="1">
        <f t="shared" si="196"/>
        <v>11.27155411675955</v>
      </c>
      <c r="R1144" s="1">
        <v>126.17909999999993</v>
      </c>
      <c r="S1144" s="1" t="e">
        <f t="shared" si="197"/>
        <v>#N/A</v>
      </c>
      <c r="T1144" s="1" t="e">
        <v>#N/A</v>
      </c>
    </row>
    <row r="1145" spans="1:20" x14ac:dyDescent="0.35">
      <c r="A1145" s="1">
        <v>500346.9388</v>
      </c>
      <c r="B1145" s="1">
        <v>5999998.5729999999</v>
      </c>
      <c r="C1145" s="1">
        <v>126.254020801129</v>
      </c>
      <c r="D1145" s="1">
        <f t="shared" si="198"/>
        <v>347.5371925139039</v>
      </c>
      <c r="E1145" s="1">
        <v>0.01</v>
      </c>
      <c r="F1145" s="1">
        <v>0.05</v>
      </c>
      <c r="G1145" s="1">
        <v>0.1</v>
      </c>
      <c r="H1145" s="1">
        <v>9.81</v>
      </c>
      <c r="I1145" s="1">
        <v>2650</v>
      </c>
      <c r="J1145" s="1">
        <v>1000</v>
      </c>
      <c r="K1145" s="1">
        <v>1.65</v>
      </c>
      <c r="L1145" s="1">
        <v>6.5</v>
      </c>
      <c r="M1145" s="1">
        <v>2.5</v>
      </c>
      <c r="N1145" s="6">
        <v>9.9999999999999995E-7</v>
      </c>
      <c r="O1145" s="1">
        <f t="shared" si="194"/>
        <v>10.232552707337419</v>
      </c>
      <c r="P1145" s="1">
        <f t="shared" si="195"/>
        <v>11.350607222214496</v>
      </c>
      <c r="Q1145" s="1">
        <f t="shared" si="196"/>
        <v>11.552936849134621</v>
      </c>
      <c r="R1145" s="1">
        <v>126.17909999999993</v>
      </c>
      <c r="S1145" s="1" t="e">
        <f t="shared" si="197"/>
        <v>#N/A</v>
      </c>
      <c r="T1145" s="1" t="e">
        <v>#N/A</v>
      </c>
    </row>
    <row r="1146" spans="1:20" x14ac:dyDescent="0.35">
      <c r="A1146" s="1">
        <v>500357.14289999998</v>
      </c>
      <c r="B1146" s="1">
        <v>5999999.3269999996</v>
      </c>
      <c r="C1146" s="1">
        <v>131.167686591956</v>
      </c>
      <c r="D1146" s="1">
        <f t="shared" si="198"/>
        <v>357.76911182599019</v>
      </c>
      <c r="E1146" s="1">
        <v>0.01</v>
      </c>
      <c r="F1146" s="1">
        <v>0.05</v>
      </c>
      <c r="G1146" s="1">
        <v>0.1</v>
      </c>
      <c r="H1146" s="1">
        <v>9.81</v>
      </c>
      <c r="I1146" s="1">
        <v>2650</v>
      </c>
      <c r="J1146" s="1">
        <v>1000</v>
      </c>
      <c r="K1146" s="1">
        <v>1.65</v>
      </c>
      <c r="L1146" s="1">
        <v>6.5</v>
      </c>
      <c r="M1146" s="1">
        <v>2.5</v>
      </c>
      <c r="N1146" s="6">
        <v>9.9999999999999995E-7</v>
      </c>
      <c r="O1146" s="1">
        <f t="shared" si="194"/>
        <v>10.223838765829584</v>
      </c>
      <c r="P1146" s="1">
        <f t="shared" si="195"/>
        <v>10.479732415606993</v>
      </c>
      <c r="Q1146" s="1">
        <f t="shared" si="196"/>
        <v>10.915169818910744</v>
      </c>
      <c r="R1146" s="1">
        <v>126.17909999999993</v>
      </c>
      <c r="S1146" s="1" t="e">
        <f t="shared" si="197"/>
        <v>#N/A</v>
      </c>
      <c r="T1146" s="1" t="e">
        <v>#N/A</v>
      </c>
    </row>
    <row r="1147" spans="1:20" x14ac:dyDescent="0.35">
      <c r="A1147" s="1">
        <v>500367.3469</v>
      </c>
      <c r="B1147" s="1">
        <v>5999999.8169999998</v>
      </c>
      <c r="C1147" s="1">
        <v>128.83036429882799</v>
      </c>
      <c r="D1147" s="1">
        <f t="shared" si="198"/>
        <v>367.98487004556307</v>
      </c>
      <c r="E1147" s="1">
        <v>0.01</v>
      </c>
      <c r="F1147" s="1">
        <v>0.05</v>
      </c>
      <c r="G1147" s="1">
        <v>0.1</v>
      </c>
      <c r="H1147" s="1">
        <v>9.81</v>
      </c>
      <c r="I1147" s="1">
        <v>2650</v>
      </c>
      <c r="J1147" s="1">
        <v>1000</v>
      </c>
      <c r="K1147" s="1">
        <v>1.65</v>
      </c>
      <c r="L1147" s="1">
        <v>6.5</v>
      </c>
      <c r="M1147" s="1">
        <v>2.5</v>
      </c>
      <c r="N1147" s="6">
        <v>9.9999999999999995E-7</v>
      </c>
      <c r="O1147" s="1">
        <f t="shared" si="194"/>
        <v>10.224509856901079</v>
      </c>
      <c r="P1147" s="1">
        <f t="shared" si="195"/>
        <v>10.91645406051112</v>
      </c>
      <c r="Q1147" s="1">
        <f t="shared" si="196"/>
        <v>10.698093238059055</v>
      </c>
      <c r="R1147" s="1">
        <v>126.17909999999993</v>
      </c>
      <c r="S1147" s="1" t="e">
        <f t="shared" si="197"/>
        <v>#N/A</v>
      </c>
      <c r="T1147" s="1" t="e">
        <v>#N/A</v>
      </c>
    </row>
    <row r="1148" spans="1:20" x14ac:dyDescent="0.35">
      <c r="A1148" s="1">
        <v>500377.55099999998</v>
      </c>
      <c r="B1148" s="1">
        <v>5999999.0449999999</v>
      </c>
      <c r="C1148" s="1">
        <v>125.029137069896</v>
      </c>
      <c r="D1148" s="1">
        <f t="shared" si="198"/>
        <v>378.21813153979235</v>
      </c>
      <c r="E1148" s="1">
        <v>0.01</v>
      </c>
      <c r="F1148" s="1">
        <v>0.05</v>
      </c>
      <c r="G1148" s="1">
        <v>0.1</v>
      </c>
      <c r="H1148" s="1">
        <v>9.81</v>
      </c>
      <c r="I1148" s="1">
        <v>2650</v>
      </c>
      <c r="J1148" s="1">
        <v>1000</v>
      </c>
      <c r="K1148" s="1">
        <v>1.65</v>
      </c>
      <c r="L1148" s="1">
        <v>6.5</v>
      </c>
      <c r="M1148" s="1">
        <v>2.5</v>
      </c>
      <c r="N1148" s="6">
        <v>9.9999999999999995E-7</v>
      </c>
      <c r="O1148" s="1">
        <f t="shared" si="194"/>
        <v>10.221049857319429</v>
      </c>
      <c r="P1148" s="1">
        <f t="shared" si="195"/>
        <v>10.237547645163266</v>
      </c>
      <c r="Q1148" s="1">
        <f t="shared" si="196"/>
        <v>10.577000852837193</v>
      </c>
      <c r="R1148" s="1">
        <v>126.17909999999993</v>
      </c>
      <c r="S1148" s="1">
        <f t="shared" si="197"/>
        <v>1.1499629301039391</v>
      </c>
      <c r="T1148" s="1">
        <v>1.1499629301039391</v>
      </c>
    </row>
    <row r="1149" spans="1:20" x14ac:dyDescent="0.35">
      <c r="A1149" s="1">
        <v>500387.75510000001</v>
      </c>
      <c r="B1149" s="1">
        <v>5999999.3559999997</v>
      </c>
      <c r="C1149" s="1">
        <v>125.795298917349</v>
      </c>
      <c r="D1149" s="1">
        <f t="shared" si="198"/>
        <v>388.42696976020193</v>
      </c>
      <c r="E1149" s="1">
        <v>0.01</v>
      </c>
      <c r="F1149" s="1">
        <v>0.05</v>
      </c>
      <c r="G1149" s="1">
        <v>0.1</v>
      </c>
      <c r="H1149" s="1">
        <v>9.81</v>
      </c>
      <c r="I1149" s="1">
        <v>2650</v>
      </c>
      <c r="J1149" s="1">
        <v>1000</v>
      </c>
      <c r="K1149" s="1">
        <v>1.65</v>
      </c>
      <c r="L1149" s="1">
        <v>6.5</v>
      </c>
      <c r="M1149" s="1">
        <v>2.5</v>
      </c>
      <c r="N1149" s="6">
        <v>9.9999999999999995E-7</v>
      </c>
      <c r="O1149" s="1">
        <f t="shared" si="194"/>
        <v>10.226672955179509</v>
      </c>
      <c r="P1149" s="1">
        <f t="shared" si="195"/>
        <v>14.006911426674414</v>
      </c>
      <c r="Q1149" s="1">
        <f t="shared" si="196"/>
        <v>12.122229535918841</v>
      </c>
      <c r="R1149" s="1">
        <v>126.17909999999993</v>
      </c>
      <c r="S1149" s="1">
        <f t="shared" si="197"/>
        <v>0.38380108265093327</v>
      </c>
      <c r="T1149" s="1">
        <v>0.38380108265093327</v>
      </c>
    </row>
    <row r="1150" spans="1:20" x14ac:dyDescent="0.35">
      <c r="A1150" s="1">
        <v>500397.95919999998</v>
      </c>
      <c r="B1150" s="1">
        <v>5999998.4469999997</v>
      </c>
      <c r="C1150" s="1">
        <v>135.347452072804</v>
      </c>
      <c r="D1150" s="1">
        <f t="shared" si="198"/>
        <v>398.67147745015137</v>
      </c>
      <c r="E1150" s="1">
        <v>0.01</v>
      </c>
      <c r="F1150" s="1">
        <v>0.05</v>
      </c>
      <c r="G1150" s="1">
        <v>0.1</v>
      </c>
      <c r="H1150" s="1">
        <v>9.81</v>
      </c>
      <c r="I1150" s="1">
        <v>2650</v>
      </c>
      <c r="J1150" s="1">
        <v>1000</v>
      </c>
      <c r="K1150" s="1">
        <v>1.65</v>
      </c>
      <c r="L1150" s="1">
        <v>6.5</v>
      </c>
      <c r="M1150" s="1">
        <v>2.5</v>
      </c>
      <c r="N1150" s="6">
        <v>9.9999999999999995E-7</v>
      </c>
      <c r="O1150" s="1">
        <f t="shared" si="194"/>
        <v>10.22650836474881</v>
      </c>
      <c r="P1150" s="1">
        <f t="shared" si="195"/>
        <v>12.538849639326756</v>
      </c>
      <c r="Q1150" s="1">
        <f t="shared" si="196"/>
        <v>13.272880533000585</v>
      </c>
      <c r="R1150" s="1">
        <v>126.17909999999993</v>
      </c>
      <c r="S1150" s="1" t="e">
        <f t="shared" si="197"/>
        <v>#N/A</v>
      </c>
      <c r="T1150" s="1" t="e">
        <v>#N/A</v>
      </c>
    </row>
    <row r="1151" spans="1:20" x14ac:dyDescent="0.35">
      <c r="A1151" s="1">
        <v>500408.16330000001</v>
      </c>
      <c r="B1151" s="1">
        <v>5999998.1469999999</v>
      </c>
      <c r="C1151" s="1">
        <v>128.06671766842501</v>
      </c>
      <c r="D1151" s="1">
        <f t="shared" si="198"/>
        <v>408.87998648969955</v>
      </c>
      <c r="E1151" s="1">
        <v>0.01</v>
      </c>
      <c r="F1151" s="1">
        <v>0.05</v>
      </c>
      <c r="G1151" s="1">
        <v>0.1</v>
      </c>
      <c r="H1151" s="1">
        <v>9.81</v>
      </c>
      <c r="I1151" s="1">
        <v>2650</v>
      </c>
      <c r="J1151" s="1">
        <v>1000</v>
      </c>
      <c r="K1151" s="1">
        <v>1.65</v>
      </c>
      <c r="L1151" s="1">
        <v>6.5</v>
      </c>
      <c r="M1151" s="1">
        <v>2.5</v>
      </c>
      <c r="N1151" s="6">
        <v>9.9999999999999995E-7</v>
      </c>
      <c r="O1151" s="1">
        <f t="shared" si="194"/>
        <v>10.217670819070179</v>
      </c>
      <c r="P1151" s="1">
        <f t="shared" si="195"/>
        <v>11.126667604014996</v>
      </c>
      <c r="Q1151" s="1">
        <f t="shared" si="196"/>
        <v>11.832758621670877</v>
      </c>
      <c r="R1151" s="1">
        <v>126.17909999999993</v>
      </c>
      <c r="S1151" s="1" t="e">
        <f t="shared" si="197"/>
        <v>#N/A</v>
      </c>
      <c r="T1151" s="1" t="e">
        <v>#N/A</v>
      </c>
    </row>
    <row r="1152" spans="1:20" x14ac:dyDescent="0.35">
      <c r="A1152" s="1">
        <v>500418.36729999998</v>
      </c>
      <c r="B1152" s="1">
        <v>5999997.4639999997</v>
      </c>
      <c r="C1152" s="1">
        <v>132.450166877736</v>
      </c>
      <c r="D1152" s="1">
        <f t="shared" si="198"/>
        <v>419.10681908829173</v>
      </c>
      <c r="E1152" s="1">
        <v>0.01</v>
      </c>
      <c r="F1152" s="1">
        <v>0.05</v>
      </c>
      <c r="G1152" s="1">
        <v>0.1</v>
      </c>
      <c r="H1152" s="1">
        <v>9.81</v>
      </c>
      <c r="I1152" s="1">
        <v>2650</v>
      </c>
      <c r="J1152" s="1">
        <v>1000</v>
      </c>
      <c r="K1152" s="1">
        <v>1.65</v>
      </c>
      <c r="L1152" s="1">
        <v>6.5</v>
      </c>
      <c r="M1152" s="1">
        <v>2.5</v>
      </c>
      <c r="N1152" s="6">
        <v>9.9999999999999995E-7</v>
      </c>
      <c r="O1152" s="1">
        <f t="shared" si="194"/>
        <v>10.219153288461655</v>
      </c>
      <c r="P1152" s="1">
        <f t="shared" si="195"/>
        <v>12.259823035582844</v>
      </c>
      <c r="Q1152" s="1">
        <f t="shared" si="196"/>
        <v>11.693245319798919</v>
      </c>
      <c r="R1152" s="1">
        <v>126.17909999999993</v>
      </c>
      <c r="S1152" s="1" t="e">
        <f t="shared" si="197"/>
        <v>#N/A</v>
      </c>
      <c r="T1152" s="1" t="e">
        <v>#N/A</v>
      </c>
    </row>
    <row r="1153" spans="1:20" x14ac:dyDescent="0.35">
      <c r="A1153" s="1">
        <v>500428.57140000002</v>
      </c>
      <c r="B1153" s="1">
        <v>5999997.0760000004</v>
      </c>
      <c r="C1153" s="1">
        <v>139.234638858198</v>
      </c>
      <c r="D1153" s="1">
        <f t="shared" si="198"/>
        <v>429.31829306662286</v>
      </c>
      <c r="E1153" s="1">
        <v>0.01</v>
      </c>
      <c r="F1153" s="1">
        <v>0.05</v>
      </c>
      <c r="G1153" s="1">
        <v>0.1</v>
      </c>
      <c r="H1153" s="1">
        <v>9.81</v>
      </c>
      <c r="I1153" s="1">
        <v>2650</v>
      </c>
      <c r="J1153" s="1">
        <v>1000</v>
      </c>
      <c r="K1153" s="1">
        <v>1.65</v>
      </c>
      <c r="L1153" s="1">
        <v>6.5</v>
      </c>
      <c r="M1153" s="1">
        <v>2.5</v>
      </c>
      <c r="N1153" s="6">
        <v>9.9999999999999995E-7</v>
      </c>
      <c r="O1153" s="1">
        <f t="shared" si="194"/>
        <v>10.213570502749036</v>
      </c>
      <c r="P1153" s="1">
        <f t="shared" si="195"/>
        <v>10.221862151517284</v>
      </c>
      <c r="Q1153" s="1">
        <f t="shared" si="196"/>
        <v>11.240842593550063</v>
      </c>
      <c r="R1153" s="1">
        <v>126.17909999999993</v>
      </c>
      <c r="S1153" s="1" t="e">
        <f t="shared" si="197"/>
        <v>#N/A</v>
      </c>
      <c r="T1153" s="1" t="e">
        <v>#N/A</v>
      </c>
    </row>
    <row r="1154" spans="1:20" x14ac:dyDescent="0.35">
      <c r="A1154" s="1">
        <v>500438.77549999999</v>
      </c>
      <c r="B1154" s="1">
        <v>5999996.5899999999</v>
      </c>
      <c r="C1154" s="1">
        <v>139.590466112179</v>
      </c>
      <c r="D1154" s="1">
        <f t="shared" si="198"/>
        <v>439.5339600937898</v>
      </c>
      <c r="E1154" s="1">
        <v>0.01</v>
      </c>
      <c r="F1154" s="1">
        <v>0.05</v>
      </c>
      <c r="G1154" s="1">
        <v>0.1</v>
      </c>
      <c r="H1154" s="1">
        <v>9.81</v>
      </c>
      <c r="I1154" s="1">
        <v>2650</v>
      </c>
      <c r="J1154" s="1">
        <v>1000</v>
      </c>
      <c r="K1154" s="1">
        <v>1.65</v>
      </c>
      <c r="L1154" s="1">
        <v>6.5</v>
      </c>
      <c r="M1154" s="1">
        <v>2.5</v>
      </c>
      <c r="N1154" s="6">
        <v>9.9999999999999995E-7</v>
      </c>
      <c r="O1154" s="1">
        <f t="shared" si="194"/>
        <v>10.227678867958247</v>
      </c>
      <c r="P1154" s="1">
        <f t="shared" si="195"/>
        <v>10.247073843648518</v>
      </c>
      <c r="Q1154" s="1">
        <f t="shared" si="196"/>
        <v>10.2344679975829</v>
      </c>
      <c r="R1154" s="1">
        <v>126.17909999999993</v>
      </c>
      <c r="S1154" s="1" t="e">
        <f t="shared" si="197"/>
        <v>#N/A</v>
      </c>
      <c r="T1154" s="1" t="e">
        <v>#N/A</v>
      </c>
    </row>
    <row r="1155" spans="1:20" x14ac:dyDescent="0.35">
      <c r="A1155" s="1">
        <v>500448.97960000002</v>
      </c>
      <c r="B1155" s="1">
        <v>5999995.7369999997</v>
      </c>
      <c r="C1155" s="1">
        <v>139.20154896633201</v>
      </c>
      <c r="D1155" s="1">
        <f t="shared" si="198"/>
        <v>449.77365080253935</v>
      </c>
      <c r="E1155" s="1">
        <v>0.01</v>
      </c>
      <c r="F1155" s="1">
        <v>0.05</v>
      </c>
      <c r="G1155" s="1">
        <v>0.1</v>
      </c>
      <c r="H1155" s="1">
        <v>9.81</v>
      </c>
      <c r="I1155" s="1">
        <v>2650</v>
      </c>
      <c r="J1155" s="1">
        <v>1000</v>
      </c>
      <c r="K1155" s="1">
        <v>1.65</v>
      </c>
      <c r="L1155" s="1">
        <v>6.5</v>
      </c>
      <c r="M1155" s="1">
        <v>2.5</v>
      </c>
      <c r="N1155" s="6">
        <v>9.9999999999999995E-7</v>
      </c>
      <c r="O1155" s="1">
        <f t="shared" si="194"/>
        <v>10.226507982984828</v>
      </c>
      <c r="P1155" s="1">
        <f t="shared" si="195"/>
        <v>10.216402783069102</v>
      </c>
      <c r="Q1155" s="1">
        <f t="shared" si="196"/>
        <v>10.231738313358811</v>
      </c>
      <c r="R1155" s="1">
        <v>126.17909999999993</v>
      </c>
      <c r="S1155" s="1" t="e">
        <f t="shared" si="197"/>
        <v>#N/A</v>
      </c>
      <c r="T1155" s="1" t="e">
        <v>#N/A</v>
      </c>
    </row>
    <row r="1156" spans="1:20" x14ac:dyDescent="0.35">
      <c r="A1156" s="1">
        <v>500459.18369999999</v>
      </c>
      <c r="B1156" s="1">
        <v>5999996.1710000001</v>
      </c>
      <c r="C1156" s="1">
        <v>138.95080404388699</v>
      </c>
      <c r="D1156" s="1">
        <f t="shared" si="198"/>
        <v>459.98697605975946</v>
      </c>
      <c r="E1156" s="1">
        <v>0.01</v>
      </c>
      <c r="F1156" s="1">
        <v>0.05</v>
      </c>
      <c r="G1156" s="1">
        <v>0.1</v>
      </c>
      <c r="H1156" s="1">
        <v>9.81</v>
      </c>
      <c r="I1156" s="1">
        <v>2650</v>
      </c>
      <c r="J1156" s="1">
        <v>1000</v>
      </c>
      <c r="K1156" s="1">
        <v>1.65</v>
      </c>
      <c r="L1156" s="1">
        <v>6.5</v>
      </c>
      <c r="M1156" s="1">
        <v>2.5</v>
      </c>
      <c r="N1156" s="6">
        <v>9.9999999999999995E-7</v>
      </c>
      <c r="O1156" s="1">
        <f t="shared" si="194"/>
        <v>10.228563101333435</v>
      </c>
      <c r="P1156" s="1">
        <f t="shared" si="195"/>
        <v>10.24381622597874</v>
      </c>
      <c r="Q1156" s="1">
        <f t="shared" si="196"/>
        <v>10.23010950452392</v>
      </c>
      <c r="R1156" s="1">
        <v>126.17909999999993</v>
      </c>
      <c r="S1156" s="1" t="e">
        <f t="shared" si="197"/>
        <v>#N/A</v>
      </c>
      <c r="T1156" s="1" t="e">
        <v>#N/A</v>
      </c>
    </row>
    <row r="1157" spans="1:20" x14ac:dyDescent="0.35">
      <c r="A1157" s="1">
        <v>500469.38780000003</v>
      </c>
      <c r="B1157" s="1">
        <v>5999997.0719999997</v>
      </c>
      <c r="C1157" s="1">
        <v>138.933110494517</v>
      </c>
      <c r="D1157" s="1">
        <f t="shared" si="198"/>
        <v>470.23077700520622</v>
      </c>
      <c r="E1157" s="1">
        <v>0.01</v>
      </c>
      <c r="F1157" s="1">
        <v>0.05</v>
      </c>
      <c r="G1157" s="1">
        <v>0.1</v>
      </c>
      <c r="H1157" s="1">
        <v>9.81</v>
      </c>
      <c r="I1157" s="1">
        <v>2650</v>
      </c>
      <c r="J1157" s="1">
        <v>1000</v>
      </c>
      <c r="K1157" s="1">
        <v>1.65</v>
      </c>
      <c r="L1157" s="1">
        <v>6.5</v>
      </c>
      <c r="M1157" s="1">
        <v>2.5</v>
      </c>
      <c r="N1157" s="6">
        <v>9.9999999999999995E-7</v>
      </c>
      <c r="O1157" s="1">
        <f t="shared" si="194"/>
        <v>10.235585469869676</v>
      </c>
      <c r="P1157" s="1">
        <f t="shared" si="195"/>
        <v>14.038699271405504</v>
      </c>
      <c r="Q1157" s="1">
        <f t="shared" si="196"/>
        <v>12.141257748692123</v>
      </c>
      <c r="R1157" s="1">
        <v>126.17909999999993</v>
      </c>
      <c r="S1157" s="1" t="e">
        <f t="shared" si="197"/>
        <v>#N/A</v>
      </c>
      <c r="T1157" s="1" t="e">
        <v>#N/A</v>
      </c>
    </row>
    <row r="1158" spans="1:20" x14ac:dyDescent="0.35">
      <c r="A1158" s="1">
        <v>500479.59179999999</v>
      </c>
      <c r="B1158" s="1">
        <v>5999997.7630000003</v>
      </c>
      <c r="C1158" s="1">
        <v>148.55007364474301</v>
      </c>
      <c r="D1158" s="1">
        <f t="shared" si="198"/>
        <v>480.45814699949881</v>
      </c>
      <c r="E1158" s="1">
        <v>0.01</v>
      </c>
      <c r="F1158" s="1">
        <v>0.05</v>
      </c>
      <c r="G1158" s="1">
        <v>0.1</v>
      </c>
      <c r="H1158" s="1">
        <v>9.81</v>
      </c>
      <c r="I1158" s="1">
        <v>2650</v>
      </c>
      <c r="J1158" s="1">
        <v>1000</v>
      </c>
      <c r="K1158" s="1">
        <v>1.65</v>
      </c>
      <c r="L1158" s="1">
        <v>6.5</v>
      </c>
      <c r="M1158" s="1">
        <v>2.5</v>
      </c>
      <c r="N1158" s="6">
        <v>9.9999999999999995E-7</v>
      </c>
      <c r="O1158" s="1">
        <f t="shared" si="194"/>
        <v>10.217030880251457</v>
      </c>
      <c r="P1158" s="1">
        <f t="shared" si="195"/>
        <v>10.496604105828091</v>
      </c>
      <c r="Q1158" s="1">
        <f t="shared" si="196"/>
        <v>12.267651688616798</v>
      </c>
      <c r="R1158" s="1">
        <v>126.17909999999993</v>
      </c>
      <c r="S1158" s="1" t="e">
        <f t="shared" si="197"/>
        <v>#N/A</v>
      </c>
      <c r="T1158" s="1" t="e">
        <v>#N/A</v>
      </c>
    </row>
    <row r="1159" spans="1:20" x14ac:dyDescent="0.35">
      <c r="A1159" s="1">
        <v>500489.79590000003</v>
      </c>
      <c r="B1159" s="1">
        <v>5999997.9929999998</v>
      </c>
      <c r="C1159" s="1">
        <v>146.10014692256101</v>
      </c>
      <c r="D1159" s="1">
        <f t="shared" si="198"/>
        <v>490.66483876570913</v>
      </c>
      <c r="E1159" s="1">
        <v>0.01</v>
      </c>
      <c r="F1159" s="1">
        <v>0.05</v>
      </c>
      <c r="G1159" s="1">
        <v>0.1</v>
      </c>
      <c r="H1159" s="1">
        <v>9.81</v>
      </c>
      <c r="I1159" s="1">
        <v>2650</v>
      </c>
      <c r="J1159" s="1">
        <v>1000</v>
      </c>
      <c r="K1159" s="1">
        <v>1.65</v>
      </c>
      <c r="L1159" s="1">
        <v>6.5</v>
      </c>
      <c r="M1159" s="1">
        <v>2.5</v>
      </c>
      <c r="N1159" s="6">
        <v>9.9999999999999995E-7</v>
      </c>
      <c r="O1159" s="1">
        <f t="shared" si="194"/>
        <v>10.209902888805345</v>
      </c>
      <c r="P1159" s="1">
        <f t="shared" si="195"/>
        <v>10.652346301971106</v>
      </c>
      <c r="Q1159" s="1">
        <f t="shared" si="196"/>
        <v>10.574475203899599</v>
      </c>
      <c r="R1159" s="1">
        <v>126.17909999999993</v>
      </c>
      <c r="S1159" s="1" t="e">
        <f t="shared" si="197"/>
        <v>#N/A</v>
      </c>
      <c r="T1159" s="1" t="e">
        <v>#N/A</v>
      </c>
    </row>
    <row r="1160" spans="1:20" x14ac:dyDescent="0.35">
      <c r="A1160" s="1">
        <v>500500</v>
      </c>
      <c r="B1160" s="1">
        <v>5999998.4220000003</v>
      </c>
      <c r="C1160" s="1">
        <v>149.127486336511</v>
      </c>
      <c r="D1160" s="1">
        <f t="shared" si="198"/>
        <v>500.8779527771095</v>
      </c>
      <c r="E1160" s="1">
        <v>0.01</v>
      </c>
      <c r="F1160" s="1">
        <v>0.05</v>
      </c>
      <c r="G1160" s="1">
        <v>0.1</v>
      </c>
      <c r="H1160" s="1">
        <v>9.81</v>
      </c>
      <c r="I1160" s="1">
        <v>2650</v>
      </c>
      <c r="J1160" s="1">
        <v>1000</v>
      </c>
      <c r="K1160" s="1">
        <v>1.65</v>
      </c>
      <c r="L1160" s="1">
        <v>6.5</v>
      </c>
      <c r="M1160" s="1">
        <v>2.5</v>
      </c>
      <c r="N1160" s="6">
        <v>9.9999999999999995E-7</v>
      </c>
      <c r="O1160" s="1">
        <f xml:space="preserve"> (D1160 - D1159) / 2</f>
        <v>5.1065570057001821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A9BA-C56F-46DA-A12F-7838805820D3}">
  <dimension ref="A1:H20"/>
  <sheetViews>
    <sheetView workbookViewId="0">
      <selection activeCell="G32" sqref="G32"/>
    </sheetView>
  </sheetViews>
  <sheetFormatPr defaultRowHeight="14.5" x14ac:dyDescent="0.35"/>
  <sheetData>
    <row r="1" spans="1:8" x14ac:dyDescent="0.3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45</v>
      </c>
    </row>
    <row r="2" spans="1:8" x14ac:dyDescent="0.35">
      <c r="A2">
        <v>0.2252005</v>
      </c>
      <c r="B2">
        <v>1.022105</v>
      </c>
      <c r="C2">
        <v>10.22105</v>
      </c>
      <c r="D2">
        <v>10.577</v>
      </c>
      <c r="E2">
        <v>0.2203301</v>
      </c>
      <c r="F2" s="11">
        <v>2.5138039999999998E-16</v>
      </c>
      <c r="G2">
        <v>125.12909999999999</v>
      </c>
      <c r="H2">
        <v>1.1713289999999999E-2</v>
      </c>
    </row>
    <row r="3" spans="1:8" x14ac:dyDescent="0.35">
      <c r="A3">
        <v>0.58681910000000004</v>
      </c>
      <c r="B3">
        <v>1.5331570000000001</v>
      </c>
      <c r="C3">
        <v>10.22105</v>
      </c>
      <c r="D3">
        <v>10.577</v>
      </c>
      <c r="E3">
        <v>0.38275199999999998</v>
      </c>
      <c r="F3" s="11">
        <v>1.7088670000000001E-11</v>
      </c>
      <c r="G3">
        <v>125.17910000000001</v>
      </c>
      <c r="H3">
        <v>1.7569939999999999E-2</v>
      </c>
    </row>
    <row r="4" spans="1:8" x14ac:dyDescent="0.35">
      <c r="A4">
        <v>1.1319338000000001</v>
      </c>
      <c r="B4">
        <v>2.0442100000000001</v>
      </c>
      <c r="C4">
        <v>10.22105</v>
      </c>
      <c r="D4">
        <v>10.577</v>
      </c>
      <c r="E4">
        <v>0.55372679999999996</v>
      </c>
      <c r="F4" s="11">
        <v>4.4555020000000004E-9</v>
      </c>
      <c r="G4">
        <v>125.2291</v>
      </c>
      <c r="H4">
        <v>2.3426590000000001E-2</v>
      </c>
    </row>
    <row r="5" spans="1:8" x14ac:dyDescent="0.35">
      <c r="A5">
        <v>1.8532862999999999</v>
      </c>
      <c r="B5">
        <v>2.5552619999999999</v>
      </c>
      <c r="C5">
        <v>10.22105</v>
      </c>
      <c r="D5">
        <v>10.577</v>
      </c>
      <c r="E5">
        <v>0.72528219999999999</v>
      </c>
      <c r="F5" s="11">
        <v>1.254902E-7</v>
      </c>
      <c r="G5">
        <v>125.2791</v>
      </c>
      <c r="H5">
        <v>2.928323E-2</v>
      </c>
    </row>
    <row r="6" spans="1:8" x14ac:dyDescent="0.35">
      <c r="A6">
        <v>2.7392324000000001</v>
      </c>
      <c r="B6">
        <v>3.0663149999999999</v>
      </c>
      <c r="C6">
        <v>10.22105</v>
      </c>
      <c r="D6">
        <v>10.577</v>
      </c>
      <c r="E6">
        <v>0.89333039999999997</v>
      </c>
      <c r="F6" s="11">
        <v>1.161676E-6</v>
      </c>
      <c r="G6">
        <v>125.3291</v>
      </c>
      <c r="H6">
        <v>3.5139879999999998E-2</v>
      </c>
    </row>
    <row r="7" spans="1:8" x14ac:dyDescent="0.35">
      <c r="A7">
        <v>3.7776447000000002</v>
      </c>
      <c r="B7">
        <v>3.5773670000000002</v>
      </c>
      <c r="C7">
        <v>10.22105</v>
      </c>
      <c r="D7">
        <v>10.577</v>
      </c>
      <c r="E7">
        <v>1.0559845000000001</v>
      </c>
      <c r="F7" s="11">
        <v>5.6940939999999997E-6</v>
      </c>
      <c r="G7">
        <v>125.37909999999999</v>
      </c>
      <c r="H7">
        <v>4.0996530000000003E-2</v>
      </c>
    </row>
    <row r="8" spans="1:8" x14ac:dyDescent="0.35">
      <c r="A8">
        <v>4.9574727999999997</v>
      </c>
      <c r="B8">
        <v>4.0884200000000002</v>
      </c>
      <c r="C8">
        <v>10.22105</v>
      </c>
      <c r="D8">
        <v>10.577</v>
      </c>
      <c r="E8">
        <v>1.2125645</v>
      </c>
      <c r="F8" s="11">
        <v>1.8757690000000001E-5</v>
      </c>
      <c r="G8">
        <v>125.42910000000001</v>
      </c>
      <c r="H8">
        <v>4.685317E-2</v>
      </c>
    </row>
    <row r="9" spans="1:8" x14ac:dyDescent="0.35">
      <c r="A9">
        <v>6.2691853000000002</v>
      </c>
      <c r="B9">
        <v>4.5994719999999996</v>
      </c>
      <c r="C9">
        <v>10.22105</v>
      </c>
      <c r="D9">
        <v>10.577</v>
      </c>
      <c r="E9">
        <v>1.3630226999999999</v>
      </c>
      <c r="F9" s="11">
        <v>4.7410809999999997E-5</v>
      </c>
      <c r="G9">
        <v>125.4791</v>
      </c>
      <c r="H9">
        <v>5.2709819999999998E-2</v>
      </c>
    </row>
    <row r="10" spans="1:8" x14ac:dyDescent="0.35">
      <c r="A10">
        <v>7.7047417999999999</v>
      </c>
      <c r="B10">
        <v>5.110525</v>
      </c>
      <c r="C10">
        <v>10.22105</v>
      </c>
      <c r="D10">
        <v>10.577</v>
      </c>
      <c r="E10">
        <v>1.5076224</v>
      </c>
      <c r="F10" s="11">
        <v>9.9548760000000002E-5</v>
      </c>
      <c r="G10">
        <v>125.5291</v>
      </c>
      <c r="H10">
        <v>5.8566470000000002E-2</v>
      </c>
    </row>
    <row r="11" spans="1:8" x14ac:dyDescent="0.35">
      <c r="A11">
        <v>9.2574000000000005</v>
      </c>
      <c r="B11">
        <v>5.6215770000000003</v>
      </c>
      <c r="C11">
        <v>10.22105</v>
      </c>
      <c r="D11">
        <v>10.577</v>
      </c>
      <c r="E11">
        <v>1.6467620000000001</v>
      </c>
      <c r="F11" s="11">
        <v>1.8265020000000001E-4</v>
      </c>
      <c r="G11">
        <v>125.5791</v>
      </c>
      <c r="H11">
        <v>6.4423110000000006E-2</v>
      </c>
    </row>
    <row r="12" spans="1:8" x14ac:dyDescent="0.35">
      <c r="A12">
        <v>10.9214932</v>
      </c>
      <c r="B12">
        <v>6.1326299999999998</v>
      </c>
      <c r="C12">
        <v>10.22105</v>
      </c>
      <c r="D12">
        <v>10.577</v>
      </c>
      <c r="E12">
        <v>1.7808824999999999</v>
      </c>
      <c r="F12" s="11">
        <v>3.0288199999999998E-4</v>
      </c>
      <c r="G12">
        <v>125.62909999999999</v>
      </c>
      <c r="H12">
        <v>7.0279759999999997E-2</v>
      </c>
    </row>
    <row r="13" spans="1:8" x14ac:dyDescent="0.35">
      <c r="A13">
        <v>12.692224899999999</v>
      </c>
      <c r="B13">
        <v>6.6436820000000001</v>
      </c>
      <c r="C13">
        <v>10.22105</v>
      </c>
      <c r="D13">
        <v>10.577</v>
      </c>
      <c r="E13">
        <v>1.9104201999999999</v>
      </c>
      <c r="F13" s="11">
        <v>4.6465880000000001E-4</v>
      </c>
      <c r="G13">
        <v>125.67910000000001</v>
      </c>
      <c r="H13">
        <v>7.6136410000000002E-2</v>
      </c>
    </row>
    <row r="14" spans="1:8" x14ac:dyDescent="0.35">
      <c r="A14">
        <v>14.565498699999999</v>
      </c>
      <c r="B14">
        <v>7.1547349999999996</v>
      </c>
      <c r="C14">
        <v>10.22105</v>
      </c>
      <c r="D14">
        <v>10.577</v>
      </c>
      <c r="E14">
        <v>2.0357845000000001</v>
      </c>
      <c r="F14" s="11">
        <v>6.7056869999999999E-4</v>
      </c>
      <c r="G14">
        <v>125.7291</v>
      </c>
      <c r="H14">
        <v>8.1993049999999998E-2</v>
      </c>
    </row>
    <row r="15" spans="1:8" x14ac:dyDescent="0.35">
      <c r="A15">
        <v>16.5377808</v>
      </c>
      <c r="B15">
        <v>7.6657869999999999</v>
      </c>
      <c r="C15">
        <v>10.22105</v>
      </c>
      <c r="D15">
        <v>10.577</v>
      </c>
      <c r="E15">
        <v>2.1573492999999999</v>
      </c>
      <c r="F15" s="11">
        <v>9.2153370000000001E-4</v>
      </c>
      <c r="G15">
        <v>125.7791</v>
      </c>
      <c r="H15">
        <v>8.7849700000000003E-2</v>
      </c>
    </row>
    <row r="16" spans="1:8" x14ac:dyDescent="0.35">
      <c r="A16">
        <v>10.0335055</v>
      </c>
      <c r="B16">
        <v>8.5228920000000006</v>
      </c>
      <c r="C16">
        <v>20.44772</v>
      </c>
      <c r="D16">
        <v>22.69923</v>
      </c>
      <c r="E16">
        <v>1.1772419000000001</v>
      </c>
      <c r="F16" s="11">
        <v>1.466704E-5</v>
      </c>
      <c r="G16">
        <v>125.8291</v>
      </c>
      <c r="H16">
        <v>4.5511580000000003E-2</v>
      </c>
    </row>
    <row r="17" spans="1:8" x14ac:dyDescent="0.35">
      <c r="A17">
        <v>12.590033699999999</v>
      </c>
      <c r="B17">
        <v>9.5452779999999997</v>
      </c>
      <c r="C17">
        <v>20.44772</v>
      </c>
      <c r="D17">
        <v>22.69923</v>
      </c>
      <c r="E17">
        <v>1.3189803</v>
      </c>
      <c r="F17" s="11">
        <v>3.681114E-5</v>
      </c>
      <c r="G17">
        <v>125.87909999999999</v>
      </c>
      <c r="H17">
        <v>5.0971040000000002E-2</v>
      </c>
    </row>
    <row r="18" spans="1:8" x14ac:dyDescent="0.35">
      <c r="A18">
        <v>15.381668100000001</v>
      </c>
      <c r="B18">
        <v>10.567664000000001</v>
      </c>
      <c r="C18">
        <v>20.44772</v>
      </c>
      <c r="D18">
        <v>22.69923</v>
      </c>
      <c r="E18">
        <v>1.4555408999999999</v>
      </c>
      <c r="F18" s="11">
        <v>7.7319510000000005E-5</v>
      </c>
      <c r="G18">
        <v>125.92910000000001</v>
      </c>
      <c r="H18">
        <v>5.6430500000000001E-2</v>
      </c>
    </row>
    <row r="19" spans="1:8" x14ac:dyDescent="0.35">
      <c r="A19">
        <v>18.3959911</v>
      </c>
      <c r="B19">
        <v>11.590051000000001</v>
      </c>
      <c r="C19">
        <v>20.44772</v>
      </c>
      <c r="D19">
        <v>22.69923</v>
      </c>
      <c r="E19">
        <v>1.5872227000000001</v>
      </c>
      <c r="F19" s="11">
        <v>1.4247390000000001E-4</v>
      </c>
      <c r="G19">
        <v>125.9791</v>
      </c>
      <c r="H19">
        <v>6.1889970000000002E-2</v>
      </c>
    </row>
    <row r="20" spans="1:8" x14ac:dyDescent="0.35">
      <c r="A20">
        <v>21.622457799999999</v>
      </c>
      <c r="B20">
        <v>12.612437</v>
      </c>
      <c r="C20">
        <v>20.44772</v>
      </c>
      <c r="D20">
        <v>22.69923</v>
      </c>
      <c r="E20">
        <v>1.7143759000000001</v>
      </c>
      <c r="F20" s="11">
        <v>2.377643E-4</v>
      </c>
      <c r="G20">
        <v>126.0291</v>
      </c>
      <c r="H20">
        <v>6.7349430000000002E-2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763e0d-f1aa-45a9-91e8-debfc626e389">
      <Terms xmlns="http://schemas.microsoft.com/office/infopath/2007/PartnerControls"/>
    </lcf76f155ced4ddcb4097134ff3c332f>
    <TaxCatchAll xmlns="1932f335-f1e7-469e-98b4-161305782fbb" xsi:nil="true"/>
    <Sure xmlns="3b763e0d-f1aa-45a9-91e8-debfc626e3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5586F01951354682586C83ED3C6226" ma:contentTypeVersion="21" ma:contentTypeDescription="Create a new document." ma:contentTypeScope="" ma:versionID="e0cc256d231c3622a034f4cc6df906dd">
  <xsd:schema xmlns:xsd="http://www.w3.org/2001/XMLSchema" xmlns:xs="http://www.w3.org/2001/XMLSchema" xmlns:p="http://schemas.microsoft.com/office/2006/metadata/properties" xmlns:ns2="3b763e0d-f1aa-45a9-91e8-debfc626e389" xmlns:ns3="1932f335-f1e7-469e-98b4-161305782fbb" targetNamespace="http://schemas.microsoft.com/office/2006/metadata/properties" ma:root="true" ma:fieldsID="8461d2c7f6f29ada14f25861713eaf5c" ns2:_="" ns3:_="">
    <xsd:import namespace="3b763e0d-f1aa-45a9-91e8-debfc626e389"/>
    <xsd:import namespace="1932f335-f1e7-469e-98b4-161305782fbb"/>
    <xsd:element name="properties">
      <xsd:complexType>
        <xsd:sequence>
          <xsd:element name="documentManagement">
            <xsd:complexType>
              <xsd:all>
                <xsd:element ref="ns2:Sur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63e0d-f1aa-45a9-91e8-debfc626e389" elementFormDefault="qualified">
    <xsd:import namespace="http://schemas.microsoft.com/office/2006/documentManagement/types"/>
    <xsd:import namespace="http://schemas.microsoft.com/office/infopath/2007/PartnerControls"/>
    <xsd:element name="Sure" ma:index="4" nillable="true" ma:displayName="Sure" ma:internalName="Sure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1c5aa43-8d93-4ec9-96ca-537a373792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2f335-f1e7-469e-98b4-161305782fb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1d57a0f-006f-4ca7-8242-4dfd9ea113e7}" ma:internalName="TaxCatchAll" ma:showField="CatchAllData" ma:web="1932f335-f1e7-469e-98b4-161305782f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A2790D-5552-4AD6-B426-666C4AE352A5}">
  <ds:schemaRefs>
    <ds:schemaRef ds:uri="http://schemas.microsoft.com/office/2006/metadata/properties"/>
    <ds:schemaRef ds:uri="http://schemas.microsoft.com/office/infopath/2007/PartnerControls"/>
    <ds:schemaRef ds:uri="3b763e0d-f1aa-45a9-91e8-debfc626e389"/>
    <ds:schemaRef ds:uri="1932f335-f1e7-469e-98b4-161305782fbb"/>
  </ds:schemaRefs>
</ds:datastoreItem>
</file>

<file path=customXml/itemProps2.xml><?xml version="1.0" encoding="utf-8"?>
<ds:datastoreItem xmlns:ds="http://schemas.openxmlformats.org/officeDocument/2006/customXml" ds:itemID="{266A53EC-D34E-4D1D-A7AC-1C761289C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63e0d-f1aa-45a9-91e8-debfc626e389"/>
    <ds:schemaRef ds:uri="1932f335-f1e7-469e-98b4-161305782f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321FDE-DECD-4FA5-987B-5DA509F802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compare_fun_test </vt:lpstr>
      <vt:lpstr>Load_Section_function_test01</vt:lpstr>
      <vt:lpstr>calc_depths_test01</vt:lpstr>
      <vt:lpstr>Estimate_hydraulics_functio</vt:lpstr>
      <vt:lpstr>estimate_hydraulic_df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Nastaran Nematollahi</dc:creator>
  <cp:lastModifiedBy>Nastaran Nematollahi</cp:lastModifiedBy>
  <dcterms:created xsi:type="dcterms:W3CDTF">2024-07-01T23:49:31Z</dcterms:created>
  <dcterms:modified xsi:type="dcterms:W3CDTF">2024-07-02T19:58:19Z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0x0101006E5586F01951354682586C83ED3C6226</vt:lpwstr>
  </property>
  <property fmtid="{D5CDD505-2E9C-101B-9397-08002B2CF9AE}" pid="3" name="MediaServiceImageTags">
    <vt:lpwstr/>
  </property>
</Properties>
</file>